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autoCompressPictures="0" defaultThemeVersion="124226"/>
  <mc:AlternateContent xmlns:mc="http://schemas.openxmlformats.org/markup-compatibility/2006">
    <mc:Choice Requires="x15">
      <x15ac:absPath xmlns:x15ac="http://schemas.microsoft.com/office/spreadsheetml/2010/11/ac" url="https://netorg7863520.sharepoint.com/sites/uJenga/Shared Documents/IT/Compass/BOQ/"/>
    </mc:Choice>
  </mc:AlternateContent>
  <xr:revisionPtr revIDLastSave="3" documentId="11_42826E2232ABB27217BBF8752875175A75F1A23F" xr6:coauthVersionLast="47" xr6:coauthVersionMax="47" xr10:uidLastSave="{4E071F2F-9D52-4305-959B-4777EEE4D1CF}"/>
  <bookViews>
    <workbookView xWindow="-110" yWindow="-110" windowWidth="38620" windowHeight="21100" tabRatio="681" xr2:uid="{00000000-000D-0000-FFFF-FFFF00000000}"/>
  </bookViews>
  <sheets>
    <sheet name="Base Schedule Jan 2018" sheetId="5" r:id="rId1"/>
  </sheets>
  <externalReferences>
    <externalReference r:id="rId2"/>
  </externalReferences>
  <definedNames>
    <definedName name="_xlnm._FilterDatabase" localSheetId="0" hidden="1">'Base Schedule Jan 2018'!$B$16:$G$1825</definedName>
    <definedName name="_xlnm.Print_Area" localSheetId="0">'Base Schedule Jan 2018'!$B$16:$G$1819</definedName>
    <definedName name="_xlnm.Print_Titles" localSheetId="0">'Base Schedule Jan 2018'!$16:$16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24" i="5" l="1"/>
  <c r="G317" i="5" l="1"/>
  <c r="G313" i="5"/>
  <c r="G1452" i="5" l="1"/>
  <c r="G1451" i="5"/>
  <c r="G1450" i="5"/>
  <c r="G1449" i="5"/>
  <c r="G1448" i="5"/>
  <c r="E906" i="5" l="1"/>
  <c r="E899" i="5"/>
  <c r="G301" i="5"/>
  <c r="G21" i="5"/>
  <c r="G494" i="5" l="1"/>
  <c r="G1821" i="5" l="1"/>
  <c r="G1822" i="5"/>
  <c r="E1351" i="5"/>
  <c r="G288" i="5"/>
  <c r="G289" i="5"/>
  <c r="G598" i="5"/>
  <c r="G286" i="5" l="1"/>
  <c r="G709" i="5" l="1"/>
  <c r="G708" i="5" l="1"/>
  <c r="G391" i="5"/>
  <c r="G138" i="5"/>
  <c r="G304" i="5" l="1"/>
  <c r="G325" i="5"/>
  <c r="G255" i="5" l="1"/>
  <c r="G252" i="5"/>
  <c r="E1813" i="5"/>
  <c r="E1810" i="5"/>
  <c r="E1809" i="5"/>
  <c r="E1808" i="5"/>
  <c r="E353" i="5"/>
  <c r="E352" i="5"/>
  <c r="G287" i="5"/>
  <c r="G240" i="5"/>
  <c r="G239" i="5"/>
  <c r="G238" i="5"/>
  <c r="G237" i="5"/>
  <c r="G236" i="5"/>
  <c r="G235" i="5"/>
  <c r="G233" i="5"/>
  <c r="G232" i="5"/>
  <c r="G231" i="5"/>
  <c r="G230" i="5"/>
  <c r="G229" i="5"/>
  <c r="G228" i="5"/>
  <c r="G227" i="5"/>
  <c r="G226" i="5"/>
  <c r="E225" i="5"/>
  <c r="E224" i="5"/>
  <c r="G223" i="5"/>
  <c r="E222" i="5"/>
  <c r="G221" i="5"/>
  <c r="G220" i="5"/>
  <c r="G219" i="5"/>
  <c r="E187" i="5"/>
  <c r="G224" i="5" l="1"/>
  <c r="E354" i="5"/>
  <c r="G225" i="5"/>
  <c r="G222" i="5"/>
  <c r="G751" i="5"/>
  <c r="G750" i="5"/>
  <c r="G749" i="5"/>
  <c r="G748" i="5"/>
  <c r="G747" i="5"/>
  <c r="G745" i="5"/>
  <c r="E336" i="5" l="1"/>
  <c r="G707" i="5"/>
  <c r="G336" i="5" l="1"/>
  <c r="G332" i="5"/>
  <c r="G18" i="5" l="1"/>
  <c r="G19" i="5" l="1"/>
  <c r="G1823" i="5" l="1"/>
  <c r="G1819" i="5"/>
  <c r="G1818" i="5"/>
  <c r="G1817" i="5"/>
  <c r="G1816" i="5"/>
  <c r="G1815" i="5"/>
  <c r="G1814" i="5"/>
  <c r="G1813" i="5"/>
  <c r="G1812" i="5"/>
  <c r="G1811" i="5"/>
  <c r="G1810" i="5"/>
  <c r="G1809" i="5"/>
  <c r="G1808" i="5"/>
  <c r="G1807" i="5"/>
  <c r="G1803" i="5"/>
  <c r="G1802" i="5"/>
  <c r="G1800" i="5"/>
  <c r="G1798" i="5"/>
  <c r="G1796" i="5"/>
  <c r="G1794" i="5"/>
  <c r="G1793" i="5"/>
  <c r="G1792" i="5"/>
  <c r="G1791" i="5"/>
  <c r="G1790" i="5"/>
  <c r="G1789" i="5"/>
  <c r="G1788" i="5"/>
  <c r="G1786" i="5"/>
  <c r="G1785" i="5"/>
  <c r="G1784" i="5"/>
  <c r="G1783" i="5"/>
  <c r="G1782" i="5"/>
  <c r="G1781" i="5"/>
  <c r="G1780" i="5"/>
  <c r="G1779" i="5"/>
  <c r="G1777" i="5"/>
  <c r="G1776" i="5"/>
  <c r="G1775" i="5"/>
  <c r="G1774" i="5"/>
  <c r="G1773" i="5"/>
  <c r="G1770" i="5"/>
  <c r="G1769" i="5"/>
  <c r="G1768" i="5"/>
  <c r="G1767" i="5"/>
  <c r="G1766" i="5"/>
  <c r="G1765" i="5"/>
  <c r="G1764" i="5"/>
  <c r="G1763" i="5"/>
  <c r="G1762" i="5"/>
  <c r="G1761" i="5"/>
  <c r="G1760" i="5"/>
  <c r="G1759" i="5"/>
  <c r="G1758" i="5"/>
  <c r="G1757" i="5"/>
  <c r="G1756" i="5"/>
  <c r="G1755" i="5"/>
  <c r="G1754" i="5"/>
  <c r="G1753" i="5"/>
  <c r="G1752" i="5"/>
  <c r="G1751" i="5"/>
  <c r="G1750" i="5"/>
  <c r="G1749" i="5"/>
  <c r="G1747" i="5"/>
  <c r="G1746" i="5"/>
  <c r="G1745" i="5"/>
  <c r="G1744" i="5"/>
  <c r="G1743" i="5"/>
  <c r="G1742" i="5"/>
  <c r="G1741" i="5"/>
  <c r="G1740" i="5"/>
  <c r="G1738" i="5"/>
  <c r="G1736" i="5"/>
  <c r="G1734" i="5"/>
  <c r="G1733" i="5"/>
  <c r="G1732" i="5"/>
  <c r="G1731" i="5"/>
  <c r="G1730" i="5"/>
  <c r="G1729" i="5"/>
  <c r="G1728" i="5"/>
  <c r="G1727" i="5"/>
  <c r="G1726" i="5"/>
  <c r="G1725" i="5"/>
  <c r="G1724" i="5"/>
  <c r="G1723" i="5"/>
  <c r="G1722" i="5"/>
  <c r="G1721" i="5"/>
  <c r="G1720" i="5"/>
  <c r="G1719" i="5"/>
  <c r="G1718" i="5"/>
  <c r="G1717" i="5"/>
  <c r="G1716" i="5"/>
  <c r="G1715" i="5"/>
  <c r="G1714" i="5"/>
  <c r="G1713" i="5"/>
  <c r="G1712" i="5"/>
  <c r="G1711" i="5"/>
  <c r="G1710" i="5"/>
  <c r="G1709" i="5"/>
  <c r="G1708" i="5"/>
  <c r="G1706" i="5"/>
  <c r="G1705" i="5"/>
  <c r="G1704" i="5"/>
  <c r="G1703" i="5"/>
  <c r="G1702" i="5"/>
  <c r="G1701" i="5"/>
  <c r="G1700" i="5"/>
  <c r="G1699" i="5"/>
  <c r="G1698" i="5"/>
  <c r="G1697" i="5"/>
  <c r="G1696" i="5"/>
  <c r="G1695" i="5"/>
  <c r="G1694" i="5"/>
  <c r="G1693" i="5"/>
  <c r="G1692" i="5"/>
  <c r="G1691" i="5"/>
  <c r="G1690" i="5"/>
  <c r="G1689" i="5"/>
  <c r="G1688" i="5"/>
  <c r="G1687" i="5"/>
  <c r="G1686" i="5"/>
  <c r="G1685" i="5"/>
  <c r="G1684" i="5"/>
  <c r="G1683" i="5"/>
  <c r="G1682" i="5"/>
  <c r="G1681" i="5"/>
  <c r="G1678" i="5"/>
  <c r="G1677" i="5"/>
  <c r="G1676" i="5"/>
  <c r="G1675" i="5"/>
  <c r="G1674" i="5"/>
  <c r="G1673" i="5"/>
  <c r="G1672" i="5"/>
  <c r="G1671" i="5"/>
  <c r="G1668" i="5"/>
  <c r="G1667" i="5"/>
  <c r="G1666" i="5"/>
  <c r="G1665" i="5"/>
  <c r="G1663" i="5"/>
  <c r="G1662" i="5"/>
  <c r="G1660" i="5"/>
  <c r="G1659" i="5"/>
  <c r="G1658" i="5"/>
  <c r="G1656" i="5"/>
  <c r="G1655" i="5"/>
  <c r="G1654" i="5"/>
  <c r="G1653" i="5"/>
  <c r="G1652" i="5"/>
  <c r="G1650" i="5"/>
  <c r="G1649" i="5"/>
  <c r="G1647" i="5"/>
  <c r="G1646" i="5"/>
  <c r="G1645" i="5"/>
  <c r="G1643" i="5"/>
  <c r="G1642" i="5"/>
  <c r="G1641" i="5"/>
  <c r="G1640" i="5"/>
  <c r="G1639" i="5"/>
  <c r="G1638" i="5"/>
  <c r="G1637" i="5"/>
  <c r="G1636" i="5"/>
  <c r="G1634" i="5"/>
  <c r="G1633" i="5"/>
  <c r="G1632" i="5"/>
  <c r="G1630" i="5"/>
  <c r="G1628" i="5"/>
  <c r="G1627" i="5"/>
  <c r="G1625" i="5"/>
  <c r="G1624" i="5"/>
  <c r="G1622" i="5"/>
  <c r="G1621" i="5"/>
  <c r="G1619" i="5"/>
  <c r="G1618" i="5"/>
  <c r="G1617" i="5"/>
  <c r="G1615" i="5"/>
  <c r="G1614" i="5"/>
  <c r="G1613" i="5"/>
  <c r="G1612" i="5"/>
  <c r="G1610" i="5"/>
  <c r="G1609" i="5"/>
  <c r="G1608" i="5"/>
  <c r="G1607" i="5"/>
  <c r="G1606" i="5"/>
  <c r="G1605" i="5"/>
  <c r="G1604" i="5"/>
  <c r="G1603" i="5"/>
  <c r="G1602" i="5"/>
  <c r="G1601" i="5"/>
  <c r="G1600" i="5"/>
  <c r="G1599" i="5"/>
  <c r="G1598" i="5"/>
  <c r="G1597" i="5"/>
  <c r="G1596" i="5"/>
  <c r="G1595" i="5"/>
  <c r="G1594" i="5"/>
  <c r="G1591" i="5"/>
  <c r="G1589" i="5"/>
  <c r="G1588" i="5"/>
  <c r="G1586" i="5"/>
  <c r="G1585" i="5"/>
  <c r="G1584" i="5"/>
  <c r="G1583" i="5"/>
  <c r="G1582" i="5"/>
  <c r="G1581" i="5"/>
  <c r="G1580" i="5"/>
  <c r="G1577" i="5"/>
  <c r="G1575" i="5"/>
  <c r="G1574" i="5"/>
  <c r="G1572" i="5"/>
  <c r="G1571" i="5"/>
  <c r="G1570" i="5"/>
  <c r="G1568" i="5"/>
  <c r="G1567" i="5"/>
  <c r="G1566" i="5"/>
  <c r="G1563" i="5"/>
  <c r="G1562" i="5"/>
  <c r="G1561" i="5"/>
  <c r="G1560" i="5"/>
  <c r="G1559" i="5"/>
  <c r="G1558" i="5"/>
  <c r="G1557" i="5"/>
  <c r="G1556" i="5"/>
  <c r="G1555" i="5"/>
  <c r="G1554" i="5"/>
  <c r="G1553" i="5"/>
  <c r="G1552" i="5"/>
  <c r="G1551" i="5"/>
  <c r="G1550" i="5"/>
  <c r="G1549" i="5"/>
  <c r="G1548" i="5"/>
  <c r="G1547" i="5"/>
  <c r="G1546" i="5"/>
  <c r="G1545" i="5"/>
  <c r="G1544" i="5"/>
  <c r="G1543" i="5"/>
  <c r="G1542" i="5"/>
  <c r="G1541" i="5"/>
  <c r="G1540" i="5"/>
  <c r="G1539" i="5"/>
  <c r="G1538" i="5"/>
  <c r="G1536" i="5"/>
  <c r="G1535" i="5"/>
  <c r="G1534" i="5"/>
  <c r="G1532" i="5"/>
  <c r="G1531" i="5"/>
  <c r="G1530" i="5"/>
  <c r="G1529" i="5"/>
  <c r="G1528" i="5"/>
  <c r="G1527" i="5"/>
  <c r="G1526" i="5"/>
  <c r="G1525" i="5"/>
  <c r="G1524" i="5"/>
  <c r="G1523" i="5"/>
  <c r="G1522" i="5"/>
  <c r="G1521" i="5"/>
  <c r="G1520" i="5"/>
  <c r="G1519" i="5"/>
  <c r="G1517" i="5"/>
  <c r="G1516" i="5"/>
  <c r="G1515" i="5"/>
  <c r="G1514" i="5"/>
  <c r="G1513" i="5"/>
  <c r="G1512" i="5"/>
  <c r="G1511" i="5"/>
  <c r="G1510" i="5"/>
  <c r="G1509" i="5"/>
  <c r="G1508" i="5"/>
  <c r="G1507" i="5"/>
  <c r="G1505" i="5"/>
  <c r="G1504" i="5"/>
  <c r="G1503" i="5"/>
  <c r="G1502" i="5"/>
  <c r="G1501" i="5"/>
  <c r="G1500" i="5"/>
  <c r="G1499" i="5"/>
  <c r="G1498" i="5"/>
  <c r="G1497" i="5"/>
  <c r="G1496" i="5"/>
  <c r="G1494" i="5"/>
  <c r="G1493" i="5"/>
  <c r="G1492" i="5"/>
  <c r="G1491" i="5"/>
  <c r="G1490" i="5"/>
  <c r="G1489" i="5"/>
  <c r="G1488" i="5"/>
  <c r="G1487" i="5"/>
  <c r="G1486" i="5"/>
  <c r="G1485" i="5"/>
  <c r="G1482" i="5"/>
  <c r="G1481" i="5"/>
  <c r="G1480" i="5"/>
  <c r="G1479" i="5"/>
  <c r="G1478" i="5"/>
  <c r="G1477" i="5"/>
  <c r="G1476" i="5"/>
  <c r="G1475" i="5"/>
  <c r="G1474" i="5"/>
  <c r="G1473" i="5"/>
  <c r="G1472" i="5"/>
  <c r="G1471" i="5"/>
  <c r="G1470" i="5"/>
  <c r="G1469" i="5"/>
  <c r="G1468" i="5"/>
  <c r="G1467" i="5"/>
  <c r="G1466" i="5"/>
  <c r="G1465" i="5"/>
  <c r="G1464" i="5"/>
  <c r="G1463" i="5"/>
  <c r="G1462" i="5"/>
  <c r="G1461" i="5"/>
  <c r="G1460" i="5"/>
  <c r="G1459" i="5"/>
  <c r="G1458" i="5"/>
  <c r="G1457" i="5"/>
  <c r="G1456" i="5"/>
  <c r="G1455" i="5"/>
  <c r="G1454" i="5"/>
  <c r="G1453" i="5"/>
  <c r="G1447" i="5"/>
  <c r="G1446" i="5"/>
  <c r="G1445" i="5"/>
  <c r="G1444" i="5"/>
  <c r="G1443" i="5"/>
  <c r="G1442" i="5"/>
  <c r="G1441" i="5"/>
  <c r="G1440" i="5"/>
  <c r="G1439" i="5"/>
  <c r="G1438" i="5"/>
  <c r="G1437" i="5"/>
  <c r="G1436" i="5"/>
  <c r="G1435" i="5"/>
  <c r="G1434" i="5"/>
  <c r="G1432" i="5"/>
  <c r="G1431" i="5"/>
  <c r="G1430" i="5"/>
  <c r="G1429" i="5"/>
  <c r="G1428" i="5"/>
  <c r="G1427" i="5"/>
  <c r="G1426" i="5"/>
  <c r="G1425" i="5"/>
  <c r="G1424" i="5"/>
  <c r="G1422" i="5"/>
  <c r="G1421" i="5"/>
  <c r="G1420" i="5"/>
  <c r="G1419" i="5"/>
  <c r="G1418" i="5"/>
  <c r="G1417" i="5"/>
  <c r="G1416" i="5"/>
  <c r="G1415" i="5"/>
  <c r="G1414" i="5"/>
  <c r="G1413" i="5"/>
  <c r="G1412" i="5"/>
  <c r="G1411" i="5"/>
  <c r="G1410" i="5"/>
  <c r="G1409" i="5"/>
  <c r="G1408" i="5"/>
  <c r="G1407" i="5"/>
  <c r="G1406" i="5"/>
  <c r="G1405" i="5"/>
  <c r="G1404" i="5"/>
  <c r="G1403" i="5"/>
  <c r="G1401" i="5"/>
  <c r="G1400" i="5"/>
  <c r="G1399" i="5"/>
  <c r="G1398" i="5"/>
  <c r="G1397" i="5"/>
  <c r="G1396" i="5"/>
  <c r="G1394" i="5"/>
  <c r="G1392" i="5"/>
  <c r="G1390" i="5"/>
  <c r="G1388" i="5"/>
  <c r="G1386" i="5"/>
  <c r="G1384" i="5"/>
  <c r="G1382" i="5"/>
  <c r="G1381" i="5"/>
  <c r="G1380" i="5"/>
  <c r="G1379" i="5"/>
  <c r="G1376" i="5"/>
  <c r="G1375" i="5"/>
  <c r="G1374" i="5"/>
  <c r="G1371" i="5"/>
  <c r="G1370" i="5"/>
  <c r="G1368" i="5"/>
  <c r="G1367" i="5"/>
  <c r="G1366" i="5"/>
  <c r="G1365" i="5"/>
  <c r="G1364" i="5"/>
  <c r="G1363" i="5"/>
  <c r="G1362" i="5"/>
  <c r="G1361" i="5"/>
  <c r="G1358" i="5"/>
  <c r="G1357" i="5"/>
  <c r="G1355" i="5"/>
  <c r="G1353" i="5"/>
  <c r="G1352" i="5"/>
  <c r="G1354" i="5"/>
  <c r="G1350" i="5"/>
  <c r="G1349" i="5"/>
  <c r="G1348" i="5"/>
  <c r="G1347" i="5"/>
  <c r="G1346" i="5"/>
  <c r="G1345" i="5"/>
  <c r="G1344" i="5"/>
  <c r="G1341" i="5"/>
  <c r="G1338" i="5"/>
  <c r="G1337" i="5"/>
  <c r="G1336" i="5"/>
  <c r="G1334" i="5"/>
  <c r="G1333" i="5"/>
  <c r="G1331" i="5"/>
  <c r="G1330" i="5"/>
  <c r="G1329" i="5"/>
  <c r="G1328" i="5"/>
  <c r="G1327" i="5"/>
  <c r="G1324" i="5"/>
  <c r="G1322" i="5"/>
  <c r="G1321" i="5"/>
  <c r="G1320" i="5"/>
  <c r="G1319" i="5"/>
  <c r="G1317" i="5"/>
  <c r="G1316" i="5"/>
  <c r="G1315" i="5"/>
  <c r="G1313" i="5"/>
  <c r="G1312" i="5"/>
  <c r="G1311" i="5"/>
  <c r="G1310" i="5"/>
  <c r="G1309" i="5"/>
  <c r="G1308" i="5"/>
  <c r="G1306" i="5"/>
  <c r="G1305" i="5"/>
  <c r="G1304" i="5"/>
  <c r="G1303" i="5"/>
  <c r="G1302" i="5"/>
  <c r="G1301" i="5"/>
  <c r="G1298" i="5"/>
  <c r="G1297" i="5"/>
  <c r="G1295" i="5"/>
  <c r="G1294" i="5"/>
  <c r="G1293" i="5"/>
  <c r="G1292" i="5"/>
  <c r="G1291" i="5"/>
  <c r="G1290" i="5"/>
  <c r="G1288" i="5"/>
  <c r="G1287" i="5"/>
  <c r="G1286" i="5"/>
  <c r="G1285" i="5"/>
  <c r="G1284" i="5"/>
  <c r="G1283" i="5"/>
  <c r="G1282" i="5"/>
  <c r="G1281" i="5"/>
  <c r="G1280" i="5"/>
  <c r="G1279" i="5"/>
  <c r="G1278" i="5"/>
  <c r="G1277" i="5"/>
  <c r="G1276" i="5"/>
  <c r="G1275" i="5"/>
  <c r="G1274" i="5"/>
  <c r="G1272" i="5"/>
  <c r="G1269" i="5"/>
  <c r="G1267" i="5"/>
  <c r="G1266" i="5"/>
  <c r="G1265" i="5"/>
  <c r="G1264" i="5"/>
  <c r="G1261" i="5"/>
  <c r="G1260" i="5"/>
  <c r="G1259" i="5"/>
  <c r="G1258" i="5"/>
  <c r="G1257" i="5"/>
  <c r="G1256" i="5"/>
  <c r="G1254" i="5"/>
  <c r="G1253" i="5"/>
  <c r="G1251" i="5"/>
  <c r="G1250" i="5"/>
  <c r="G1249" i="5"/>
  <c r="G1248" i="5"/>
  <c r="G1245" i="5"/>
  <c r="G1244" i="5"/>
  <c r="G1242" i="5"/>
  <c r="G1241" i="5"/>
  <c r="G1240" i="5"/>
  <c r="G1239" i="5"/>
  <c r="G1238" i="5"/>
  <c r="G1237" i="5"/>
  <c r="G1236" i="5"/>
  <c r="G1233" i="5"/>
  <c r="G1232" i="5"/>
  <c r="G1230" i="5"/>
  <c r="G1229" i="5"/>
  <c r="G1228" i="5"/>
  <c r="G1226" i="5"/>
  <c r="G1225" i="5"/>
  <c r="G1224" i="5"/>
  <c r="G1222" i="5"/>
  <c r="G1221" i="5"/>
  <c r="G1220" i="5"/>
  <c r="G1218" i="5"/>
  <c r="G1217" i="5"/>
  <c r="G1216" i="5"/>
  <c r="G1213" i="5"/>
  <c r="G1212" i="5"/>
  <c r="G1211" i="5"/>
  <c r="G1209" i="5"/>
  <c r="G1208" i="5"/>
  <c r="G1207" i="5"/>
  <c r="G1205" i="5"/>
  <c r="G1204" i="5"/>
  <c r="G1203" i="5"/>
  <c r="G1201" i="5"/>
  <c r="G1200" i="5"/>
  <c r="G1198" i="5"/>
  <c r="G1197" i="5"/>
  <c r="G1196" i="5"/>
  <c r="G1195" i="5"/>
  <c r="G1194" i="5"/>
  <c r="G1193" i="5"/>
  <c r="G1191" i="5"/>
  <c r="G1190" i="5"/>
  <c r="G1189" i="5"/>
  <c r="G1188" i="5"/>
  <c r="G1187" i="5"/>
  <c r="G1184" i="5"/>
  <c r="G1183" i="5"/>
  <c r="G1182" i="5"/>
  <c r="G1180" i="5"/>
  <c r="G1179" i="5"/>
  <c r="G1178" i="5"/>
  <c r="G1176" i="5"/>
  <c r="G1175" i="5"/>
  <c r="G1174" i="5"/>
  <c r="G1172" i="5"/>
  <c r="G1171" i="5"/>
  <c r="G1170" i="5"/>
  <c r="G1168" i="5"/>
  <c r="G1166" i="5"/>
  <c r="G1164" i="5"/>
  <c r="G1163" i="5"/>
  <c r="G1162" i="5"/>
  <c r="G1159" i="5"/>
  <c r="G1158" i="5"/>
  <c r="G1156" i="5"/>
  <c r="G1155" i="5"/>
  <c r="G1152" i="5"/>
  <c r="G1151" i="5"/>
  <c r="G1150" i="5"/>
  <c r="G1148" i="5"/>
  <c r="G1147" i="5"/>
  <c r="G1146" i="5"/>
  <c r="G1144" i="5"/>
  <c r="G1143" i="5"/>
  <c r="G1142" i="5"/>
  <c r="G1140" i="5"/>
  <c r="G1139" i="5"/>
  <c r="G1138" i="5"/>
  <c r="G1136" i="5"/>
  <c r="G1135" i="5"/>
  <c r="G1134" i="5"/>
  <c r="G1133" i="5"/>
  <c r="G1131" i="5"/>
  <c r="G1129" i="5"/>
  <c r="G1128" i="5"/>
  <c r="G1127" i="5"/>
  <c r="G1124" i="5"/>
  <c r="G1123" i="5"/>
  <c r="G1121" i="5"/>
  <c r="G1119" i="5"/>
  <c r="G1118" i="5"/>
  <c r="G1115" i="5"/>
  <c r="G1114" i="5"/>
  <c r="G1112" i="5"/>
  <c r="G1110" i="5"/>
  <c r="G1109" i="5"/>
  <c r="G1108" i="5"/>
  <c r="G1107" i="5"/>
  <c r="G1106" i="5"/>
  <c r="G1105" i="5"/>
  <c r="G1103" i="5"/>
  <c r="G1102" i="5"/>
  <c r="G1101" i="5"/>
  <c r="G1100" i="5"/>
  <c r="G1099" i="5"/>
  <c r="G1098" i="5"/>
  <c r="G1096" i="5"/>
  <c r="G1095" i="5"/>
  <c r="G1092" i="5"/>
  <c r="G1091" i="5"/>
  <c r="G1089" i="5"/>
  <c r="G1087" i="5"/>
  <c r="G1085" i="5"/>
  <c r="G1083" i="5"/>
  <c r="G1082" i="5"/>
  <c r="G1081" i="5"/>
  <c r="G1078" i="5"/>
  <c r="G1077" i="5"/>
  <c r="G1075" i="5"/>
  <c r="G1074" i="5"/>
  <c r="G1072" i="5"/>
  <c r="G1071" i="5"/>
  <c r="G1070" i="5"/>
  <c r="G1069" i="5"/>
  <c r="G1068" i="5"/>
  <c r="G1065" i="5"/>
  <c r="G1064" i="5"/>
  <c r="G1063" i="5"/>
  <c r="G1061" i="5"/>
  <c r="G1060" i="5"/>
  <c r="G1059" i="5"/>
  <c r="G1057" i="5"/>
  <c r="G1056" i="5"/>
  <c r="G1055" i="5"/>
  <c r="G1052" i="5"/>
  <c r="G1051" i="5"/>
  <c r="G1050" i="5"/>
  <c r="G1049" i="5"/>
  <c r="G1047" i="5"/>
  <c r="G1046" i="5"/>
  <c r="G1045" i="5"/>
  <c r="G1044" i="5"/>
  <c r="G1043" i="5"/>
  <c r="G1042" i="5"/>
  <c r="G1041" i="5"/>
  <c r="G1040" i="5"/>
  <c r="G1039" i="5"/>
  <c r="G1038" i="5"/>
  <c r="G1037" i="5"/>
  <c r="G1036" i="5"/>
  <c r="G1035" i="5"/>
  <c r="G1034" i="5"/>
  <c r="G1033" i="5"/>
  <c r="G1032" i="5"/>
  <c r="G1031" i="5"/>
  <c r="G1029" i="5"/>
  <c r="G1028" i="5"/>
  <c r="G1027" i="5"/>
  <c r="G1026" i="5"/>
  <c r="G1025" i="5"/>
  <c r="G1024" i="5"/>
  <c r="G1023" i="5"/>
  <c r="G1022" i="5"/>
  <c r="G1020" i="5"/>
  <c r="G1019" i="5"/>
  <c r="G1018" i="5"/>
  <c r="G1017" i="5"/>
  <c r="G1016" i="5"/>
  <c r="G1015" i="5"/>
  <c r="G1014" i="5"/>
  <c r="G1013" i="5"/>
  <c r="G1012" i="5"/>
  <c r="G1011" i="5"/>
  <c r="G1010" i="5"/>
  <c r="G1009" i="5"/>
  <c r="G1008" i="5"/>
  <c r="G1007" i="5"/>
  <c r="G1006" i="5"/>
  <c r="G1005" i="5"/>
  <c r="G1004" i="5"/>
  <c r="G1003" i="5"/>
  <c r="G1002" i="5"/>
  <c r="G999" i="5"/>
  <c r="G998" i="5"/>
  <c r="G996" i="5"/>
  <c r="G995" i="5"/>
  <c r="G994" i="5"/>
  <c r="G993" i="5"/>
  <c r="G992" i="5"/>
  <c r="G991" i="5"/>
  <c r="G990" i="5"/>
  <c r="G988" i="5"/>
  <c r="G987" i="5"/>
  <c r="G986" i="5"/>
  <c r="G985" i="5"/>
  <c r="G984" i="5"/>
  <c r="G983" i="5"/>
  <c r="G982" i="5"/>
  <c r="G981" i="5"/>
  <c r="G980" i="5"/>
  <c r="G979" i="5"/>
  <c r="G978" i="5"/>
  <c r="G976" i="5"/>
  <c r="G975" i="5"/>
  <c r="G974" i="5"/>
  <c r="G973" i="5"/>
  <c r="G972" i="5"/>
  <c r="G971" i="5"/>
  <c r="G970" i="5"/>
  <c r="G969" i="5"/>
  <c r="G968" i="5"/>
  <c r="G967" i="5"/>
  <c r="G966" i="5"/>
  <c r="G965" i="5"/>
  <c r="G963" i="5"/>
  <c r="G962" i="5"/>
  <c r="G961" i="5"/>
  <c r="G958" i="5"/>
  <c r="G957" i="5"/>
  <c r="G956" i="5"/>
  <c r="G955" i="5"/>
  <c r="G954" i="5"/>
  <c r="G953" i="5"/>
  <c r="G952" i="5"/>
  <c r="G951" i="5"/>
  <c r="G950" i="5"/>
  <c r="G949" i="5"/>
  <c r="G948" i="5"/>
  <c r="G946" i="5"/>
  <c r="G945" i="5"/>
  <c r="G944" i="5"/>
  <c r="G943" i="5"/>
  <c r="G942" i="5"/>
  <c r="G939" i="5"/>
  <c r="G938" i="5"/>
  <c r="G936" i="5"/>
  <c r="G935" i="5"/>
  <c r="G934" i="5"/>
  <c r="G933" i="5"/>
  <c r="G932" i="5"/>
  <c r="G931" i="5"/>
  <c r="G930" i="5"/>
  <c r="G929" i="5"/>
  <c r="G928" i="5"/>
  <c r="G927" i="5"/>
  <c r="G926" i="5"/>
  <c r="G925" i="5"/>
  <c r="G924" i="5"/>
  <c r="G922" i="5"/>
  <c r="G921" i="5"/>
  <c r="G920" i="5"/>
  <c r="G919" i="5"/>
  <c r="G918" i="5"/>
  <c r="G916" i="5"/>
  <c r="G915" i="5"/>
  <c r="G914" i="5"/>
  <c r="G913" i="5"/>
  <c r="G911" i="5"/>
  <c r="G910" i="5"/>
  <c r="G909" i="5"/>
  <c r="G908" i="5"/>
  <c r="G907" i="5"/>
  <c r="G905" i="5"/>
  <c r="G904" i="5"/>
  <c r="G903" i="5"/>
  <c r="G902" i="5"/>
  <c r="G901" i="5"/>
  <c r="G900" i="5"/>
  <c r="G898" i="5"/>
  <c r="G897" i="5"/>
  <c r="G896" i="5"/>
  <c r="G895" i="5"/>
  <c r="G894" i="5"/>
  <c r="G893" i="5"/>
  <c r="G892" i="5"/>
  <c r="G891" i="5"/>
  <c r="G890" i="5"/>
  <c r="G889" i="5"/>
  <c r="G888" i="5"/>
  <c r="G885" i="5"/>
  <c r="G884" i="5"/>
  <c r="G883" i="5"/>
  <c r="G882" i="5"/>
  <c r="G881" i="5"/>
  <c r="G879" i="5"/>
  <c r="G878" i="5"/>
  <c r="G877" i="5"/>
  <c r="G876" i="5"/>
  <c r="G875" i="5"/>
  <c r="G874" i="5"/>
  <c r="G873" i="5"/>
  <c r="G872" i="5"/>
  <c r="G871" i="5"/>
  <c r="G870" i="5"/>
  <c r="G869" i="5"/>
  <c r="G868" i="5"/>
  <c r="G867" i="5"/>
  <c r="G866" i="5"/>
  <c r="G865" i="5"/>
  <c r="G864" i="5"/>
  <c r="G863" i="5"/>
  <c r="G862" i="5"/>
  <c r="G861" i="5"/>
  <c r="G860" i="5"/>
  <c r="G859" i="5"/>
  <c r="G858" i="5"/>
  <c r="G857" i="5"/>
  <c r="G856" i="5"/>
  <c r="G855" i="5"/>
  <c r="G854" i="5"/>
  <c r="G853" i="5"/>
  <c r="G852" i="5"/>
  <c r="G851" i="5"/>
  <c r="G850" i="5"/>
  <c r="G849" i="5"/>
  <c r="G845" i="5"/>
  <c r="G844" i="5"/>
  <c r="G843" i="5"/>
  <c r="G842" i="5"/>
  <c r="G840" i="5"/>
  <c r="G839" i="5"/>
  <c r="G838" i="5"/>
  <c r="G837" i="5"/>
  <c r="G836" i="5"/>
  <c r="G835" i="5"/>
  <c r="G834" i="5"/>
  <c r="G833" i="5"/>
  <c r="G832" i="5"/>
  <c r="G831" i="5"/>
  <c r="G830" i="5"/>
  <c r="G829" i="5"/>
  <c r="G828" i="5"/>
  <c r="G827" i="5"/>
  <c r="G826" i="5"/>
  <c r="G825" i="5"/>
  <c r="G824" i="5"/>
  <c r="G823" i="5"/>
  <c r="G822" i="5"/>
  <c r="G821" i="5"/>
  <c r="G818" i="5"/>
  <c r="G817" i="5"/>
  <c r="G816" i="5"/>
  <c r="G815" i="5"/>
  <c r="G813" i="5"/>
  <c r="E812" i="5"/>
  <c r="G811" i="5"/>
  <c r="G810" i="5"/>
  <c r="G809" i="5"/>
  <c r="G808" i="5"/>
  <c r="E807" i="5"/>
  <c r="E806" i="5"/>
  <c r="G804" i="5"/>
  <c r="G803" i="5"/>
  <c r="G801" i="5"/>
  <c r="G800" i="5"/>
  <c r="G799" i="5"/>
  <c r="G798" i="5"/>
  <c r="G797" i="5"/>
  <c r="G796" i="5"/>
  <c r="G795" i="5"/>
  <c r="G794" i="5"/>
  <c r="G793" i="5"/>
  <c r="G792" i="5"/>
  <c r="G790" i="5"/>
  <c r="G789" i="5"/>
  <c r="G787" i="5"/>
  <c r="G786" i="5"/>
  <c r="G785" i="5"/>
  <c r="G784" i="5"/>
  <c r="G783" i="5"/>
  <c r="G782" i="5"/>
  <c r="G781" i="5"/>
  <c r="G780" i="5"/>
  <c r="G779" i="5"/>
  <c r="G778" i="5"/>
  <c r="G776" i="5"/>
  <c r="G775" i="5"/>
  <c r="G774" i="5"/>
  <c r="E773" i="5"/>
  <c r="E772" i="5"/>
  <c r="G771" i="5"/>
  <c r="G769" i="5"/>
  <c r="G768" i="5"/>
  <c r="G767" i="5"/>
  <c r="G766" i="5"/>
  <c r="G765" i="5"/>
  <c r="G764" i="5"/>
  <c r="G763" i="5"/>
  <c r="G762" i="5"/>
  <c r="G760" i="5"/>
  <c r="G759" i="5"/>
  <c r="G758" i="5"/>
  <c r="G756" i="5"/>
  <c r="G755" i="5"/>
  <c r="G754" i="5"/>
  <c r="G753" i="5"/>
  <c r="G742" i="5"/>
  <c r="G741" i="5"/>
  <c r="G740" i="5"/>
  <c r="G739" i="5"/>
  <c r="G738" i="5"/>
  <c r="G735" i="5"/>
  <c r="G733" i="5"/>
  <c r="G732" i="5"/>
  <c r="G731" i="5"/>
  <c r="G730" i="5"/>
  <c r="G729" i="5"/>
  <c r="G727" i="5"/>
  <c r="G726" i="5"/>
  <c r="G725" i="5"/>
  <c r="G724" i="5"/>
  <c r="G723" i="5"/>
  <c r="G722" i="5"/>
  <c r="G721" i="5"/>
  <c r="G720" i="5"/>
  <c r="G718" i="5"/>
  <c r="G717" i="5"/>
  <c r="G716" i="5"/>
  <c r="G715" i="5"/>
  <c r="G714" i="5"/>
  <c r="G713" i="5"/>
  <c r="G711" i="5"/>
  <c r="G710" i="5"/>
  <c r="G706" i="5"/>
  <c r="G705" i="5"/>
  <c r="G704" i="5"/>
  <c r="G703" i="5"/>
  <c r="G702" i="5"/>
  <c r="G701" i="5"/>
  <c r="G700" i="5"/>
  <c r="G699" i="5"/>
  <c r="G698" i="5"/>
  <c r="G697" i="5"/>
  <c r="G696" i="5"/>
  <c r="G695" i="5"/>
  <c r="G694" i="5"/>
  <c r="G693" i="5"/>
  <c r="G692" i="5"/>
  <c r="G691" i="5"/>
  <c r="G690" i="5"/>
  <c r="G689" i="5"/>
  <c r="G688" i="5"/>
  <c r="G687" i="5"/>
  <c r="G686" i="5"/>
  <c r="G685" i="5"/>
  <c r="G683" i="5"/>
  <c r="G682" i="5"/>
  <c r="G681" i="5"/>
  <c r="G680" i="5"/>
  <c r="G679" i="5"/>
  <c r="G678" i="5"/>
  <c r="G677" i="5"/>
  <c r="G676" i="5"/>
  <c r="G675" i="5"/>
  <c r="G674" i="5"/>
  <c r="G673" i="5"/>
  <c r="G672" i="5"/>
  <c r="G671" i="5"/>
  <c r="G670" i="5"/>
  <c r="G669" i="5"/>
  <c r="G668" i="5"/>
  <c r="G667" i="5"/>
  <c r="G666" i="5"/>
  <c r="G664" i="5"/>
  <c r="G663" i="5"/>
  <c r="G662" i="5"/>
  <c r="G659" i="5"/>
  <c r="G658" i="5"/>
  <c r="G657" i="5"/>
  <c r="G655" i="5"/>
  <c r="G654" i="5"/>
  <c r="G653" i="5"/>
  <c r="G651" i="5"/>
  <c r="G650" i="5"/>
  <c r="G649" i="5"/>
  <c r="G648" i="5"/>
  <c r="G647" i="5"/>
  <c r="G646" i="5"/>
  <c r="G645" i="5"/>
  <c r="G644" i="5"/>
  <c r="G643" i="5"/>
  <c r="G642" i="5"/>
  <c r="G641" i="5"/>
  <c r="G640" i="5"/>
  <c r="G639" i="5"/>
  <c r="G638" i="5"/>
  <c r="G637" i="5"/>
  <c r="G636" i="5"/>
  <c r="G634" i="5"/>
  <c r="G633" i="5"/>
  <c r="G632" i="5"/>
  <c r="G631" i="5"/>
  <c r="G630" i="5"/>
  <c r="G629" i="5"/>
  <c r="G627" i="5"/>
  <c r="G626" i="5"/>
  <c r="G625" i="5"/>
  <c r="G624" i="5"/>
  <c r="G623" i="5"/>
  <c r="G621" i="5"/>
  <c r="G620" i="5"/>
  <c r="G619" i="5"/>
  <c r="G618" i="5"/>
  <c r="G617" i="5"/>
  <c r="G616" i="5"/>
  <c r="G615" i="5"/>
  <c r="G614" i="5"/>
  <c r="G612" i="5"/>
  <c r="G611" i="5"/>
  <c r="G609" i="5"/>
  <c r="G608" i="5"/>
  <c r="G606" i="5"/>
  <c r="G604" i="5"/>
  <c r="G603" i="5"/>
  <c r="G602" i="5"/>
  <c r="G601" i="5"/>
  <c r="G599" i="5"/>
  <c r="G597" i="5"/>
  <c r="G596" i="5"/>
  <c r="G595" i="5"/>
  <c r="G593" i="5"/>
  <c r="G592" i="5"/>
  <c r="G591" i="5"/>
  <c r="G590" i="5"/>
  <c r="G588" i="5"/>
  <c r="G587" i="5"/>
  <c r="G586" i="5"/>
  <c r="G585" i="5"/>
  <c r="G583" i="5"/>
  <c r="G582" i="5"/>
  <c r="G581" i="5"/>
  <c r="G580" i="5"/>
  <c r="G579" i="5"/>
  <c r="G577" i="5"/>
  <c r="G576" i="5"/>
  <c r="G575" i="5"/>
  <c r="G574" i="5"/>
  <c r="G571" i="5"/>
  <c r="G570" i="5"/>
  <c r="G569" i="5"/>
  <c r="G568" i="5"/>
  <c r="G567" i="5"/>
  <c r="G565" i="5"/>
  <c r="G564" i="5"/>
  <c r="G563" i="5"/>
  <c r="G562" i="5"/>
  <c r="G561" i="5"/>
  <c r="G560" i="5"/>
  <c r="G559" i="5"/>
  <c r="G558" i="5"/>
  <c r="G556" i="5"/>
  <c r="G555" i="5"/>
  <c r="G554" i="5"/>
  <c r="G553" i="5"/>
  <c r="G552" i="5"/>
  <c r="G551" i="5"/>
  <c r="G550" i="5"/>
  <c r="G549" i="5"/>
  <c r="G548" i="5"/>
  <c r="G547" i="5"/>
  <c r="G546" i="5"/>
  <c r="G544" i="5"/>
  <c r="G543" i="5"/>
  <c r="G542" i="5"/>
  <c r="G541" i="5"/>
  <c r="G540" i="5"/>
  <c r="G539" i="5"/>
  <c r="G538" i="5"/>
  <c r="G537" i="5"/>
  <c r="G535" i="5"/>
  <c r="G534" i="5"/>
  <c r="G532" i="5"/>
  <c r="G531" i="5"/>
  <c r="G530" i="5"/>
  <c r="G529" i="5"/>
  <c r="G528" i="5"/>
  <c r="G527" i="5"/>
  <c r="G526" i="5"/>
  <c r="G525" i="5"/>
  <c r="G523" i="5"/>
  <c r="G522" i="5"/>
  <c r="G521" i="5"/>
  <c r="G519" i="5"/>
  <c r="G518" i="5"/>
  <c r="G517" i="5"/>
  <c r="G516" i="5"/>
  <c r="G515" i="5"/>
  <c r="G514" i="5"/>
  <c r="G513" i="5"/>
  <c r="G512" i="5"/>
  <c r="G511" i="5"/>
  <c r="G509" i="5"/>
  <c r="G508" i="5"/>
  <c r="G507" i="5"/>
  <c r="G506" i="5"/>
  <c r="G505" i="5"/>
  <c r="G504" i="5"/>
  <c r="G503" i="5"/>
  <c r="G501" i="5"/>
  <c r="G500" i="5"/>
  <c r="G499" i="5"/>
  <c r="G498" i="5"/>
  <c r="G497" i="5"/>
  <c r="G496" i="5"/>
  <c r="G493" i="5"/>
  <c r="G492" i="5"/>
  <c r="G491" i="5"/>
  <c r="G490" i="5"/>
  <c r="G489" i="5"/>
  <c r="G488" i="5"/>
  <c r="G482" i="5"/>
  <c r="G481" i="5"/>
  <c r="G480" i="5"/>
  <c r="G479" i="5"/>
  <c r="G478" i="5"/>
  <c r="G477" i="5"/>
  <c r="G476" i="5"/>
  <c r="G475" i="5"/>
  <c r="G474" i="5"/>
  <c r="G473" i="5"/>
  <c r="G472" i="5"/>
  <c r="G471" i="5"/>
  <c r="G469" i="5"/>
  <c r="G468" i="5"/>
  <c r="G467" i="5"/>
  <c r="G466" i="5"/>
  <c r="G465" i="5"/>
  <c r="G464" i="5"/>
  <c r="G463" i="5"/>
  <c r="G462" i="5"/>
  <c r="G461" i="5"/>
  <c r="G460" i="5"/>
  <c r="G458" i="5"/>
  <c r="G457" i="5"/>
  <c r="G456" i="5"/>
  <c r="G455" i="5"/>
  <c r="G454" i="5"/>
  <c r="G453" i="5"/>
  <c r="G452" i="5"/>
  <c r="G451" i="5"/>
  <c r="G450" i="5"/>
  <c r="G449" i="5"/>
  <c r="G447" i="5"/>
  <c r="G446" i="5"/>
  <c r="G445" i="5"/>
  <c r="G444" i="5"/>
  <c r="G443" i="5"/>
  <c r="G442" i="5"/>
  <c r="G441" i="5"/>
  <c r="G440" i="5"/>
  <c r="G439" i="5"/>
  <c r="G438" i="5"/>
  <c r="G436" i="5"/>
  <c r="G435" i="5"/>
  <c r="G434" i="5"/>
  <c r="G433" i="5"/>
  <c r="G431" i="5"/>
  <c r="G430" i="5"/>
  <c r="G428" i="5"/>
  <c r="G427" i="5"/>
  <c r="G426" i="5"/>
  <c r="G424" i="5"/>
  <c r="G423" i="5"/>
  <c r="G422" i="5"/>
  <c r="G421" i="5"/>
  <c r="G420" i="5"/>
  <c r="G419" i="5"/>
  <c r="G418" i="5"/>
  <c r="G417" i="5"/>
  <c r="G416" i="5"/>
  <c r="G415" i="5"/>
  <c r="G414" i="5"/>
  <c r="G413" i="5"/>
  <c r="G412" i="5"/>
  <c r="G411" i="5"/>
  <c r="G410" i="5"/>
  <c r="G409" i="5"/>
  <c r="G408" i="5"/>
  <c r="G406" i="5"/>
  <c r="G405" i="5"/>
  <c r="G404" i="5"/>
  <c r="G403" i="5"/>
  <c r="G402" i="5"/>
  <c r="G401" i="5"/>
  <c r="G400" i="5"/>
  <c r="G399" i="5"/>
  <c r="G398" i="5"/>
  <c r="G397" i="5"/>
  <c r="G396" i="5"/>
  <c r="G395" i="5"/>
  <c r="G394" i="5"/>
  <c r="G393" i="5"/>
  <c r="G392" i="5"/>
  <c r="G390" i="5"/>
  <c r="G389" i="5"/>
  <c r="G387" i="5"/>
  <c r="G386" i="5"/>
  <c r="G385" i="5"/>
  <c r="G384" i="5"/>
  <c r="G383" i="5"/>
  <c r="G382" i="5"/>
  <c r="G381" i="5"/>
  <c r="G379" i="5"/>
  <c r="G378" i="5"/>
  <c r="G377" i="5"/>
  <c r="G376" i="5"/>
  <c r="G375" i="5"/>
  <c r="G374" i="5"/>
  <c r="G373" i="5"/>
  <c r="G372" i="5"/>
  <c r="G371" i="5"/>
  <c r="G370" i="5"/>
  <c r="G369" i="5"/>
  <c r="G368" i="5"/>
  <c r="G367" i="5"/>
  <c r="G366" i="5"/>
  <c r="G365" i="5"/>
  <c r="G363" i="5"/>
  <c r="G362" i="5"/>
  <c r="G361" i="5"/>
  <c r="G360" i="5"/>
  <c r="G359" i="5"/>
  <c r="G358" i="5"/>
  <c r="G357" i="5"/>
  <c r="G356" i="5"/>
  <c r="G355" i="5"/>
  <c r="G353" i="5"/>
  <c r="G352" i="5"/>
  <c r="G349" i="5"/>
  <c r="G348" i="5"/>
  <c r="G347" i="5"/>
  <c r="G346" i="5"/>
  <c r="G345" i="5"/>
  <c r="G344" i="5"/>
  <c r="G342" i="5"/>
  <c r="G341" i="5"/>
  <c r="G340" i="5"/>
  <c r="G339" i="5"/>
  <c r="G338" i="5"/>
  <c r="G337" i="5"/>
  <c r="E335" i="5"/>
  <c r="G334" i="5"/>
  <c r="G333" i="5"/>
  <c r="G331" i="5"/>
  <c r="G330" i="5"/>
  <c r="G329" i="5"/>
  <c r="G327" i="5"/>
  <c r="G326" i="5"/>
  <c r="G324" i="5"/>
  <c r="G323" i="5"/>
  <c r="G322" i="5"/>
  <c r="E321" i="5"/>
  <c r="G321" i="5" s="1"/>
  <c r="E320" i="5"/>
  <c r="G319" i="5"/>
  <c r="G318" i="5"/>
  <c r="G316" i="5"/>
  <c r="G314" i="5"/>
  <c r="G312" i="5"/>
  <c r="G310" i="5"/>
  <c r="G309" i="5"/>
  <c r="G308" i="5"/>
  <c r="G307" i="5"/>
  <c r="G305" i="5"/>
  <c r="G303" i="5"/>
  <c r="G302" i="5"/>
  <c r="G300" i="5"/>
  <c r="G299" i="5"/>
  <c r="G298" i="5"/>
  <c r="G297" i="5"/>
  <c r="G296" i="5"/>
  <c r="G295" i="5"/>
  <c r="G294" i="5"/>
  <c r="G293" i="5"/>
  <c r="G292" i="5"/>
  <c r="G291" i="5"/>
  <c r="G290" i="5"/>
  <c r="G285" i="5"/>
  <c r="G284" i="5"/>
  <c r="G283" i="5"/>
  <c r="G282" i="5"/>
  <c r="G281" i="5"/>
  <c r="G280" i="5"/>
  <c r="G279" i="5"/>
  <c r="G278" i="5"/>
  <c r="G277" i="5"/>
  <c r="G276" i="5"/>
  <c r="G274" i="5"/>
  <c r="G273" i="5"/>
  <c r="G272" i="5"/>
  <c r="G271" i="5"/>
  <c r="G270" i="5"/>
  <c r="G269" i="5"/>
  <c r="G268" i="5"/>
  <c r="G266" i="5"/>
  <c r="G265" i="5"/>
  <c r="G264" i="5"/>
  <c r="G263" i="5"/>
  <c r="G262" i="5"/>
  <c r="G261" i="5"/>
  <c r="G260" i="5"/>
  <c r="G259" i="5"/>
  <c r="G258" i="5"/>
  <c r="G257" i="5"/>
  <c r="G256" i="5"/>
  <c r="G254" i="5"/>
  <c r="G253" i="5"/>
  <c r="G251" i="5"/>
  <c r="G249" i="5"/>
  <c r="G248" i="5"/>
  <c r="G247" i="5"/>
  <c r="G246" i="5"/>
  <c r="G245" i="5"/>
  <c r="G244" i="5"/>
  <c r="G243" i="5"/>
  <c r="G242" i="5"/>
  <c r="G217" i="5"/>
  <c r="G216" i="5"/>
  <c r="G215" i="5"/>
  <c r="G214" i="5"/>
  <c r="G213" i="5"/>
  <c r="G212" i="5"/>
  <c r="G211" i="5"/>
  <c r="G210" i="5"/>
  <c r="G209" i="5"/>
  <c r="G208" i="5"/>
  <c r="G207" i="5"/>
  <c r="G206" i="5"/>
  <c r="G205" i="5"/>
  <c r="G204" i="5"/>
  <c r="G203" i="5"/>
  <c r="G202" i="5"/>
  <c r="G200" i="5"/>
  <c r="G199" i="5"/>
  <c r="G198" i="5"/>
  <c r="G197" i="5"/>
  <c r="G196" i="5"/>
  <c r="G195" i="5"/>
  <c r="G194" i="5"/>
  <c r="G193" i="5"/>
  <c r="G192" i="5"/>
  <c r="G191" i="5"/>
  <c r="G190" i="5"/>
  <c r="G189" i="5"/>
  <c r="G188" i="5"/>
  <c r="G187" i="5"/>
  <c r="G186" i="5"/>
  <c r="G185" i="5"/>
  <c r="G184" i="5"/>
  <c r="G183" i="5"/>
  <c r="G181" i="5"/>
  <c r="G180" i="5"/>
  <c r="G179" i="5"/>
  <c r="G178" i="5"/>
  <c r="G177" i="5"/>
  <c r="G176" i="5"/>
  <c r="G175" i="5"/>
  <c r="G174" i="5"/>
  <c r="G173" i="5"/>
  <c r="G172" i="5"/>
  <c r="G171" i="5"/>
  <c r="G170" i="5"/>
  <c r="G169" i="5"/>
  <c r="G168" i="5"/>
  <c r="G167" i="5"/>
  <c r="G166" i="5"/>
  <c r="G164" i="5"/>
  <c r="G163" i="5"/>
  <c r="G162" i="5"/>
  <c r="G161" i="5"/>
  <c r="G160" i="5"/>
  <c r="G159" i="5"/>
  <c r="G158" i="5"/>
  <c r="G157" i="5"/>
  <c r="G156" i="5"/>
  <c r="G155" i="5"/>
  <c r="G154" i="5"/>
  <c r="G153" i="5"/>
  <c r="G152" i="5"/>
  <c r="G150" i="5"/>
  <c r="G149" i="5"/>
  <c r="G148" i="5"/>
  <c r="G147" i="5"/>
  <c r="G146" i="5"/>
  <c r="G144" i="5"/>
  <c r="G143" i="5"/>
  <c r="G142" i="5"/>
  <c r="G141" i="5"/>
  <c r="G140" i="5"/>
  <c r="G139" i="5"/>
  <c r="G137" i="5"/>
  <c r="G136" i="5"/>
  <c r="G135" i="5"/>
  <c r="G132" i="5"/>
  <c r="G131" i="5"/>
  <c r="G130" i="5"/>
  <c r="G129" i="5"/>
  <c r="G128" i="5"/>
  <c r="G127" i="5"/>
  <c r="G126" i="5"/>
  <c r="G125" i="5"/>
  <c r="G124" i="5"/>
  <c r="G107" i="5"/>
  <c r="G106" i="5"/>
  <c r="G105" i="5"/>
  <c r="G104" i="5"/>
  <c r="G103" i="5"/>
  <c r="G102" i="5"/>
  <c r="G101" i="5"/>
  <c r="G100" i="5"/>
  <c r="G98" i="5"/>
  <c r="G97" i="5"/>
  <c r="G96" i="5"/>
  <c r="G95" i="5"/>
  <c r="G94" i="5"/>
  <c r="G93" i="5"/>
  <c r="G92" i="5"/>
  <c r="G91" i="5"/>
  <c r="G90" i="5"/>
  <c r="G89" i="5"/>
  <c r="G88" i="5"/>
  <c r="G87" i="5"/>
  <c r="G86" i="5"/>
  <c r="G84" i="5"/>
  <c r="G83" i="5"/>
  <c r="G81" i="5"/>
  <c r="G79" i="5"/>
  <c r="G78" i="5"/>
  <c r="G77" i="5"/>
  <c r="G76" i="5"/>
  <c r="G75" i="5"/>
  <c r="G74" i="5"/>
  <c r="G73" i="5"/>
  <c r="G72" i="5"/>
  <c r="G71" i="5"/>
  <c r="G70" i="5"/>
  <c r="G69" i="5"/>
  <c r="G68" i="5"/>
  <c r="G66" i="5"/>
  <c r="G65" i="5"/>
  <c r="G64" i="5"/>
  <c r="G63" i="5"/>
  <c r="G61" i="5"/>
  <c r="G60" i="5"/>
  <c r="G59" i="5"/>
  <c r="G58" i="5"/>
  <c r="G56" i="5"/>
  <c r="G55" i="5"/>
  <c r="G54" i="5"/>
  <c r="G51" i="5"/>
  <c r="G50" i="5"/>
  <c r="G49" i="5"/>
  <c r="G48" i="5"/>
  <c r="G47" i="5"/>
  <c r="G46" i="5"/>
  <c r="G45" i="5"/>
  <c r="G44" i="5"/>
  <c r="G43" i="5"/>
  <c r="G42" i="5"/>
  <c r="G41" i="5"/>
  <c r="G40" i="5"/>
  <c r="G39" i="5"/>
  <c r="G38" i="5"/>
  <c r="G37" i="5"/>
  <c r="G36" i="5"/>
  <c r="G35" i="5"/>
  <c r="G34" i="5"/>
  <c r="G33" i="5"/>
  <c r="G31" i="5"/>
  <c r="G29" i="5"/>
  <c r="G28" i="5"/>
  <c r="G26" i="5"/>
  <c r="G25" i="5"/>
  <c r="G24" i="5"/>
  <c r="G23" i="5"/>
  <c r="G22" i="5"/>
  <c r="G20" i="5"/>
  <c r="G7" i="5"/>
  <c r="G6" i="5"/>
  <c r="G5" i="5"/>
  <c r="G807" i="5" l="1"/>
  <c r="G773" i="5"/>
  <c r="G320" i="5"/>
  <c r="G772" i="5"/>
  <c r="G812" i="5"/>
  <c r="G806" i="5"/>
  <c r="G847" i="5"/>
  <c r="G335" i="5"/>
  <c r="G1351" i="5"/>
  <c r="G484" i="5"/>
  <c r="E1737" i="5" l="1"/>
  <c r="E1735" i="5" l="1"/>
  <c r="E1664" i="5" l="1"/>
  <c r="E1661" i="5" l="1"/>
  <c r="E1657" i="5" l="1"/>
  <c r="E1651" i="5" l="1"/>
  <c r="E1623" i="5" l="1"/>
  <c r="E1620" i="5" s="1"/>
  <c r="E1579" i="5" l="1"/>
  <c r="E1573" i="5" l="1"/>
  <c r="E1587" i="5" s="1"/>
  <c r="E1565" i="5" l="1"/>
  <c r="E1569" i="5" s="1"/>
  <c r="E1391" i="5" l="1"/>
  <c r="E1387" i="5" l="1"/>
  <c r="E1385" i="5" l="1"/>
  <c r="E1383" i="5" l="1"/>
  <c r="E1378" i="5" l="1"/>
  <c r="E1326" i="5" l="1"/>
  <c r="E1323" i="5" l="1"/>
  <c r="E1289" i="5" l="1"/>
  <c r="E1247" i="5" l="1"/>
  <c r="E1235" i="5" l="1"/>
  <c r="E1165" i="5" l="1"/>
  <c r="E1169" i="5" s="1"/>
  <c r="E1167" i="5" s="1"/>
  <c r="E1161" i="5" l="1"/>
  <c r="E1149" i="5" l="1"/>
  <c r="E622" i="5" l="1"/>
  <c r="E613" i="5" s="1"/>
  <c r="E566" i="5" l="1"/>
  <c r="E557" i="5" l="1"/>
  <c r="E1748" i="5" l="1"/>
  <c r="E533" i="5" l="1"/>
  <c r="E1644" i="5" l="1"/>
  <c r="E1635" i="5" s="1"/>
  <c r="E27" i="5" l="1"/>
  <c r="E17" i="5" l="1"/>
  <c r="E917" i="5" l="1"/>
  <c r="E923" i="5"/>
  <c r="E425" i="5"/>
  <c r="E605" i="5"/>
  <c r="E578" i="5"/>
  <c r="E311" i="5"/>
  <c r="E941" i="5"/>
  <c r="E1088" i="5"/>
  <c r="E1111" i="5"/>
  <c r="E1145" i="5"/>
  <c r="E1073" i="5"/>
  <c r="E1058" i="5"/>
  <c r="E201" i="5"/>
  <c r="E887" i="5"/>
  <c r="E937" i="5"/>
  <c r="E589" i="5"/>
  <c r="E584" i="5"/>
  <c r="E989" i="5"/>
  <c r="E1122" i="5"/>
  <c r="E134" i="5"/>
  <c r="E328" i="5"/>
  <c r="E306" i="5"/>
  <c r="E267" i="5"/>
  <c r="E145" i="5"/>
  <c r="E407" i="5"/>
  <c r="E380" i="5"/>
  <c r="E364" i="5"/>
  <c r="E388" i="5"/>
  <c r="E1120" i="5"/>
  <c r="E62" i="5"/>
  <c r="E53" i="5"/>
  <c r="E1132" i="5"/>
  <c r="E665" i="5"/>
  <c r="E600" i="5"/>
  <c r="E1154" i="5"/>
  <c r="E80" i="5"/>
  <c r="E1086" i="5"/>
  <c r="E761" i="5"/>
  <c r="E165" i="5"/>
  <c r="E814" i="5"/>
  <c r="E802" i="5"/>
  <c r="E791" i="5"/>
  <c r="E752" i="5"/>
  <c r="E737" i="5"/>
  <c r="E743" i="5"/>
  <c r="E777" i="5"/>
  <c r="E757" i="5"/>
  <c r="E770" i="5"/>
  <c r="E805" i="5"/>
  <c r="E788" i="5"/>
  <c r="E1030" i="5"/>
  <c r="E820" i="5"/>
  <c r="E1117" i="5"/>
  <c r="E594" i="5"/>
  <c r="E734" i="5"/>
  <c r="E218" i="5"/>
  <c r="E241" i="5"/>
  <c r="E1126" i="5"/>
  <c r="E573" i="5"/>
  <c r="E275" i="5"/>
  <c r="E1084" i="5"/>
  <c r="E880" i="5"/>
  <c r="E1062" i="5"/>
  <c r="E997" i="5"/>
  <c r="E1048" i="5"/>
  <c r="E1090" i="5"/>
  <c r="E1076" i="5"/>
  <c r="E1113" i="5"/>
  <c r="E661" i="5"/>
  <c r="E1001" i="5"/>
  <c r="E947" i="5"/>
  <c r="E841" i="5"/>
  <c r="E712" i="5"/>
  <c r="E684" i="5"/>
  <c r="E67" i="5"/>
  <c r="E1130" i="5"/>
  <c r="E1137" i="5"/>
  <c r="E1141" i="5"/>
  <c r="E1054" i="5"/>
  <c r="E607" i="5"/>
  <c r="E250" i="5"/>
  <c r="E182" i="5"/>
  <c r="E151" i="5"/>
  <c r="E343" i="5"/>
  <c r="E960" i="5"/>
  <c r="E977" i="5"/>
  <c r="E964" i="5"/>
  <c r="E1067" i="5"/>
  <c r="E1080" i="5"/>
  <c r="E1094" i="5"/>
  <c r="E1097" i="5"/>
  <c r="E429" i="5"/>
  <c r="E57" i="5"/>
  <c r="E470" i="5"/>
  <c r="E1373" i="5"/>
  <c r="E1104" i="5"/>
  <c r="E1360" i="5"/>
  <c r="E1296" i="5"/>
  <c r="E1795" i="5"/>
  <c r="E1268" i="5"/>
  <c r="E1177" i="5"/>
  <c r="E1206" i="5"/>
  <c r="E1648" i="5"/>
  <c r="E728" i="5"/>
  <c r="E1533" i="5"/>
  <c r="E1629" i="5"/>
  <c r="E1255" i="5"/>
  <c r="E912" i="5"/>
  <c r="E1389" i="5"/>
  <c r="E1799" i="5"/>
  <c r="E1402" i="5"/>
  <c r="E1227" i="5"/>
  <c r="E1300" i="5"/>
  <c r="E1199" i="5"/>
  <c r="E1611" i="5"/>
  <c r="E1423" i="5"/>
  <c r="E1484" i="5"/>
  <c r="E1593" i="5"/>
  <c r="E635" i="5"/>
  <c r="E1787" i="5"/>
  <c r="E1518" i="5"/>
  <c r="E1797" i="5"/>
  <c r="E1495" i="5"/>
  <c r="E32" i="5"/>
  <c r="E1626" i="5"/>
  <c r="E1314" i="5"/>
  <c r="E1318" i="5"/>
  <c r="E1219" i="5"/>
  <c r="E1263" i="5"/>
  <c r="E1772" i="5"/>
  <c r="E30" i="5"/>
  <c r="E1307" i="5"/>
  <c r="E483" i="5"/>
  <c r="E524" i="5"/>
  <c r="E520" i="5"/>
  <c r="E1223" i="5"/>
  <c r="E1215" i="5"/>
  <c r="E1739" i="5"/>
  <c r="E1340" i="5"/>
  <c r="E1335" i="5"/>
  <c r="E1506" i="5"/>
  <c r="E502" i="5"/>
  <c r="E510" i="5"/>
  <c r="E652" i="5"/>
  <c r="E1590" i="5"/>
  <c r="E1576" i="5"/>
  <c r="E1181" i="5"/>
  <c r="E1210" i="5"/>
  <c r="E1231" i="5"/>
  <c r="E1243" i="5"/>
  <c r="E1271" i="5"/>
  <c r="E1332" i="5"/>
  <c r="E1356" i="5"/>
  <c r="E1369" i="5"/>
  <c r="E1157" i="5"/>
  <c r="E1395" i="5"/>
  <c r="E1393" i="5"/>
  <c r="E459" i="5"/>
  <c r="E610" i="5"/>
  <c r="E437" i="5"/>
  <c r="E1186" i="5"/>
  <c r="E1202" i="5"/>
  <c r="E1192" i="5"/>
  <c r="E1252" i="5"/>
  <c r="E82" i="5"/>
  <c r="E628" i="5"/>
  <c r="E1707" i="5"/>
  <c r="E1680" i="5"/>
  <c r="E448" i="5"/>
  <c r="E1616" i="5"/>
  <c r="E1801" i="5"/>
  <c r="E1273" i="5"/>
  <c r="E545" i="5"/>
  <c r="E536" i="5"/>
  <c r="E1173" i="5"/>
  <c r="E1670" i="5"/>
  <c r="E85" i="5"/>
  <c r="E1537" i="5"/>
  <c r="E495" i="5"/>
  <c r="E432" i="5"/>
  <c r="G848" i="5"/>
  <c r="G846" i="5"/>
  <c r="E656" i="5"/>
  <c r="E1771" i="5" l="1"/>
  <c r="E1325" i="5"/>
  <c r="E1372" i="5"/>
  <c r="E1234" i="5"/>
  <c r="E1483" i="5"/>
  <c r="E1246" i="5"/>
  <c r="E1262" i="5"/>
  <c r="E1000" i="5"/>
  <c r="E1053" i="5"/>
  <c r="E1160" i="5"/>
  <c r="E1669" i="5"/>
  <c r="E133" i="5"/>
  <c r="E940" i="5"/>
  <c r="E572" i="5"/>
  <c r="E1359" i="5"/>
  <c r="E959" i="5"/>
  <c r="E1270" i="5"/>
  <c r="E1377" i="5"/>
  <c r="E1679" i="5"/>
  <c r="E1299" i="5"/>
  <c r="E1079" i="5"/>
  <c r="E660" i="5"/>
  <c r="E886" i="5"/>
  <c r="E1066" i="5"/>
  <c r="E1578" i="5"/>
  <c r="E819" i="5"/>
  <c r="E1116" i="5"/>
  <c r="E1564" i="5"/>
  <c r="E1185" i="5"/>
  <c r="E1592" i="5"/>
  <c r="G354" i="5"/>
  <c r="G1825" i="5" s="1"/>
  <c r="E1153" i="5"/>
  <c r="E1339" i="5"/>
  <c r="E52" i="5"/>
  <c r="E1093" i="5"/>
  <c r="E1214" i="5"/>
  <c r="E351" i="5"/>
  <c r="E1125" i="5"/>
  <c r="E736" i="5"/>
  <c r="E1778" i="5"/>
  <c r="E350" i="5" l="1"/>
</calcChain>
</file>

<file path=xl/sharedStrings.xml><?xml version="1.0" encoding="utf-8"?>
<sst xmlns="http://schemas.openxmlformats.org/spreadsheetml/2006/main" count="3791" uniqueCount="2231">
  <si>
    <t>Provision for traffic</t>
  </si>
  <si>
    <t>Travel Time Surveys</t>
  </si>
  <si>
    <t>Construction and removal of side track</t>
  </si>
  <si>
    <t>Supply of temporary barrier end treatments</t>
  </si>
  <si>
    <t>Installation of temporary barrier end treatments</t>
  </si>
  <si>
    <t>Develop Environmental Management Plan (Construction)</t>
  </si>
  <si>
    <t>Implement Environmental Management Plan (Construction)</t>
  </si>
  <si>
    <t>Cultural Heritage Management</t>
  </si>
  <si>
    <t>Removal or demolition of concrete kerb including kerb crossings</t>
  </si>
  <si>
    <t>Removal or demolition of concrete channel</t>
  </si>
  <si>
    <t>Removal or demolition of concrete kerb and channel including kerb crossings</t>
  </si>
  <si>
    <t>Removal or demolition of concrete slabs</t>
  </si>
  <si>
    <t>Removal or demolition of gullies</t>
  </si>
  <si>
    <t>Fabric encased concrete batter protection in cut-off walls</t>
  </si>
  <si>
    <t>Fabric encased concrete batter protection on batter faces</t>
  </si>
  <si>
    <t>Steel wire mattress protection work</t>
  </si>
  <si>
    <t>Rock protection</t>
  </si>
  <si>
    <t>Grouted rock pitching</t>
  </si>
  <si>
    <t>Rock masonry</t>
  </si>
  <si>
    <t>Concrete machinery crossings</t>
  </si>
  <si>
    <t>Concrete rail track crossings</t>
  </si>
  <si>
    <t>Concrete batters</t>
  </si>
  <si>
    <t>Concrete margins</t>
  </si>
  <si>
    <t>Linings in drains and channels, grouted rock pitching</t>
  </si>
  <si>
    <t>Linings in drains and channels, reinforced concrete</t>
  </si>
  <si>
    <t>Linings in drains and channels, unreinforced concrete</t>
  </si>
  <si>
    <t>Supply and installation of reinforcement geosynthetic material for stone columns</t>
  </si>
  <si>
    <t>Granular working platform for stone columns</t>
  </si>
  <si>
    <t>Vertical sand drains</t>
  </si>
  <si>
    <t>Vertical wick filter drains, plastic core</t>
  </si>
  <si>
    <t>Strip filter drains</t>
  </si>
  <si>
    <t>Sheet filter drains</t>
  </si>
  <si>
    <t>Shoulder dykes, precast concrete blocks</t>
  </si>
  <si>
    <t>Shoulder dykes, asphalt</t>
  </si>
  <si>
    <t>Shoulder dykes, concrete</t>
  </si>
  <si>
    <t>Aprons to culverts, steel wire mattresses</t>
  </si>
  <si>
    <t>Aprons to culverts, grouted rock pitching</t>
  </si>
  <si>
    <t>Aprons to culverts, unreinforced concrete</t>
  </si>
  <si>
    <t>Aprons to culverts, reinforced concrete</t>
  </si>
  <si>
    <t>End structures to culverts, concrete masonry</t>
  </si>
  <si>
    <t>End structures to culverts, rock masonry</t>
  </si>
  <si>
    <t>End structures to culverts, unreinforced concrete</t>
  </si>
  <si>
    <t>End structures to culverts, reinforced concrete</t>
  </si>
  <si>
    <t>Concrete unitary box culverts</t>
  </si>
  <si>
    <t>Concrete slab decks and kerbs in culverts</t>
  </si>
  <si>
    <t>Concrete abutments and piers in culverts</t>
  </si>
  <si>
    <t>Concrete infill floors in culverts</t>
  </si>
  <si>
    <t>Concrete footings in culverts</t>
  </si>
  <si>
    <t>Concrete bases in culverts</t>
  </si>
  <si>
    <t>Concrete end plugs for culverts</t>
  </si>
  <si>
    <t>Pre-splitting batters of rock cuttings</t>
  </si>
  <si>
    <t>Excavation for catch drains, all materials</t>
  </si>
  <si>
    <t>Excavation for diversion drains, all materials</t>
  </si>
  <si>
    <t>Excavation for diversion channels, all materials</t>
  </si>
  <si>
    <t>Excavation to clear waterways at bridge abutments, all materials</t>
  </si>
  <si>
    <t>Ground surface treatment, special (cubic metres)</t>
  </si>
  <si>
    <t>Ground surface treatment, special (square metres)</t>
  </si>
  <si>
    <t>Ground surface treatment under embankment, standard</t>
  </si>
  <si>
    <t>Bridge site preparation</t>
  </si>
  <si>
    <t>Clearing and grubbing</t>
  </si>
  <si>
    <t>Additional Excavation (Provisional Quantity)</t>
  </si>
  <si>
    <t>Pavement Drain Cleanout Point</t>
  </si>
  <si>
    <t>Pavement Drain Outlets</t>
  </si>
  <si>
    <t>Pavement Drain</t>
  </si>
  <si>
    <t>Crib walls</t>
  </si>
  <si>
    <t>Widening of the existing formation (metres)</t>
  </si>
  <si>
    <t>Entrances to private property</t>
  </si>
  <si>
    <t>Turnouts</t>
  </si>
  <si>
    <t>Supply and place bitumen de-bonding treatment</t>
  </si>
  <si>
    <t>Finish and cure lean mix sub-base</t>
  </si>
  <si>
    <t>Supply and place lean mix concrete sub-base</t>
  </si>
  <si>
    <t>Supply of additional materials</t>
  </si>
  <si>
    <t>Trim substrate to tolerance</t>
  </si>
  <si>
    <t>Supply of stabilising agent</t>
  </si>
  <si>
    <t>Plant-mixed stabilised pavement</t>
  </si>
  <si>
    <t>Removal and salvage of road furniture, as listed in Clause 1.1 of Annexure MRTS14.1</t>
  </si>
  <si>
    <t>Demolition of road furniture, as listed in Clause 3 of Annexure MRTS14.1</t>
  </si>
  <si>
    <t>Crack filling (Provisional Quantity)</t>
  </si>
  <si>
    <t>Preparation of the existing surface</t>
  </si>
  <si>
    <t>Bituminous slurry micro-surfacing, QS10</t>
  </si>
  <si>
    <t>Bituminous slurry micro-surfacing, QS7</t>
  </si>
  <si>
    <t>Bituminous slurry micro-surfacing, QS5</t>
  </si>
  <si>
    <t>Bituminous slurry seal, QS7</t>
  </si>
  <si>
    <t>Bituminous slurry seal, QS5</t>
  </si>
  <si>
    <t>Bituminous slurry seal, QS3</t>
  </si>
  <si>
    <t>Preparation of existing surface</t>
  </si>
  <si>
    <t>Barrier end treatment</t>
  </si>
  <si>
    <t>Tensioned wire rope barrier system terminal anchors</t>
  </si>
  <si>
    <t>Installation of tensioned wire rope barrier system including all necessary intermediate anchors</t>
  </si>
  <si>
    <t>Steel beam guardrail, thrie beam</t>
  </si>
  <si>
    <t>Steel beam guardrail, w beam</t>
  </si>
  <si>
    <t>Precast concrete barrier</t>
  </si>
  <si>
    <t>Galvanised cover assembly at opening for light pole</t>
  </si>
  <si>
    <t>Installation of pedestrian lantern</t>
  </si>
  <si>
    <t>Removal and transport of conduit(s), (all diameters, all materials, all types)</t>
  </si>
  <si>
    <t>Supply and installation of draw rope in existing conduit</t>
  </si>
  <si>
    <t>Removal of underground cable</t>
  </si>
  <si>
    <t>Removal of road lighting luminaire</t>
  </si>
  <si>
    <t>Supply and installation of cabling for luminaire on bridge balustrade with loop in, loop out supply</t>
  </si>
  <si>
    <t>Supply and installation of pedestrian crossing floodlight mounting bracket</t>
  </si>
  <si>
    <t>Installation of pedestrian crossing floodlight</t>
  </si>
  <si>
    <t>Installation of road lighting luminaire</t>
  </si>
  <si>
    <t>Installation of wall mounted road lighting bracket</t>
  </si>
  <si>
    <t>Installation of underbridge road lighting bracket</t>
  </si>
  <si>
    <t>Installation of pedestrian crossing floodlight mounting bracket</t>
  </si>
  <si>
    <t>Installation of road lighting luminaire headframe</t>
  </si>
  <si>
    <t>Installation of road lighting outreach arm extension</t>
  </si>
  <si>
    <t>Installation of road lighting outreach arm</t>
  </si>
  <si>
    <t>Supply and installation of Personality EPROM</t>
  </si>
  <si>
    <t>Supply of traffic signal controller</t>
  </si>
  <si>
    <t>Erection of transverse stressing units</t>
  </si>
  <si>
    <t>Transverse stressing units, supply on Site</t>
  </si>
  <si>
    <t>Trimming of steel pile heads including welding of bond bars</t>
  </si>
  <si>
    <t>Drilling and firing for steel piles</t>
  </si>
  <si>
    <t>Setting up for drilling and firing for steel piles</t>
  </si>
  <si>
    <t>Jetting for steel piles</t>
  </si>
  <si>
    <t>Setting up for jetting for steel piles</t>
  </si>
  <si>
    <t>Pre-boring for steel piles</t>
  </si>
  <si>
    <t>Setting up for pre-boring for steel piles</t>
  </si>
  <si>
    <t>Driving steel piles (Provisional Quantity)</t>
  </si>
  <si>
    <t>Handling and pitching of steel piles</t>
  </si>
  <si>
    <t>Steel piles, supply on Site</t>
  </si>
  <si>
    <t>Excavation below toes of liners</t>
  </si>
  <si>
    <t>Excavation of liners</t>
  </si>
  <si>
    <t>Handling and pitching of steel liners</t>
  </si>
  <si>
    <t>Supply and fixing of stiffening bands</t>
  </si>
  <si>
    <t>Flexible electrical conduit</t>
  </si>
  <si>
    <t>Stabilised sand in footway</t>
  </si>
  <si>
    <t>Bridging strips, compressible fillers and isolation inserts</t>
  </si>
  <si>
    <t>Permanent survey mark</t>
  </si>
  <si>
    <t>Anchors for road lighting brackets</t>
  </si>
  <si>
    <t>Anchors for guardrail terminals</t>
  </si>
  <si>
    <t>Anchors for bridge rail</t>
  </si>
  <si>
    <t>Reinforcing steel in relieving slabs</t>
  </si>
  <si>
    <t>Erection of steel cross bracing</t>
  </si>
  <si>
    <t>Steel cross bracing, supply on Site</t>
  </si>
  <si>
    <t>Installation of dowel bars</t>
  </si>
  <si>
    <t>Installation of steel reinforcing bars in existing concrete</t>
  </si>
  <si>
    <t>Removal of existing bridge rails and posts</t>
  </si>
  <si>
    <t>Bituminous waterproof membrane for bridges</t>
  </si>
  <si>
    <t>Anti-graffiti protection coating, non-sacrificial</t>
  </si>
  <si>
    <t>Cast-in aluminium bridge deck expansion joints</t>
  </si>
  <si>
    <t>Bolted-in aluminium bridge deck expansion joints</t>
  </si>
  <si>
    <t>Description</t>
  </si>
  <si>
    <t>Removal of aerial cable</t>
  </si>
  <si>
    <t>lump sum</t>
  </si>
  <si>
    <t>m</t>
  </si>
  <si>
    <t>each</t>
  </si>
  <si>
    <t>m³</t>
  </si>
  <si>
    <t>tonne</t>
  </si>
  <si>
    <t>litre</t>
  </si>
  <si>
    <t>m²</t>
  </si>
  <si>
    <t>Project Name :</t>
  </si>
  <si>
    <t>Project Number :</t>
  </si>
  <si>
    <t>Contract Number :</t>
  </si>
  <si>
    <t>(*Amounts in whole dollars only. Disregard cents less than 50. Treat cents over as next dollar)</t>
  </si>
  <si>
    <t>Removal and salvage of porphyry kerb (Refer CTS03)</t>
  </si>
  <si>
    <t>Precast concrete kerb blocks, 300/vertical, with channel in accordance with BCC standard drawing BSD-2002 (Refer CTS03)</t>
  </si>
  <si>
    <t>Subsoil drains, Type B in accordance with BCC standard drawing BSD-2041 (Refer CTS03)</t>
  </si>
  <si>
    <t>Subsoil drains, Type D in accordance with BCC standard drawing BSD-2041 (Refer CTS03)</t>
  </si>
  <si>
    <t>Construction of roof water outlet in footpath in accordance with BCC standard drawing BSD-8114 (Refer CTS03)</t>
  </si>
  <si>
    <t>m2</t>
  </si>
  <si>
    <t>Supply and installation of TripstopTM articulation joint in hand placed concrete paving (Refer CTS03)</t>
  </si>
  <si>
    <t>kg</t>
  </si>
  <si>
    <t>Spreading of organic soil conditioner prior to ground preparation (Provisional Quantity, if ordered) (Refer CTS16)</t>
  </si>
  <si>
    <t>Spreading of wetting agent prior to ground preparation (Provisional Quantity, if ordered) (Refer CTS16)</t>
  </si>
  <si>
    <t>Timber garden edging in accordance with BCC standard drawing BSD-9061 (Refer CTS16)</t>
  </si>
  <si>
    <t>Concrete garden edging in accordance with BCC standard drawing BSD-9061 (Refer CTS16)</t>
  </si>
  <si>
    <t>Unit paver garden edging in accordance with BCC standard drawing BSD-9061 (Refer CTS16)</t>
  </si>
  <si>
    <t>Spade garden edging in accordance with BCC standard drawing BSD-9061 (Refer CTS16)</t>
  </si>
  <si>
    <t>Join new pavement to existing pavement. (Refer CTS05)</t>
  </si>
  <si>
    <t>Supply and installation of rest rails in accordance with BCC standard drawing BSD-5001 (Refer CTS14)</t>
  </si>
  <si>
    <t>Reinstatement of bitumen seal driveway in accordance with BCC standard drawing BSD-2026 (Refer CTS05)</t>
  </si>
  <si>
    <t>Spotting only for longitudinal lines (Refer CTS45)</t>
  </si>
  <si>
    <t>Audio tactile line marking – Double barrier line, consisting of two barrier lines each 80 mm wide, 50 mm rib length, 250 mm gap length, 8 mm rib height (applied to both lines). (Refer CTS45)</t>
  </si>
  <si>
    <t>Transverse lines, (Arrows, straight), Colour (White) Material (long-life) (Refer CTS45)</t>
  </si>
  <si>
    <t>Each</t>
  </si>
  <si>
    <t>Transverse lines, (Arrows, turn), Colour (White) Material (long-life) (Refer CTS45)</t>
  </si>
  <si>
    <t>Transverse lines, (Arrows, double), Colour (White) Material (long-life) (Refer CTS45)</t>
  </si>
  <si>
    <t>Transverse lines, (Arrows, treble), Colour (White) Material (long-life) (Refer CTS45)</t>
  </si>
  <si>
    <t>Transverse lines, (Arrows, Merge), Colour (White) Material (long-life) (Refer CTS45)</t>
  </si>
  <si>
    <t>Transverse lines, (Arrows, Bus Lane Double), Colour (White) Material (long-life) (Refer CTS45)</t>
  </si>
  <si>
    <t>Transverse lines, (Triangle), Colour (White) Material (long-life) (Refer CTS45)</t>
  </si>
  <si>
    <t>Transverse lines, (Zebra Bar), Colour (White) Material (long-life) (Refer CTS45)</t>
  </si>
  <si>
    <t>Transverse lines, (Letter Number), Colour (White) Material (long-life) (Refer CTS45)</t>
  </si>
  <si>
    <t>Transverse lines, (Bike Symbol), Colour (White/Yellow) Material (long-life) (Refer CTS45)</t>
  </si>
  <si>
    <t>Transverse lines, (Piano Keys speed hump markings), Colour (White) Material (long-life) (Refer CTS45)</t>
  </si>
  <si>
    <t>Transverse lines, (Stop line including tail), Colour (White) Material (long-life) (Refer CTS45)</t>
  </si>
  <si>
    <t>Transverse lines, (Holding line including tail), Colour (White) Material (long-life) (Refer CTS45)</t>
  </si>
  <si>
    <t>Transverse lines, ( Pedestrian Crosswalk line) (Single Line), Colour (White) Material (long-life) (Refer CTS45)</t>
  </si>
  <si>
    <t>Transverse Lines (diagonal and chevron, markings), colour (White), material, Paint (Refer CTS45)</t>
  </si>
  <si>
    <t>Transverse Lines (kerb markings), colour White, material, (Paint) (Refer CTS45)</t>
  </si>
  <si>
    <t>Transverse lines, (Parking Bay), Colour (White) Material (long-life) (Refer CTS45)</t>
  </si>
  <si>
    <t>Transverse lines, (Loading/ Bus Zone), Colour (Yellow) Material (long-life) (Refer CTS45)</t>
  </si>
  <si>
    <t>Retroreflective raised pavement markers. (Refer CTS45)</t>
  </si>
  <si>
    <t>Non-reflective raised pavement markers (Refer CTS45)</t>
  </si>
  <si>
    <t>Temporary raised pavement markers. (Refer CTS45)</t>
  </si>
  <si>
    <t>Pavement bars (Refer CTS45)</t>
  </si>
  <si>
    <t>Supply, handling, pitching and driving timber piles (Refer CTS66)</t>
  </si>
  <si>
    <t>Lodge metered electrical or lighting connection request to relevant electrical retailers (Refer CTS94)</t>
  </si>
  <si>
    <t>Lodge un-metered electrical or lighting connection request to relevant electrical retailers (Refer CTS94)</t>
  </si>
  <si>
    <t>Supply/upgrade and installation of switching equipment in existing switchboards (Refer CTS94)</t>
  </si>
  <si>
    <t>Re-location, removal and/or installation of consumer’s electrical switchboard and associated equipment (Refer CTS94)</t>
  </si>
  <si>
    <t>Relocation of existing private lighting, poles and lighting circuits to within private property (Refer CTS94)</t>
  </si>
  <si>
    <t>Preparation and submission of As-Constructed drawings and asset information (Refer CTS99)</t>
  </si>
  <si>
    <t>Supply of anti gawking screens (Provisional Quantity, if ordered)</t>
  </si>
  <si>
    <t>Installation of anti gawking screens (Provisional Quantity, if ordered)</t>
  </si>
  <si>
    <t>Erosion and Sediment Control Plan/s</t>
  </si>
  <si>
    <t>Independent Verification and Auditing</t>
  </si>
  <si>
    <t>Geobinders (Provisional Quantity)</t>
  </si>
  <si>
    <t>Temporary Cover Crop (Provisional Quantity)</t>
  </si>
  <si>
    <t>Kerb Inlet Protection (Provisional Quantity)</t>
  </si>
  <si>
    <t>Drop Inlet Protection (Provisional Quantity)</t>
  </si>
  <si>
    <t>In-Stream Silt Curtain (Provisional Quantity)</t>
  </si>
  <si>
    <t>Erosion and Sediment Control Devices (Non-Itemised)</t>
  </si>
  <si>
    <t>Silt / Sediment Fence (Provisional Quantity)</t>
  </si>
  <si>
    <t>Erosion Control Blanket (Provisional Quantity)</t>
  </si>
  <si>
    <t>Removal or demolition of access chambers</t>
  </si>
  <si>
    <t>Stone columns</t>
  </si>
  <si>
    <t>Boulder retaining wall</t>
  </si>
  <si>
    <t>Additional No Fines Concrete Filter Material (Provisional Quantity)</t>
  </si>
  <si>
    <t>Widening of the existing formation (square metres)</t>
  </si>
  <si>
    <t>Supply and application of grit to the surface of stone mastic asphalt</t>
  </si>
  <si>
    <t>Plant-mixed pavement layer stabilised using foamed bitumen</t>
  </si>
  <si>
    <t>Supply and place subgrade beams</t>
  </si>
  <si>
    <t>Construction of stockpile site</t>
  </si>
  <si>
    <t>Bituminous slurry rut-filling</t>
  </si>
  <si>
    <t>Strain alleviating membrane fabric strips (Provisional Quantity)</t>
  </si>
  <si>
    <t>Tack coat, residual bitumen (Provisional Quantity)</t>
  </si>
  <si>
    <t>Removal and re-erection of road furniture, as listed in Clause 4 of Annexure MRTS14.1</t>
  </si>
  <si>
    <t>Road edge guide posts</t>
  </si>
  <si>
    <t>Supply, erection and removal of project signs</t>
  </si>
  <si>
    <t>Steel traffic barriers</t>
  </si>
  <si>
    <t>item</t>
  </si>
  <si>
    <t>Supply and configuration of a hand-held SRC device to control each TVMS Sign</t>
  </si>
  <si>
    <t>Design and design documentation only of ITS ICT Network</t>
  </si>
  <si>
    <t>Removal of cable joining pit(s) (all types)</t>
  </si>
  <si>
    <t>Commissioning and testing of Personality EPROM</t>
  </si>
  <si>
    <t>Setting out and conformance for holding down bolts</t>
  </si>
  <si>
    <t>As Constructed survey for traffic signal post footing</t>
  </si>
  <si>
    <t>As Constructed survey for traffic signal mast arm footing</t>
  </si>
  <si>
    <t>As Constructed survey for road lighting pole footing</t>
  </si>
  <si>
    <t>Removal of pedestrian crossing floodlight</t>
  </si>
  <si>
    <t>Installation of mains connection including mains connection cable</t>
  </si>
  <si>
    <t>Removal of Vehicle Detection Equipment for re-use</t>
  </si>
  <si>
    <t>Removal of Vehicle Detection Equipment for disposal</t>
  </si>
  <si>
    <t>Survey of site to identify utilities below footpath</t>
  </si>
  <si>
    <t>Design for supply and installation of Electronic School Zone Sign</t>
  </si>
  <si>
    <t>Installation of Electronic School Zone Sign hinge pole</t>
  </si>
  <si>
    <t>Removal of Electronic School Zone Sign pole footing</t>
  </si>
  <si>
    <t>Removal of telecommunications cable, equipment or other ancillary components from for disposal</t>
  </si>
  <si>
    <t>Removal of field cabinet plinth base</t>
  </si>
  <si>
    <t>Storage of timber bridge materials and components at Site</t>
  </si>
  <si>
    <t>Steel reinforcing bar in abutments including parapet terminals and piers</t>
  </si>
  <si>
    <t>Driving steel liners</t>
  </si>
  <si>
    <t>Extension of steel liners (Provisional Quantity, as directed)</t>
  </si>
  <si>
    <t>Steel reinforcing bar in lined and bored piles</t>
  </si>
  <si>
    <t>Setting up for re-driving of prestressed concrete piles (Provisional Quantity, as directed)</t>
  </si>
  <si>
    <t>Splicing steel piles (Provisional Quantity, as directed)</t>
  </si>
  <si>
    <t>Setting up for re-driving of steel piles (Provisional Quantity, as directed)</t>
  </si>
  <si>
    <t>High strain dynamic testing of piles</t>
  </si>
  <si>
    <t>High strain dynamic testing of pile in difficult conditions to determine final set for subsequent piles</t>
  </si>
  <si>
    <t>Transverse prestressing of deck</t>
  </si>
  <si>
    <t>Installation of bearings for rolled steel girders</t>
  </si>
  <si>
    <t>Supply and installation of girder restraints</t>
  </si>
  <si>
    <t>Evaporative retarding curing compound</t>
  </si>
  <si>
    <t>Sockets for expansion joints</t>
  </si>
  <si>
    <t>Bridge date plate</t>
  </si>
  <si>
    <t>Joint sealants</t>
  </si>
  <si>
    <t>Precast concrete footway slab</t>
  </si>
  <si>
    <t>Navigation markers</t>
  </si>
  <si>
    <t>Capping anchorage recesses and anchorage</t>
  </si>
  <si>
    <t>Fibre reinforced concrete bridge deck expansion joints</t>
  </si>
  <si>
    <t>Anti-graffiti protection coating, sacrificial</t>
  </si>
  <si>
    <t>Survey for removal of Deck Wearing Surface</t>
  </si>
  <si>
    <t>Full coating systems on steelwork with 30 year design life</t>
  </si>
  <si>
    <t>Top coat of existing Zinga Liquid Galvanizing with 30 year design life</t>
  </si>
  <si>
    <t>Full coating system on steelwork with 15 year design life</t>
  </si>
  <si>
    <t>Top coat of existing ZingaMetall Acryltop with 15 year design life</t>
  </si>
  <si>
    <t>Temporary barrier guardrail</t>
  </si>
  <si>
    <t>Preparation and implementation of the Construction Plan</t>
  </si>
  <si>
    <t>Establishment of plant and equipment (with exception of the piling equipment for floating walkway works)</t>
  </si>
  <si>
    <t>Grubbing and clearing</t>
  </si>
  <si>
    <t>Removal and disposal of existing ramp components, carpark components and/ or furniture</t>
  </si>
  <si>
    <t>Relocation of ramp or street furniture</t>
  </si>
  <si>
    <t>Relocation of existing services</t>
  </si>
  <si>
    <t>Excavate, trim and dispose of spoil</t>
  </si>
  <si>
    <t>Treatment (PASS / ASS) of spoil</t>
  </si>
  <si>
    <t>Supply and place geotextile</t>
  </si>
  <si>
    <t>Supply and place geogrid</t>
  </si>
  <si>
    <t>Supply and place precast plank special</t>
  </si>
  <si>
    <t>Core and modify existing boat ramp lane for floating walkway support lane (including abutment construction)</t>
  </si>
  <si>
    <t>Supply and place retroreflective raised pavement markers</t>
  </si>
  <si>
    <t>Construct fully grouted shoulders</t>
  </si>
  <si>
    <t>Miscellaneous civil works</t>
  </si>
  <si>
    <t>Supply and install boat ramp information signs</t>
  </si>
  <si>
    <t>As-constructed survey and handover documents</t>
  </si>
  <si>
    <t>Detailed design of floating walkway</t>
  </si>
  <si>
    <t>Supply and drive piles (including establishment of piling rig)</t>
  </si>
  <si>
    <t>Supply and install solar lighting</t>
  </si>
  <si>
    <t>Establishment of plant and equipment (with exception of the piling equipment)</t>
  </si>
  <si>
    <t>Detailed design</t>
  </si>
  <si>
    <t>Partial removal of Deck Wearing Surface</t>
  </si>
  <si>
    <t>Full depth removal of Deck Wearing Surface</t>
  </si>
  <si>
    <t xml:space="preserve">Supply of top mounted switchboard and ancillary components </t>
  </si>
  <si>
    <t xml:space="preserve">Installation of top mounted switchboard and ancillary components </t>
  </si>
  <si>
    <t>Removal and disposal of abandoned Energex poles including backfilling of resultant void (Refer CTS09)</t>
  </si>
  <si>
    <t>Preparation of the existing surface (Refer CTS30)</t>
  </si>
  <si>
    <t>Crack filling (Provisional Quantity) (Refer CTS30)</t>
  </si>
  <si>
    <t>Strain alleviating fabric strips (Provisional Quantity) (Refer CTS30)</t>
  </si>
  <si>
    <t>Dense graded asphalt, Type 1 (5mm mix) material supply only (Refer CTS30)</t>
  </si>
  <si>
    <t>Dense graded asphalt, Type 2 (10mm mix) material supply only (Refer CTS30)</t>
  </si>
  <si>
    <t>Location :</t>
  </si>
  <si>
    <t xml:space="preserve">Unit </t>
  </si>
  <si>
    <t>Unit Rate</t>
  </si>
  <si>
    <t>Amount</t>
  </si>
  <si>
    <t>Input to 'shaded' cells ONLY</t>
  </si>
  <si>
    <r>
      <t>m</t>
    </r>
    <r>
      <rPr>
        <vertAlign val="superscript"/>
        <sz val="12"/>
        <color theme="1"/>
        <rFont val="Arial"/>
        <family val="2"/>
      </rPr>
      <t>2</t>
    </r>
  </si>
  <si>
    <r>
      <t>m</t>
    </r>
    <r>
      <rPr>
        <vertAlign val="superscript"/>
        <sz val="12"/>
        <color theme="1"/>
        <rFont val="Arial"/>
        <family val="2"/>
      </rPr>
      <t>3</t>
    </r>
  </si>
  <si>
    <r>
      <t>m</t>
    </r>
    <r>
      <rPr>
        <vertAlign val="superscript"/>
        <sz val="12"/>
        <color theme="1"/>
        <rFont val="Arial"/>
        <family val="2"/>
      </rPr>
      <t xml:space="preserve">3 </t>
    </r>
  </si>
  <si>
    <t xml:space="preserve">Item </t>
  </si>
  <si>
    <r>
      <t xml:space="preserve">Installation of concrete encasement to PUP, </t>
    </r>
    <r>
      <rPr>
        <sz val="12"/>
        <color rgb="FF0000FF"/>
        <rFont val="Arial"/>
        <family val="2"/>
      </rPr>
      <t>[PUA]</t>
    </r>
    <r>
      <rPr>
        <sz val="12"/>
        <color theme="1"/>
        <rFont val="Arial"/>
        <family val="2"/>
      </rPr>
      <t>. (Refer CTS09)</t>
    </r>
  </si>
  <si>
    <r>
      <t xml:space="preserve">Removal of concrete encasement to PUP, </t>
    </r>
    <r>
      <rPr>
        <sz val="12"/>
        <color rgb="FF0000FF"/>
        <rFont val="Arial"/>
        <family val="2"/>
      </rPr>
      <t>[PUA]</t>
    </r>
    <r>
      <rPr>
        <sz val="12"/>
        <color theme="1"/>
        <rFont val="Arial"/>
        <family val="2"/>
      </rPr>
      <t>. (Refer CTS09)</t>
    </r>
  </si>
  <si>
    <r>
      <t>Concrete plugging each end of abandoned PUP,</t>
    </r>
    <r>
      <rPr>
        <sz val="12"/>
        <color rgb="FF0000FF"/>
        <rFont val="Arial"/>
        <family val="2"/>
      </rPr>
      <t xml:space="preserve"> [size] mm [material]</t>
    </r>
    <r>
      <rPr>
        <sz val="12"/>
        <color theme="1"/>
        <rFont val="Arial"/>
        <family val="2"/>
      </rPr>
      <t xml:space="preserve">, </t>
    </r>
    <r>
      <rPr>
        <sz val="12"/>
        <color rgb="FF0000FF"/>
        <rFont val="Arial"/>
        <family val="2"/>
      </rPr>
      <t>[PUA]</t>
    </r>
    <r>
      <rPr>
        <sz val="12"/>
        <color theme="1"/>
        <rFont val="Arial"/>
        <family val="2"/>
      </rPr>
      <t>. including cutting, dewatering and disposal of removed sections (Refer CTS09)</t>
    </r>
  </si>
  <si>
    <r>
      <t>Supply, place and compact</t>
    </r>
    <r>
      <rPr>
        <sz val="12"/>
        <color rgb="FF0000FF"/>
        <rFont val="Arial"/>
        <family val="2"/>
      </rPr>
      <t xml:space="preserve"> [material type]</t>
    </r>
    <r>
      <rPr>
        <sz val="12"/>
        <color theme="1"/>
        <rFont val="Arial"/>
        <family val="2"/>
      </rPr>
      <t xml:space="preserve"> granular backfill material to PUP trench (Refer CTS09)</t>
    </r>
  </si>
  <si>
    <r>
      <t xml:space="preserve">Supply and installation of Telstra works as per </t>
    </r>
    <r>
      <rPr>
        <sz val="12"/>
        <color rgb="FF0000FF"/>
        <rFont val="Arial"/>
        <family val="2"/>
      </rPr>
      <t>[description / list drawing numbers]</t>
    </r>
    <r>
      <rPr>
        <sz val="12"/>
        <color theme="1"/>
        <rFont val="Arial"/>
        <family val="2"/>
      </rPr>
      <t xml:space="preserve"> (Refer CTS09)</t>
    </r>
  </si>
  <si>
    <r>
      <t>Supply and installation of water mains and fittings</t>
    </r>
    <r>
      <rPr>
        <sz val="12"/>
        <color rgb="FF0000FF"/>
        <rFont val="Arial"/>
        <family val="2"/>
      </rPr>
      <t xml:space="preserve"> [description]</t>
    </r>
    <r>
      <rPr>
        <sz val="12"/>
        <color theme="1"/>
        <rFont val="Arial"/>
        <family val="2"/>
      </rPr>
      <t xml:space="preserve"> (Refer CTS09)</t>
    </r>
  </si>
  <si>
    <r>
      <t xml:space="preserve">Supply and installation of sewer mains, access structures and fittings </t>
    </r>
    <r>
      <rPr>
        <sz val="12"/>
        <color rgb="FF0000FF"/>
        <rFont val="Arial"/>
        <family val="2"/>
      </rPr>
      <t>[description]</t>
    </r>
    <r>
      <rPr>
        <sz val="12"/>
        <color theme="1"/>
        <rFont val="Arial"/>
        <family val="2"/>
      </rPr>
      <t xml:space="preserve"> (Refer CTS09)</t>
    </r>
  </si>
  <si>
    <r>
      <t xml:space="preserve">Remove gully </t>
    </r>
    <r>
      <rPr>
        <sz val="12"/>
        <color rgb="FF0000FF"/>
        <rFont val="Arial"/>
        <family val="2"/>
      </rPr>
      <t>[location]</t>
    </r>
    <r>
      <rPr>
        <sz val="12"/>
        <color theme="1"/>
        <rFont val="Arial"/>
        <family val="2"/>
      </rPr>
      <t xml:space="preserve"> and construct access chamber in same location, in accordance with BCC standard drawings BSD-8021, BSD-8023, BSD-8024 and BSD-8025 (Refer CTS03)</t>
    </r>
  </si>
  <si>
    <r>
      <t xml:space="preserve">Break into existing </t>
    </r>
    <r>
      <rPr>
        <sz val="12"/>
        <color rgb="FF0000FF"/>
        <rFont val="Arial"/>
        <family val="2"/>
      </rPr>
      <t>[gully/ manhole/ structure] [at location or Structure Number]</t>
    </r>
    <r>
      <rPr>
        <sz val="12"/>
        <color theme="1"/>
        <rFont val="Arial"/>
        <family val="2"/>
      </rPr>
      <t xml:space="preserve"> and connect </t>
    </r>
    <r>
      <rPr>
        <sz val="12"/>
        <color rgb="FF0000FF"/>
        <rFont val="Arial"/>
        <family val="2"/>
      </rPr>
      <t>[diameter]</t>
    </r>
    <r>
      <rPr>
        <sz val="12"/>
        <color theme="1"/>
        <rFont val="Arial"/>
        <family val="2"/>
      </rPr>
      <t xml:space="preserve"> mm dia. pipe (Refer CTS03)</t>
    </r>
  </si>
  <si>
    <r>
      <t xml:space="preserve">Remove and replace existing gully grate and frame with </t>
    </r>
    <r>
      <rPr>
        <sz val="12"/>
        <color rgb="FF0000FF"/>
        <rFont val="Arial"/>
        <family val="2"/>
      </rPr>
      <t>[type]</t>
    </r>
    <r>
      <rPr>
        <sz val="12"/>
        <color theme="1"/>
        <rFont val="Arial"/>
        <family val="2"/>
      </rPr>
      <t xml:space="preserve"> in accordance with BCC standard drawing </t>
    </r>
    <r>
      <rPr>
        <sz val="12"/>
        <color rgb="FF0000FF"/>
        <rFont val="Arial"/>
        <family val="2"/>
      </rPr>
      <t>BSD-8052 to BSD-8059, and BSD-8091</t>
    </r>
    <r>
      <rPr>
        <sz val="12"/>
        <color theme="1"/>
        <rFont val="Arial"/>
        <family val="2"/>
      </rPr>
      <t>] (Refer CTS03)</t>
    </r>
  </si>
  <si>
    <r>
      <t xml:space="preserve">Reconstruct gully grate and frame </t>
    </r>
    <r>
      <rPr>
        <sz val="12"/>
        <color rgb="FF0000FF"/>
        <rFont val="Arial"/>
        <family val="2"/>
      </rPr>
      <t>[type]</t>
    </r>
    <r>
      <rPr>
        <sz val="12"/>
        <color theme="1"/>
        <rFont val="Arial"/>
        <family val="2"/>
      </rPr>
      <t xml:space="preserve"> in accordance with BCC standard drawing [</t>
    </r>
    <r>
      <rPr>
        <sz val="12"/>
        <color rgb="FF0000FF"/>
        <rFont val="Arial"/>
        <family val="2"/>
      </rPr>
      <t>BSD-8052 to BSD-8059, and BSD-8091</t>
    </r>
    <r>
      <rPr>
        <sz val="12"/>
        <color theme="1"/>
        <rFont val="Arial"/>
        <family val="2"/>
      </rPr>
      <t>] (Refer CTS03)</t>
    </r>
  </si>
  <si>
    <r>
      <t xml:space="preserve">Raise or lower existing gully </t>
    </r>
    <r>
      <rPr>
        <sz val="12"/>
        <color rgb="FF0000FF"/>
        <rFont val="Arial"/>
        <family val="2"/>
      </rPr>
      <t>[location or Number]</t>
    </r>
    <r>
      <rPr>
        <sz val="12"/>
        <color theme="1"/>
        <rFont val="Arial"/>
        <family val="2"/>
      </rPr>
      <t xml:space="preserve"> in accordance with BCC standard drawing BSD-8051 and BSD-8052 (Refer CTS03)</t>
    </r>
  </si>
  <si>
    <r>
      <t>Raise or lower existing manhole</t>
    </r>
    <r>
      <rPr>
        <sz val="12"/>
        <color rgb="FF0000FF"/>
        <rFont val="Arial"/>
        <family val="2"/>
      </rPr>
      <t xml:space="preserve"> [location or Number]</t>
    </r>
    <r>
      <rPr>
        <sz val="12"/>
        <color theme="1"/>
        <rFont val="Arial"/>
        <family val="2"/>
      </rPr>
      <t xml:space="preserve"> in accordance with BCC standard drawing BSD-8021, BSD-8023, BSD-8024 and BSD-8025 (Refer CTS03)</t>
    </r>
  </si>
  <si>
    <r>
      <t>Raise or lower drainage structure</t>
    </r>
    <r>
      <rPr>
        <sz val="12"/>
        <color rgb="FF0000FF"/>
        <rFont val="Arial"/>
        <family val="2"/>
      </rPr>
      <t xml:space="preserve"> [location or Structure Number]</t>
    </r>
    <r>
      <rPr>
        <sz val="12"/>
        <color theme="1"/>
        <rFont val="Arial"/>
        <family val="2"/>
      </rPr>
      <t xml:space="preserve"> (Refer CTS03)</t>
    </r>
  </si>
  <si>
    <r>
      <t>Replica porphyry kerb blocks, 200/vertical,</t>
    </r>
    <r>
      <rPr>
        <sz val="12"/>
        <color rgb="FF0000FF"/>
        <rFont val="Arial"/>
        <family val="2"/>
      </rPr>
      <t xml:space="preserve"> [with/without]</t>
    </r>
    <r>
      <rPr>
        <sz val="12"/>
        <color theme="1"/>
        <rFont val="Arial"/>
        <family val="2"/>
      </rPr>
      <t xml:space="preserve"> channel in accordance with BCC standard drawing BSD-2002 (Refer CTS03)</t>
    </r>
  </si>
  <si>
    <r>
      <t xml:space="preserve">Precast concrete kerb blocks, </t>
    </r>
    <r>
      <rPr>
        <sz val="12"/>
        <color rgb="FF0000FF"/>
        <rFont val="Arial"/>
        <family val="2"/>
      </rPr>
      <t>[height/face type]</t>
    </r>
    <r>
      <rPr>
        <sz val="12"/>
        <color theme="1"/>
        <rFont val="Arial"/>
        <family val="2"/>
      </rPr>
      <t xml:space="preserve"> without channel in accordance with BCC standard drawing BSD-2002 (Refer CTS03)</t>
    </r>
  </si>
  <si>
    <r>
      <t>Subsoil drains, Type A,</t>
    </r>
    <r>
      <rPr>
        <sz val="12"/>
        <color rgb="FF0000FF"/>
        <rFont val="Arial"/>
        <family val="2"/>
      </rPr>
      <t xml:space="preserve"> [size]</t>
    </r>
    <r>
      <rPr>
        <sz val="12"/>
        <color theme="1"/>
        <rFont val="Arial"/>
        <family val="2"/>
      </rPr>
      <t xml:space="preserve"> mm diameter in accordance with BCC standard drawing BSD-2041 (Refer CTS03)</t>
    </r>
  </si>
  <si>
    <r>
      <t xml:space="preserve">Subsoil drains, Type C, </t>
    </r>
    <r>
      <rPr>
        <sz val="12"/>
        <color rgb="FF0000FF"/>
        <rFont val="Arial"/>
        <family val="2"/>
      </rPr>
      <t>[size]</t>
    </r>
    <r>
      <rPr>
        <sz val="12"/>
        <color theme="1"/>
        <rFont val="Arial"/>
        <family val="2"/>
      </rPr>
      <t xml:space="preserve"> mm diameter in accordance with BCC standard drawing BSD-2041 (Refer CTS03)</t>
    </r>
  </si>
  <si>
    <r>
      <t xml:space="preserve">Mitre drains, </t>
    </r>
    <r>
      <rPr>
        <sz val="12"/>
        <color rgb="FF0000FF"/>
        <rFont val="Arial"/>
        <family val="2"/>
      </rPr>
      <t>[Type]</t>
    </r>
    <r>
      <rPr>
        <sz val="12"/>
        <color theme="1"/>
        <rFont val="Arial"/>
        <family val="2"/>
      </rPr>
      <t xml:space="preserve"> in accordance with BCC standard drawing BSD-2041 (Provisional Quantity) (Refer CTS03)</t>
    </r>
  </si>
  <si>
    <r>
      <t>Subsoil drainage outlet connection to</t>
    </r>
    <r>
      <rPr>
        <sz val="12"/>
        <color rgb="FF0000FF"/>
        <rFont val="Arial"/>
        <family val="2"/>
      </rPr>
      <t xml:space="preserve"> [new | existing]</t>
    </r>
    <r>
      <rPr>
        <sz val="12"/>
        <color theme="1"/>
        <rFont val="Arial"/>
        <family val="2"/>
      </rPr>
      <t xml:space="preserve"> drainage gully</t>
    </r>
    <r>
      <rPr>
        <sz val="12"/>
        <color rgb="FF0000FF"/>
        <rFont val="Arial"/>
        <family val="2"/>
      </rPr>
      <t xml:space="preserve"> [at location or Structure Number]</t>
    </r>
    <r>
      <rPr>
        <sz val="12"/>
        <color theme="1"/>
        <rFont val="Arial"/>
        <family val="2"/>
      </rPr>
      <t>, 100mm diameter connection. (Refer CTS03)</t>
    </r>
  </si>
  <si>
    <r>
      <t xml:space="preserve">Hand placed concrete paving, exposed aggregate finish </t>
    </r>
    <r>
      <rPr>
        <sz val="12"/>
        <color rgb="FF0000FF"/>
        <rFont val="Arial"/>
        <family val="2"/>
      </rPr>
      <t>[thickness]</t>
    </r>
    <r>
      <rPr>
        <sz val="12"/>
        <color theme="1"/>
        <rFont val="Arial"/>
        <family val="2"/>
      </rPr>
      <t xml:space="preserve"> mm thick to </t>
    </r>
    <r>
      <rPr>
        <sz val="12"/>
        <color rgb="FF0000FF"/>
        <rFont val="Arial"/>
        <family val="2"/>
      </rPr>
      <t>[footpaths | medians | driveways]</t>
    </r>
    <r>
      <rPr>
        <sz val="12"/>
        <color theme="1"/>
        <rFont val="Arial"/>
        <family val="2"/>
      </rPr>
      <t xml:space="preserve"> (Refer CTS03)</t>
    </r>
  </si>
  <si>
    <r>
      <t xml:space="preserve">Hand placed concrete paving, stencilled finish </t>
    </r>
    <r>
      <rPr>
        <sz val="12"/>
        <color rgb="FF0000FF"/>
        <rFont val="Arial"/>
        <family val="2"/>
      </rPr>
      <t>[thickness]</t>
    </r>
    <r>
      <rPr>
        <sz val="12"/>
        <color theme="1"/>
        <rFont val="Arial"/>
        <family val="2"/>
      </rPr>
      <t xml:space="preserve"> mm thick to </t>
    </r>
    <r>
      <rPr>
        <sz val="12"/>
        <color rgb="FF0000FF"/>
        <rFont val="Arial"/>
        <family val="2"/>
      </rPr>
      <t>[footpaths | medians | driveways]</t>
    </r>
    <r>
      <rPr>
        <sz val="12"/>
        <color theme="1"/>
        <rFont val="Arial"/>
        <family val="2"/>
      </rPr>
      <t xml:space="preserve"> (Refer CTS03)</t>
    </r>
  </si>
  <si>
    <r>
      <t xml:space="preserve">Supply and Installation of tactile ground surface </t>
    </r>
    <r>
      <rPr>
        <sz val="12"/>
        <color rgb="FF0000FF"/>
        <rFont val="Arial"/>
        <family val="2"/>
      </rPr>
      <t>[directional | warning indicators]</t>
    </r>
    <r>
      <rPr>
        <sz val="12"/>
        <color theme="1"/>
        <rFont val="Arial"/>
        <family val="2"/>
      </rPr>
      <t xml:space="preserve"> –</t>
    </r>
    <r>
      <rPr>
        <sz val="12"/>
        <color rgb="FF0000FF"/>
        <rFont val="Arial"/>
        <family val="2"/>
      </rPr>
      <t xml:space="preserve"> [New | Existing] [type of surface]</t>
    </r>
    <r>
      <rPr>
        <sz val="12"/>
        <color theme="1"/>
        <rFont val="Arial"/>
        <family val="2"/>
      </rPr>
      <t xml:space="preserve"> as per BCC standard drawing BSD-5231, BSD-5234 and BSD-2104-2108 (Refer CTS03)</t>
    </r>
  </si>
  <si>
    <r>
      <t xml:space="preserve">Masonry retaining wall, </t>
    </r>
    <r>
      <rPr>
        <sz val="12"/>
        <color rgb="FF0000FF"/>
        <rFont val="Arial"/>
        <family val="2"/>
      </rPr>
      <t>[wall location / wall number]</t>
    </r>
    <r>
      <rPr>
        <sz val="12"/>
        <color theme="1"/>
        <rFont val="Arial"/>
        <family val="2"/>
      </rPr>
      <t xml:space="preserve"> in accordance with BCC standard drawing BSD-2222 and BSD-2223 (Refer CTS03)</t>
    </r>
  </si>
  <si>
    <r>
      <t>Design of boulder retaining wall,</t>
    </r>
    <r>
      <rPr>
        <sz val="12"/>
        <color rgb="FF0000FF"/>
        <rFont val="Arial"/>
        <family val="2"/>
      </rPr>
      <t xml:space="preserve"> [wall location / wall number]</t>
    </r>
    <r>
      <rPr>
        <sz val="12"/>
        <color theme="1"/>
        <rFont val="Arial"/>
        <family val="2"/>
      </rPr>
      <t xml:space="preserve"> (Refer CTS03)</t>
    </r>
  </si>
  <si>
    <r>
      <t>Construction of boulder retaining wall,</t>
    </r>
    <r>
      <rPr>
        <sz val="12"/>
        <color rgb="FF0000FF"/>
        <rFont val="Arial"/>
        <family val="2"/>
      </rPr>
      <t xml:space="preserve"> [wall location / wall number] </t>
    </r>
    <r>
      <rPr>
        <sz val="12"/>
        <color theme="1"/>
        <rFont val="Arial"/>
        <family val="2"/>
      </rPr>
      <t>(Refer CTS03)</t>
    </r>
  </si>
  <si>
    <r>
      <t xml:space="preserve">Design and construction of boulder retaining wall, </t>
    </r>
    <r>
      <rPr>
        <sz val="12"/>
        <color rgb="FF0000FF"/>
        <rFont val="Arial"/>
        <family val="2"/>
      </rPr>
      <t>[wall location / wall number]</t>
    </r>
    <r>
      <rPr>
        <sz val="12"/>
        <color theme="1"/>
        <rFont val="Arial"/>
        <family val="2"/>
      </rPr>
      <t xml:space="preserve"> (Refer CTS03)</t>
    </r>
  </si>
  <si>
    <r>
      <t xml:space="preserve">Designer’s inspection and certification of boulder retaining wall, </t>
    </r>
    <r>
      <rPr>
        <sz val="12"/>
        <color rgb="FF0000FF"/>
        <rFont val="Arial"/>
        <family val="2"/>
      </rPr>
      <t>[wall location / wall number]</t>
    </r>
    <r>
      <rPr>
        <sz val="12"/>
        <color theme="1"/>
        <rFont val="Arial"/>
        <family val="2"/>
      </rPr>
      <t>. (Refer CTS03)</t>
    </r>
  </si>
  <si>
    <r>
      <t xml:space="preserve">Design and construct segmental block retaining wall , </t>
    </r>
    <r>
      <rPr>
        <sz val="12"/>
        <color rgb="FF0000FF"/>
        <rFont val="Arial"/>
        <family val="2"/>
      </rPr>
      <t>[wall location / wall number]</t>
    </r>
    <r>
      <rPr>
        <sz val="12"/>
        <color theme="1"/>
        <rFont val="Arial"/>
        <family val="2"/>
      </rPr>
      <t xml:space="preserve"> (Refer CTS03)</t>
    </r>
  </si>
  <si>
    <r>
      <t xml:space="preserve">Supply and installation of sleeper retaining wall, in accordance with BCC standard drawing BSD-9302, </t>
    </r>
    <r>
      <rPr>
        <sz val="12"/>
        <color rgb="FF0000FF"/>
        <rFont val="Arial"/>
        <family val="2"/>
      </rPr>
      <t>[location]</t>
    </r>
    <r>
      <rPr>
        <sz val="12"/>
        <color theme="1"/>
        <rFont val="Arial"/>
        <family val="2"/>
      </rPr>
      <t xml:space="preserve"> (Refer CTS03)</t>
    </r>
  </si>
  <si>
    <r>
      <t xml:space="preserve">Backfill with cement stabilised decomposed granite to </t>
    </r>
    <r>
      <rPr>
        <sz val="12"/>
        <color rgb="FF0000FF"/>
        <rFont val="Arial"/>
        <family val="2"/>
      </rPr>
      <t>[footpath | median | other areas]</t>
    </r>
    <r>
      <rPr>
        <sz val="12"/>
        <color theme="1"/>
        <rFont val="Arial"/>
        <family val="2"/>
      </rPr>
      <t xml:space="preserve"> in accordance with BCC standard drawing BSD-5213 (Refer CTS04)</t>
    </r>
  </si>
  <si>
    <r>
      <t>Dense graded asphalt corrector layer, Type</t>
    </r>
    <r>
      <rPr>
        <sz val="12"/>
        <color rgb="FF0000FF"/>
        <rFont val="Arial"/>
        <family val="2"/>
      </rPr>
      <t xml:space="preserve"> [Type 1, 2, 3 or 4] ([5, 10, 18 or 35]</t>
    </r>
    <r>
      <rPr>
        <sz val="12"/>
        <color theme="1"/>
        <rFont val="Arial"/>
        <family val="2"/>
      </rPr>
      <t xml:space="preserve"> mm mix) (Refer CTS30)</t>
    </r>
  </si>
  <si>
    <r>
      <t xml:space="preserve">Dense graded asphalt, Type 1 (5mm mix) </t>
    </r>
    <r>
      <rPr>
        <sz val="12"/>
        <color rgb="FF0000FF"/>
        <rFont val="Arial"/>
        <family val="2"/>
      </rPr>
      <t>[binder type]</t>
    </r>
    <r>
      <rPr>
        <sz val="12"/>
        <color theme="1"/>
        <rFont val="Arial"/>
        <family val="2"/>
      </rPr>
      <t xml:space="preserve"> (Refer CTS30)</t>
    </r>
  </si>
  <si>
    <r>
      <t>Dense graded asphalt, Type 2 (10mm mix)</t>
    </r>
    <r>
      <rPr>
        <sz val="12"/>
        <color rgb="FF0000FF"/>
        <rFont val="Arial"/>
        <family val="2"/>
      </rPr>
      <t xml:space="preserve"> [binder type]</t>
    </r>
    <r>
      <rPr>
        <sz val="12"/>
        <color theme="1"/>
        <rFont val="Arial"/>
        <family val="2"/>
      </rPr>
      <t xml:space="preserve"> (Refer CTS30)</t>
    </r>
  </si>
  <si>
    <r>
      <t xml:space="preserve">Dense graded asphalt, Type 3 (18mm mix) </t>
    </r>
    <r>
      <rPr>
        <sz val="12"/>
        <color rgb="FF0000FF"/>
        <rFont val="Arial"/>
        <family val="2"/>
      </rPr>
      <t>[binder type]</t>
    </r>
    <r>
      <rPr>
        <sz val="12"/>
        <color theme="1"/>
        <rFont val="Arial"/>
        <family val="2"/>
      </rPr>
      <t xml:space="preserve"> (Refer CTS30)</t>
    </r>
  </si>
  <si>
    <r>
      <t>Dense graded asphalt, Type 4 (35mm mix)</t>
    </r>
    <r>
      <rPr>
        <sz val="12"/>
        <color rgb="FF0000FF"/>
        <rFont val="Arial"/>
        <family val="2"/>
      </rPr>
      <t xml:space="preserve"> [binder type]</t>
    </r>
    <r>
      <rPr>
        <sz val="12"/>
        <color theme="1"/>
        <rFont val="Arial"/>
        <family val="2"/>
      </rPr>
      <t xml:space="preserve"> (Refer CTS30)</t>
    </r>
  </si>
  <si>
    <r>
      <t>Supply and installation of precast concrete islands,</t>
    </r>
    <r>
      <rPr>
        <sz val="12"/>
        <color rgb="FF0000FF"/>
        <rFont val="Arial"/>
        <family val="2"/>
      </rPr>
      <t xml:space="preserve"> [Code No.]</t>
    </r>
    <r>
      <rPr>
        <sz val="12"/>
        <color theme="1"/>
        <rFont val="Arial"/>
        <family val="2"/>
      </rPr>
      <t xml:space="preserve"> in accordance with BCC standard drawing BSD-2061 (Refer CTS14)</t>
    </r>
  </si>
  <si>
    <r>
      <t xml:space="preserve">Supply and installation of </t>
    </r>
    <r>
      <rPr>
        <sz val="12"/>
        <color rgb="FF0000FF"/>
        <rFont val="Arial"/>
        <family val="2"/>
      </rPr>
      <t>[precast</t>
    </r>
    <r>
      <rPr>
        <sz val="12"/>
        <color theme="1"/>
        <rFont val="Arial"/>
        <family val="2"/>
      </rPr>
      <t xml:space="preserve"> </t>
    </r>
    <r>
      <rPr>
        <sz val="12"/>
        <color rgb="FF0000FF"/>
        <rFont val="Arial"/>
        <family val="2"/>
      </rPr>
      <t>concrete</t>
    </r>
    <r>
      <rPr>
        <sz val="12"/>
        <color theme="1"/>
        <rFont val="Arial"/>
        <family val="2"/>
      </rPr>
      <t xml:space="preserve"> | </t>
    </r>
    <r>
      <rPr>
        <sz val="12"/>
        <color rgb="FF0000FF"/>
        <rFont val="Arial"/>
        <family val="2"/>
      </rPr>
      <t>metal</t>
    </r>
    <r>
      <rPr>
        <sz val="12"/>
        <color theme="1"/>
        <rFont val="Arial"/>
        <family val="2"/>
      </rPr>
      <t xml:space="preserve"> | </t>
    </r>
    <r>
      <rPr>
        <sz val="12"/>
        <color rgb="FF0000FF"/>
        <rFont val="Arial"/>
        <family val="2"/>
      </rPr>
      <t>rubber]</t>
    </r>
    <r>
      <rPr>
        <sz val="12"/>
        <color theme="1"/>
        <rFont val="Arial"/>
        <family val="2"/>
      </rPr>
      <t xml:space="preserve"> wheel stops. (Refer CTS14)</t>
    </r>
  </si>
  <si>
    <r>
      <t xml:space="preserve">Supply and installation of bicycle parking system </t>
    </r>
    <r>
      <rPr>
        <sz val="12"/>
        <color rgb="FF0000FF"/>
        <rFont val="Arial"/>
        <family val="2"/>
      </rPr>
      <t>[description</t>
    </r>
    <r>
      <rPr>
        <sz val="12"/>
        <color theme="1"/>
        <rFont val="Arial"/>
        <family val="2"/>
      </rPr>
      <t xml:space="preserve"> / </t>
    </r>
    <r>
      <rPr>
        <sz val="12"/>
        <color rgb="FF0000FF"/>
        <rFont val="Arial"/>
        <family val="2"/>
      </rPr>
      <t>size</t>
    </r>
    <r>
      <rPr>
        <sz val="12"/>
        <color theme="1"/>
        <rFont val="Arial"/>
        <family val="2"/>
      </rPr>
      <t xml:space="preserve"> / </t>
    </r>
    <r>
      <rPr>
        <sz val="12"/>
        <color rgb="FF0000FF"/>
        <rFont val="Arial"/>
        <family val="2"/>
      </rPr>
      <t>finish]</t>
    </r>
    <r>
      <rPr>
        <sz val="12"/>
        <color theme="1"/>
        <rFont val="Arial"/>
        <family val="2"/>
      </rPr>
      <t xml:space="preserve"> (Refer CTS14)</t>
    </r>
  </si>
  <si>
    <r>
      <t xml:space="preserve">Supply and installation of bike path deflection rails and rest rail, entrance Type </t>
    </r>
    <r>
      <rPr>
        <sz val="12"/>
        <color rgb="FF0000FF"/>
        <rFont val="Arial"/>
        <family val="2"/>
      </rPr>
      <t>[1</t>
    </r>
    <r>
      <rPr>
        <sz val="12"/>
        <color theme="1"/>
        <rFont val="Arial"/>
        <family val="2"/>
      </rPr>
      <t xml:space="preserve"> or </t>
    </r>
    <r>
      <rPr>
        <sz val="12"/>
        <color rgb="FF0000FF"/>
        <rFont val="Arial"/>
        <family val="2"/>
      </rPr>
      <t>2]</t>
    </r>
    <r>
      <rPr>
        <sz val="12"/>
        <color theme="1"/>
        <rFont val="Arial"/>
        <family val="2"/>
      </rPr>
      <t xml:space="preserve"> in accordance with BCC standard drawing</t>
    </r>
    <r>
      <rPr>
        <sz val="12"/>
        <color rgb="FF0000FF"/>
        <rFont val="Arial"/>
        <family val="2"/>
      </rPr>
      <t xml:space="preserve"> [BSD-5001, BSD-5002, BSD-5003, BSD-5004]</t>
    </r>
    <r>
      <rPr>
        <sz val="12"/>
        <color theme="1"/>
        <rFont val="Arial"/>
        <family val="2"/>
      </rPr>
      <t xml:space="preserve"> (Refer CTS14)</t>
    </r>
  </si>
  <si>
    <r>
      <t>Supply and install picnic table and seats</t>
    </r>
    <r>
      <rPr>
        <sz val="12"/>
        <color rgb="FF0000FF"/>
        <rFont val="Arial"/>
        <family val="2"/>
      </rPr>
      <t xml:space="preserve"> [Select one of the following OR insert suitable description: Landmark "K060 San Remo" Picnic table and seats (1800mm long)]</t>
    </r>
    <r>
      <rPr>
        <sz val="12"/>
        <color theme="1"/>
        <rFont val="Arial"/>
        <family val="2"/>
      </rPr>
      <t xml:space="preserve"> or an approved equivalent. (Refer CTS14)</t>
    </r>
  </si>
  <si>
    <r>
      <t xml:space="preserve">Supply and install park shelter </t>
    </r>
    <r>
      <rPr>
        <sz val="12"/>
        <color rgb="FF0000FF"/>
        <rFont val="Arial"/>
        <family val="2"/>
      </rPr>
      <t>[Type - Landmark "Inskip" 4m x 4m Skillion Roof Shelter | as per BCC standard drawings BSD-10131and BSD-10132]</t>
    </r>
    <r>
      <rPr>
        <sz val="12"/>
        <color theme="1"/>
        <rFont val="Arial"/>
        <family val="2"/>
      </rPr>
      <t xml:space="preserve"> or an approved equivalent. (Refer CTS14)</t>
    </r>
  </si>
  <si>
    <r>
      <t xml:space="preserve">Co-ordination of relocation of </t>
    </r>
    <r>
      <rPr>
        <sz val="12"/>
        <color rgb="FF0000FF"/>
        <rFont val="Arial"/>
        <family val="2"/>
      </rPr>
      <t>[Mini | Boulevard]</t>
    </r>
    <r>
      <rPr>
        <sz val="12"/>
        <color theme="1"/>
        <rFont val="Arial"/>
        <family val="2"/>
      </rPr>
      <t xml:space="preserve"> Adshel bus shelter Type </t>
    </r>
    <r>
      <rPr>
        <sz val="12"/>
        <color rgb="FF0000FF"/>
        <rFont val="Arial"/>
        <family val="2"/>
      </rPr>
      <t>[1A | 1B | 2A | 2B | 3A | 3B] at [location]</t>
    </r>
    <r>
      <rPr>
        <sz val="12"/>
        <color theme="1"/>
        <rFont val="Arial"/>
        <family val="2"/>
      </rPr>
      <t>. (Refer CTS14)</t>
    </r>
  </si>
  <si>
    <r>
      <t xml:space="preserve">Co-ordination of supply and installation of </t>
    </r>
    <r>
      <rPr>
        <sz val="12"/>
        <color rgb="FF0000FF"/>
        <rFont val="Arial"/>
        <family val="2"/>
      </rPr>
      <t>[Mini | Boulevard | leave blank]</t>
    </r>
    <r>
      <rPr>
        <sz val="12"/>
        <color theme="1"/>
        <rFont val="Arial"/>
        <family val="2"/>
      </rPr>
      <t xml:space="preserve"> Adshel bus shelter Type </t>
    </r>
    <r>
      <rPr>
        <sz val="12"/>
        <color rgb="FF0000FF"/>
        <rFont val="Arial"/>
        <family val="2"/>
      </rPr>
      <t>[1A | 1B | 2A | 2B | 3A | 3B]</t>
    </r>
    <r>
      <rPr>
        <sz val="12"/>
        <color theme="1"/>
        <rFont val="Arial"/>
        <family val="2"/>
      </rPr>
      <t xml:space="preserve"> at </t>
    </r>
    <r>
      <rPr>
        <sz val="12"/>
        <color rgb="FF0000FF"/>
        <rFont val="Arial"/>
        <family val="2"/>
      </rPr>
      <t>[location]</t>
    </r>
    <r>
      <rPr>
        <sz val="12"/>
        <color theme="1"/>
        <rFont val="Arial"/>
        <family val="2"/>
      </rPr>
      <t>. (Refer CTS14)</t>
    </r>
  </si>
  <si>
    <r>
      <t xml:space="preserve">Removal &amp; re-erection of steel beam guardrail </t>
    </r>
    <r>
      <rPr>
        <sz val="12"/>
        <color rgb="FF0000FF"/>
        <rFont val="Arial"/>
        <family val="2"/>
      </rPr>
      <t>[and existing steel posts / with new steel posts replacing timber posts]</t>
    </r>
    <r>
      <rPr>
        <sz val="12"/>
        <color theme="1"/>
        <rFont val="Arial"/>
        <family val="2"/>
      </rPr>
      <t xml:space="preserve"> (Refer CTS14)</t>
    </r>
  </si>
  <si>
    <r>
      <t xml:space="preserve">Chainwire security fencing 2300mm high, </t>
    </r>
    <r>
      <rPr>
        <sz val="12"/>
        <color rgb="FF0000FF"/>
        <rFont val="Arial"/>
        <family val="2"/>
      </rPr>
      <t>[unpainted/painted, colour [colour]</t>
    </r>
    <r>
      <rPr>
        <sz val="12"/>
        <color theme="1"/>
        <rFont val="Arial"/>
        <family val="2"/>
      </rPr>
      <t xml:space="preserve"> in accordance with BCC standard drawing BSD-7003 (Refer CTS14)</t>
    </r>
  </si>
  <si>
    <r>
      <t xml:space="preserve">Chainwire security gates, 2300mm high, </t>
    </r>
    <r>
      <rPr>
        <sz val="12"/>
        <color rgb="FF0000FF"/>
        <rFont val="Arial"/>
        <family val="2"/>
      </rPr>
      <t>[width]</t>
    </r>
    <r>
      <rPr>
        <sz val="12"/>
        <color theme="1"/>
        <rFont val="Arial"/>
        <family val="2"/>
      </rPr>
      <t xml:space="preserve"> mm wide, </t>
    </r>
    <r>
      <rPr>
        <sz val="12"/>
        <color rgb="FF0000FF"/>
        <rFont val="Arial"/>
        <family val="2"/>
      </rPr>
      <t>[unpainted/painted , colour [colour]</t>
    </r>
    <r>
      <rPr>
        <sz val="12"/>
        <color theme="1"/>
        <rFont val="Arial"/>
        <family val="2"/>
      </rPr>
      <t xml:space="preserve"> in accordance with BCC standard drawing BSD-7003 (Refer CTS14)</t>
    </r>
  </si>
  <si>
    <r>
      <t xml:space="preserve">Supply and construction of noise fence, design height </t>
    </r>
    <r>
      <rPr>
        <sz val="12"/>
        <color rgb="FF0000FF"/>
        <rFont val="Arial"/>
        <family val="2"/>
      </rPr>
      <t xml:space="preserve">[height] m, Control Line [reference] </t>
    </r>
    <r>
      <rPr>
        <sz val="12"/>
        <color theme="1"/>
        <rFont val="Arial"/>
        <family val="2"/>
      </rPr>
      <t>in accordance with BCC standard drawing BSD-7021 and BSD-7022 (Refer CTS15)</t>
    </r>
  </si>
  <si>
    <r>
      <t xml:space="preserve">Separation line, </t>
    </r>
    <r>
      <rPr>
        <sz val="12"/>
        <color rgb="FF0000FF"/>
        <rFont val="Arial"/>
        <family val="2"/>
      </rPr>
      <t>[broken/unbroken] [width]</t>
    </r>
    <r>
      <rPr>
        <sz val="12"/>
        <color theme="1"/>
        <rFont val="Arial"/>
        <family val="2"/>
      </rPr>
      <t xml:space="preserve"> mm wide,</t>
    </r>
    <r>
      <rPr>
        <sz val="12"/>
        <color rgb="FF0000FF"/>
        <rFont val="Arial"/>
        <family val="2"/>
      </rPr>
      <t xml:space="preserve"> [line length]</t>
    </r>
    <r>
      <rPr>
        <sz val="12"/>
        <color theme="1"/>
        <rFont val="Arial"/>
        <family val="2"/>
      </rPr>
      <t xml:space="preserve"> mm line length,</t>
    </r>
    <r>
      <rPr>
        <sz val="12"/>
        <color rgb="FF0000FF"/>
        <rFont val="Arial"/>
        <family val="2"/>
      </rPr>
      <t xml:space="preserve"> [gap length] mm gap length, colour [colour]</t>
    </r>
    <r>
      <rPr>
        <sz val="12"/>
        <color theme="1"/>
        <rFont val="Arial"/>
        <family val="2"/>
      </rPr>
      <t xml:space="preserve">, material </t>
    </r>
    <r>
      <rPr>
        <sz val="12"/>
        <color rgb="FF0000FF"/>
        <rFont val="Arial"/>
        <family val="2"/>
      </rPr>
      <t xml:space="preserve">[material] </t>
    </r>
    <r>
      <rPr>
        <sz val="12"/>
        <color theme="1"/>
        <rFont val="Arial"/>
        <family val="2"/>
      </rPr>
      <t>(Refer CTS45)</t>
    </r>
  </si>
  <si>
    <r>
      <t xml:space="preserve">Barrier line, one direction, 80 mm wide each line, 80 mm lateral gap between lines, 3000 mm line length and 9000 mm gap length on broken side, colour </t>
    </r>
    <r>
      <rPr>
        <sz val="12"/>
        <color rgb="FF0000FF"/>
        <rFont val="Arial"/>
        <family val="2"/>
      </rPr>
      <t>[colour],</t>
    </r>
    <r>
      <rPr>
        <sz val="12"/>
        <color theme="1"/>
        <rFont val="Arial"/>
        <family val="2"/>
      </rPr>
      <t xml:space="preserve"> material </t>
    </r>
    <r>
      <rPr>
        <sz val="12"/>
        <color rgb="FF0000FF"/>
        <rFont val="Arial"/>
        <family val="2"/>
      </rPr>
      <t>[material]</t>
    </r>
    <r>
      <rPr>
        <sz val="12"/>
        <color theme="1"/>
        <rFont val="Arial"/>
        <family val="2"/>
      </rPr>
      <t xml:space="preserve"> (Refer CTS45)</t>
    </r>
  </si>
  <si>
    <r>
      <t xml:space="preserve">Barrier line, both directions, 80 mm wide each line, 80 mm lateral gap between lines, colour </t>
    </r>
    <r>
      <rPr>
        <sz val="12"/>
        <color rgb="FF0000FF"/>
        <rFont val="Arial"/>
        <family val="2"/>
      </rPr>
      <t>[colour]</t>
    </r>
    <r>
      <rPr>
        <sz val="12"/>
        <color theme="1"/>
        <rFont val="Arial"/>
        <family val="2"/>
      </rPr>
      <t xml:space="preserve">, material </t>
    </r>
    <r>
      <rPr>
        <sz val="12"/>
        <color rgb="FF0000FF"/>
        <rFont val="Arial"/>
        <family val="2"/>
      </rPr>
      <t>[material]</t>
    </r>
    <r>
      <rPr>
        <sz val="12"/>
        <color theme="1"/>
        <rFont val="Arial"/>
        <family val="2"/>
      </rPr>
      <t xml:space="preserve"> (Refer CTS45)</t>
    </r>
  </si>
  <si>
    <r>
      <t>Lane line, broken,</t>
    </r>
    <r>
      <rPr>
        <sz val="12"/>
        <color rgb="FF0000FF"/>
        <rFont val="Arial"/>
        <family val="2"/>
      </rPr>
      <t xml:space="preserve"> [width]</t>
    </r>
    <r>
      <rPr>
        <sz val="12"/>
        <color theme="1"/>
        <rFont val="Arial"/>
        <family val="2"/>
      </rPr>
      <t xml:space="preserve"> mm wide, </t>
    </r>
    <r>
      <rPr>
        <sz val="12"/>
        <color rgb="FF0000FF"/>
        <rFont val="Arial"/>
        <family val="2"/>
      </rPr>
      <t>[line length]</t>
    </r>
    <r>
      <rPr>
        <sz val="12"/>
        <color theme="1"/>
        <rFont val="Arial"/>
        <family val="2"/>
      </rPr>
      <t xml:space="preserve"> mm line length, </t>
    </r>
    <r>
      <rPr>
        <sz val="12"/>
        <color rgb="FF0000FF"/>
        <rFont val="Arial"/>
        <family val="2"/>
      </rPr>
      <t xml:space="preserve">[gap length] </t>
    </r>
    <r>
      <rPr>
        <sz val="12"/>
        <color theme="1"/>
        <rFont val="Arial"/>
        <family val="2"/>
      </rPr>
      <t xml:space="preserve">mm gap length, colour </t>
    </r>
    <r>
      <rPr>
        <sz val="12"/>
        <color rgb="FF0000FF"/>
        <rFont val="Arial"/>
        <family val="2"/>
      </rPr>
      <t>[colour]</t>
    </r>
    <r>
      <rPr>
        <sz val="12"/>
        <color theme="1"/>
        <rFont val="Arial"/>
        <family val="2"/>
      </rPr>
      <t xml:space="preserve">, material </t>
    </r>
    <r>
      <rPr>
        <sz val="12"/>
        <color rgb="FF0000FF"/>
        <rFont val="Arial"/>
        <family val="2"/>
      </rPr>
      <t>[material]</t>
    </r>
    <r>
      <rPr>
        <sz val="12"/>
        <color theme="1"/>
        <rFont val="Arial"/>
        <family val="2"/>
      </rPr>
      <t xml:space="preserve"> (Refer CTS45)</t>
    </r>
  </si>
  <si>
    <r>
      <t xml:space="preserve">Edge Line, </t>
    </r>
    <r>
      <rPr>
        <sz val="12"/>
        <color rgb="FF0000FF"/>
        <rFont val="Arial"/>
        <family val="2"/>
      </rPr>
      <t>[width]</t>
    </r>
    <r>
      <rPr>
        <sz val="12"/>
        <color theme="1"/>
        <rFont val="Arial"/>
        <family val="2"/>
      </rPr>
      <t xml:space="preserve"> mm wide, colour</t>
    </r>
    <r>
      <rPr>
        <sz val="12"/>
        <color rgb="FF0000FF"/>
        <rFont val="Arial"/>
        <family val="2"/>
      </rPr>
      <t xml:space="preserve"> [colour</t>
    </r>
    <r>
      <rPr>
        <sz val="12"/>
        <color theme="1"/>
        <rFont val="Arial"/>
        <family val="2"/>
      </rPr>
      <t>], material</t>
    </r>
    <r>
      <rPr>
        <sz val="12"/>
        <color rgb="FF0000FF"/>
        <rFont val="Arial"/>
        <family val="2"/>
      </rPr>
      <t xml:space="preserve"> [material]</t>
    </r>
    <r>
      <rPr>
        <sz val="12"/>
        <color theme="1"/>
        <rFont val="Arial"/>
        <family val="2"/>
      </rPr>
      <t>,  (Refer CTS45)</t>
    </r>
  </si>
  <si>
    <r>
      <t>Turn line,</t>
    </r>
    <r>
      <rPr>
        <sz val="12"/>
        <color rgb="FF0000FF"/>
        <rFont val="Arial"/>
        <family val="2"/>
      </rPr>
      <t xml:space="preserve"> [width]</t>
    </r>
    <r>
      <rPr>
        <sz val="12"/>
        <color theme="1"/>
        <rFont val="Arial"/>
        <family val="2"/>
      </rPr>
      <t xml:space="preserve"> mm wide, colour </t>
    </r>
    <r>
      <rPr>
        <sz val="12"/>
        <color rgb="FF0000FF"/>
        <rFont val="Arial"/>
        <family val="2"/>
      </rPr>
      <t>[colour]</t>
    </r>
    <r>
      <rPr>
        <sz val="12"/>
        <color theme="1"/>
        <rFont val="Arial"/>
        <family val="2"/>
      </rPr>
      <t>, material</t>
    </r>
    <r>
      <rPr>
        <sz val="12"/>
        <color rgb="FF0000FF"/>
        <rFont val="Arial"/>
        <family val="2"/>
      </rPr>
      <t xml:space="preserve"> [material]</t>
    </r>
    <r>
      <rPr>
        <sz val="12"/>
        <color theme="1"/>
        <rFont val="Arial"/>
        <family val="2"/>
      </rPr>
      <t>. (Refer CTS45)</t>
    </r>
  </si>
  <si>
    <r>
      <t xml:space="preserve">Outline, </t>
    </r>
    <r>
      <rPr>
        <sz val="12"/>
        <color rgb="FF0000FF"/>
        <rFont val="Arial"/>
        <family val="2"/>
      </rPr>
      <t>[width]</t>
    </r>
    <r>
      <rPr>
        <sz val="12"/>
        <color theme="1"/>
        <rFont val="Arial"/>
        <family val="2"/>
      </rPr>
      <t xml:space="preserve"> mm wide, colour </t>
    </r>
    <r>
      <rPr>
        <sz val="12"/>
        <color rgb="FF0000FF"/>
        <rFont val="Arial"/>
        <family val="2"/>
      </rPr>
      <t>[colour]</t>
    </r>
    <r>
      <rPr>
        <sz val="12"/>
        <color theme="1"/>
        <rFont val="Arial"/>
        <family val="2"/>
      </rPr>
      <t xml:space="preserve">, material </t>
    </r>
    <r>
      <rPr>
        <sz val="12"/>
        <color rgb="FF0000FF"/>
        <rFont val="Arial"/>
        <family val="2"/>
      </rPr>
      <t>[material]</t>
    </r>
    <r>
      <rPr>
        <sz val="12"/>
        <color theme="1"/>
        <rFont val="Arial"/>
        <family val="2"/>
      </rPr>
      <t>. (Refer CTS45)</t>
    </r>
  </si>
  <si>
    <r>
      <t xml:space="preserve">Audio tactile line marking – Edge line, 150 mm wide, 50 mm rib length,250 mm gap length, 8 mm rib height, </t>
    </r>
    <r>
      <rPr>
        <sz val="12"/>
        <color rgb="FF0000FF"/>
        <rFont val="Arial"/>
        <family val="2"/>
      </rPr>
      <t>[with 1.5 m gap every 20 m for cyclists/with no gaps for cyclists].</t>
    </r>
    <r>
      <rPr>
        <sz val="12"/>
        <color theme="1"/>
        <rFont val="Arial"/>
        <family val="2"/>
      </rPr>
      <t xml:space="preserve"> (Refer CTS45)</t>
    </r>
  </si>
  <si>
    <r>
      <t xml:space="preserve">Removal of existing raised pavement markers, by </t>
    </r>
    <r>
      <rPr>
        <sz val="12"/>
        <color rgb="FF0000FF"/>
        <rFont val="Arial"/>
        <family val="2"/>
      </rPr>
      <t>[method of removal]</t>
    </r>
    <r>
      <rPr>
        <sz val="12"/>
        <color theme="1"/>
        <rFont val="Arial"/>
        <family val="2"/>
      </rPr>
      <t>. (Refer CTS45)</t>
    </r>
  </si>
  <si>
    <r>
      <t xml:space="preserve">Supply and installation of </t>
    </r>
    <r>
      <rPr>
        <sz val="12"/>
        <color rgb="FF0000FF"/>
        <rFont val="Arial"/>
        <family val="2"/>
      </rPr>
      <t>[type]</t>
    </r>
    <r>
      <rPr>
        <sz val="12"/>
        <color theme="1"/>
        <rFont val="Arial"/>
        <family val="2"/>
      </rPr>
      <t xml:space="preserve"> solar powered LED markers for bicycle paths in accordance with BCC standard drawing BSD-11032 (Refer CTS45)</t>
    </r>
  </si>
  <si>
    <r>
      <t xml:space="preserve">Installation of </t>
    </r>
    <r>
      <rPr>
        <sz val="12"/>
        <color rgb="FF0000FF"/>
        <rFont val="Arial"/>
        <family val="2"/>
      </rPr>
      <t>[No.]</t>
    </r>
    <r>
      <rPr>
        <sz val="12"/>
        <color theme="1"/>
        <rFont val="Arial"/>
        <family val="2"/>
      </rPr>
      <t xml:space="preserve"> of </t>
    </r>
    <r>
      <rPr>
        <sz val="12"/>
        <color rgb="FF0000FF"/>
        <rFont val="Arial"/>
        <family val="2"/>
      </rPr>
      <t>[diameter]</t>
    </r>
    <r>
      <rPr>
        <sz val="12"/>
        <color theme="1"/>
        <rFont val="Arial"/>
        <family val="2"/>
      </rPr>
      <t xml:space="preserve"> mm, </t>
    </r>
    <r>
      <rPr>
        <sz val="12"/>
        <color rgb="FF0000FF"/>
        <rFont val="Arial"/>
        <family val="2"/>
      </rPr>
      <t>[material],</t>
    </r>
    <r>
      <rPr>
        <sz val="12"/>
        <color theme="1"/>
        <rFont val="Arial"/>
        <family val="2"/>
      </rPr>
      <t xml:space="preserve"> </t>
    </r>
    <r>
      <rPr>
        <sz val="12"/>
        <color rgb="FF0000FF"/>
        <rFont val="Arial"/>
        <family val="2"/>
      </rPr>
      <t>[type]</t>
    </r>
    <r>
      <rPr>
        <sz val="12"/>
        <color theme="1"/>
        <rFont val="Arial"/>
        <family val="2"/>
      </rPr>
      <t xml:space="preserve"> conduit(s), in </t>
    </r>
    <r>
      <rPr>
        <sz val="12"/>
        <color rgb="FF0000FF"/>
        <rFont val="Arial"/>
        <family val="2"/>
      </rPr>
      <t>[surface],</t>
    </r>
    <r>
      <rPr>
        <sz val="12"/>
        <color theme="1"/>
        <rFont val="Arial"/>
        <family val="2"/>
      </rPr>
      <t xml:space="preserve"> as per BCC standard drawing BSD-4015 (Refer CTS91)</t>
    </r>
  </si>
  <si>
    <r>
      <t xml:space="preserve">Installation of </t>
    </r>
    <r>
      <rPr>
        <sz val="12"/>
        <color rgb="FF0000FF"/>
        <rFont val="Arial"/>
        <family val="2"/>
      </rPr>
      <t>[No.]</t>
    </r>
    <r>
      <rPr>
        <sz val="12"/>
        <color theme="1"/>
        <rFont val="Arial"/>
        <family val="2"/>
      </rPr>
      <t xml:space="preserve"> of </t>
    </r>
    <r>
      <rPr>
        <sz val="12"/>
        <color rgb="FF0000FF"/>
        <rFont val="Arial"/>
        <family val="2"/>
      </rPr>
      <t>[diameter]</t>
    </r>
    <r>
      <rPr>
        <sz val="12"/>
        <color theme="1"/>
        <rFont val="Arial"/>
        <family val="2"/>
      </rPr>
      <t xml:space="preserve"> mm, </t>
    </r>
    <r>
      <rPr>
        <sz val="12"/>
        <color rgb="FF0000FF"/>
        <rFont val="Arial"/>
        <family val="2"/>
      </rPr>
      <t>[material],</t>
    </r>
    <r>
      <rPr>
        <sz val="12"/>
        <color theme="1"/>
        <rFont val="Arial"/>
        <family val="2"/>
      </rPr>
      <t xml:space="preserve"> </t>
    </r>
    <r>
      <rPr>
        <sz val="12"/>
        <color rgb="FF0000FF"/>
        <rFont val="Arial"/>
        <family val="2"/>
      </rPr>
      <t>[type]</t>
    </r>
    <r>
      <rPr>
        <sz val="12"/>
        <color theme="1"/>
        <rFont val="Arial"/>
        <family val="2"/>
      </rPr>
      <t xml:space="preserve"> conduit(s) and </t>
    </r>
    <r>
      <rPr>
        <sz val="12"/>
        <color rgb="FF0000FF"/>
        <rFont val="Arial"/>
        <family val="2"/>
      </rPr>
      <t>[No.]</t>
    </r>
    <r>
      <rPr>
        <sz val="12"/>
        <color theme="1"/>
        <rFont val="Arial"/>
        <family val="2"/>
      </rPr>
      <t xml:space="preserve"> of </t>
    </r>
    <r>
      <rPr>
        <sz val="12"/>
        <color rgb="FF0000FF"/>
        <rFont val="Arial"/>
        <family val="2"/>
      </rPr>
      <t>[diameter]</t>
    </r>
    <r>
      <rPr>
        <sz val="12"/>
        <color theme="1"/>
        <rFont val="Arial"/>
        <family val="2"/>
      </rPr>
      <t xml:space="preserve"> mm, </t>
    </r>
    <r>
      <rPr>
        <sz val="12"/>
        <color rgb="FF0000FF"/>
        <rFont val="Arial"/>
        <family val="2"/>
      </rPr>
      <t>[material],</t>
    </r>
    <r>
      <rPr>
        <sz val="12"/>
        <color theme="1"/>
        <rFont val="Arial"/>
        <family val="2"/>
      </rPr>
      <t xml:space="preserve"> </t>
    </r>
    <r>
      <rPr>
        <sz val="12"/>
        <color rgb="FF0000FF"/>
        <rFont val="Arial"/>
        <family val="2"/>
      </rPr>
      <t>[type]</t>
    </r>
    <r>
      <rPr>
        <sz val="12"/>
        <color theme="1"/>
        <rFont val="Arial"/>
        <family val="2"/>
      </rPr>
      <t xml:space="preserve"> conduit(s), in a shared trench, in </t>
    </r>
    <r>
      <rPr>
        <sz val="12"/>
        <color rgb="FF0000FF"/>
        <rFont val="Arial"/>
        <family val="2"/>
      </rPr>
      <t>[surface],</t>
    </r>
    <r>
      <rPr>
        <sz val="12"/>
        <color theme="1"/>
        <rFont val="Arial"/>
        <family val="2"/>
      </rPr>
      <t xml:space="preserve"> as per BCC standard drawing BSD-4015 (Refer CTS91)</t>
    </r>
  </si>
  <si>
    <r>
      <t xml:space="preserve">Installation of </t>
    </r>
    <r>
      <rPr>
        <sz val="12"/>
        <color rgb="FF0000FF"/>
        <rFont val="Arial"/>
        <family val="2"/>
      </rPr>
      <t>[diameter]</t>
    </r>
    <r>
      <rPr>
        <sz val="12"/>
        <color theme="1"/>
        <rFont val="Arial"/>
        <family val="2"/>
      </rPr>
      <t xml:space="preserve"> mm, </t>
    </r>
    <r>
      <rPr>
        <sz val="12"/>
        <color rgb="FF0000FF"/>
        <rFont val="Arial"/>
        <family val="2"/>
      </rPr>
      <t>[material],</t>
    </r>
    <r>
      <rPr>
        <sz val="12"/>
        <color theme="1"/>
        <rFont val="Arial"/>
        <family val="2"/>
      </rPr>
      <t xml:space="preserve"> </t>
    </r>
    <r>
      <rPr>
        <sz val="12"/>
        <color rgb="FF0000FF"/>
        <rFont val="Arial"/>
        <family val="2"/>
      </rPr>
      <t>[type]</t>
    </r>
    <r>
      <rPr>
        <sz val="12"/>
        <color theme="1"/>
        <rFont val="Arial"/>
        <family val="2"/>
      </rPr>
      <t xml:space="preserve"> conduit, bored or jacked, as per BCC standard drawing BSD-4015 (Refer CTS91)</t>
    </r>
  </si>
  <si>
    <r>
      <t xml:space="preserve">Supply and installation of </t>
    </r>
    <r>
      <rPr>
        <sz val="12"/>
        <color rgb="FF0000FF"/>
        <rFont val="Arial"/>
        <family val="2"/>
      </rPr>
      <t>[No.]</t>
    </r>
    <r>
      <rPr>
        <sz val="12"/>
        <color theme="1"/>
        <rFont val="Arial"/>
        <family val="2"/>
      </rPr>
      <t xml:space="preserve"> of </t>
    </r>
    <r>
      <rPr>
        <sz val="12"/>
        <color rgb="FF0000FF"/>
        <rFont val="Arial"/>
        <family val="2"/>
      </rPr>
      <t>[diameter]</t>
    </r>
    <r>
      <rPr>
        <sz val="12"/>
        <color theme="1"/>
        <rFont val="Arial"/>
        <family val="2"/>
      </rPr>
      <t xml:space="preserve"> mm, </t>
    </r>
    <r>
      <rPr>
        <sz val="12"/>
        <color rgb="FF0000FF"/>
        <rFont val="Arial"/>
        <family val="2"/>
      </rPr>
      <t>[material],</t>
    </r>
    <r>
      <rPr>
        <sz val="12"/>
        <color theme="1"/>
        <rFont val="Arial"/>
        <family val="2"/>
      </rPr>
      <t xml:space="preserve"> </t>
    </r>
    <r>
      <rPr>
        <sz val="12"/>
        <color rgb="FF0000FF"/>
        <rFont val="Arial"/>
        <family val="2"/>
      </rPr>
      <t>[type]</t>
    </r>
    <r>
      <rPr>
        <sz val="12"/>
        <color theme="1"/>
        <rFont val="Arial"/>
        <family val="2"/>
      </rPr>
      <t xml:space="preserve"> conduits, in </t>
    </r>
    <r>
      <rPr>
        <sz val="12"/>
        <color rgb="FF0000FF"/>
        <rFont val="Arial"/>
        <family val="2"/>
      </rPr>
      <t>[surface],</t>
    </r>
    <r>
      <rPr>
        <sz val="12"/>
        <color theme="1"/>
        <rFont val="Arial"/>
        <family val="2"/>
      </rPr>
      <t xml:space="preserve"> as per BCC standard drawing BSD-4015 (Refer CTS91)</t>
    </r>
  </si>
  <si>
    <r>
      <t xml:space="preserve">Supply and installation of </t>
    </r>
    <r>
      <rPr>
        <sz val="12"/>
        <color rgb="FF0000FF"/>
        <rFont val="Arial"/>
        <family val="2"/>
      </rPr>
      <t>[No.]</t>
    </r>
    <r>
      <rPr>
        <sz val="12"/>
        <color theme="1"/>
        <rFont val="Arial"/>
        <family val="2"/>
      </rPr>
      <t xml:space="preserve"> of </t>
    </r>
    <r>
      <rPr>
        <sz val="12"/>
        <color rgb="FF0000FF"/>
        <rFont val="Arial"/>
        <family val="2"/>
      </rPr>
      <t>[diameter]</t>
    </r>
    <r>
      <rPr>
        <sz val="12"/>
        <color theme="1"/>
        <rFont val="Arial"/>
        <family val="2"/>
      </rPr>
      <t xml:space="preserve"> mm, </t>
    </r>
    <r>
      <rPr>
        <sz val="12"/>
        <color rgb="FF0000FF"/>
        <rFont val="Arial"/>
        <family val="2"/>
      </rPr>
      <t>[material],</t>
    </r>
    <r>
      <rPr>
        <sz val="12"/>
        <color theme="1"/>
        <rFont val="Arial"/>
        <family val="2"/>
      </rPr>
      <t xml:space="preserve"> </t>
    </r>
    <r>
      <rPr>
        <sz val="12"/>
        <color rgb="FF0000FF"/>
        <rFont val="Arial"/>
        <family val="2"/>
      </rPr>
      <t>[type]</t>
    </r>
    <r>
      <rPr>
        <sz val="12"/>
        <color theme="1"/>
        <rFont val="Arial"/>
        <family val="2"/>
      </rPr>
      <t xml:space="preserve"> conduit(s) and </t>
    </r>
    <r>
      <rPr>
        <sz val="12"/>
        <color rgb="FF0000FF"/>
        <rFont val="Arial"/>
        <family val="2"/>
      </rPr>
      <t>[No.]</t>
    </r>
    <r>
      <rPr>
        <sz val="12"/>
        <color theme="1"/>
        <rFont val="Arial"/>
        <family val="2"/>
      </rPr>
      <t xml:space="preserve"> of [diameter] mm, </t>
    </r>
    <r>
      <rPr>
        <sz val="12"/>
        <color rgb="FF0000FF"/>
        <rFont val="Arial"/>
        <family val="2"/>
      </rPr>
      <t>[material],</t>
    </r>
    <r>
      <rPr>
        <sz val="12"/>
        <color theme="1"/>
        <rFont val="Arial"/>
        <family val="2"/>
      </rPr>
      <t xml:space="preserve"> </t>
    </r>
    <r>
      <rPr>
        <sz val="12"/>
        <color rgb="FF0000FF"/>
        <rFont val="Arial"/>
        <family val="2"/>
      </rPr>
      <t>[type]</t>
    </r>
    <r>
      <rPr>
        <sz val="12"/>
        <color theme="1"/>
        <rFont val="Arial"/>
        <family val="2"/>
      </rPr>
      <t xml:space="preserve"> conduit(s), in a shared trench, in </t>
    </r>
    <r>
      <rPr>
        <sz val="12"/>
        <color rgb="FF0000FF"/>
        <rFont val="Arial"/>
        <family val="2"/>
      </rPr>
      <t>[surface],</t>
    </r>
    <r>
      <rPr>
        <sz val="12"/>
        <color theme="1"/>
        <rFont val="Arial"/>
        <family val="2"/>
      </rPr>
      <t xml:space="preserve"> as per BCC standard drawing BSD-4015 (Refer CTS91)</t>
    </r>
  </si>
  <si>
    <r>
      <t xml:space="preserve">Supply and installation of </t>
    </r>
    <r>
      <rPr>
        <sz val="12"/>
        <color rgb="FF0000FF"/>
        <rFont val="Arial"/>
        <family val="2"/>
      </rPr>
      <t>[diameter]</t>
    </r>
    <r>
      <rPr>
        <sz val="12"/>
        <color theme="1"/>
        <rFont val="Arial"/>
        <family val="2"/>
      </rPr>
      <t xml:space="preserve"> mm, </t>
    </r>
    <r>
      <rPr>
        <sz val="12"/>
        <color rgb="FF0000FF"/>
        <rFont val="Arial"/>
        <family val="2"/>
      </rPr>
      <t>[material],</t>
    </r>
    <r>
      <rPr>
        <sz val="12"/>
        <color theme="1"/>
        <rFont val="Arial"/>
        <family val="2"/>
      </rPr>
      <t xml:space="preserve"> </t>
    </r>
    <r>
      <rPr>
        <sz val="12"/>
        <color rgb="FF0000FF"/>
        <rFont val="Arial"/>
        <family val="2"/>
      </rPr>
      <t>[type]</t>
    </r>
    <r>
      <rPr>
        <sz val="12"/>
        <color theme="1"/>
        <rFont val="Arial"/>
        <family val="2"/>
      </rPr>
      <t xml:space="preserve"> conduit, bored or jacked, as per BCC standard drawing BSD-4015 (Refer CTS91)</t>
    </r>
  </si>
  <si>
    <r>
      <t>Supply and installation of cable jointing pit(s)</t>
    </r>
    <r>
      <rPr>
        <sz val="12"/>
        <color rgb="FF0000FF"/>
        <rFont val="Arial"/>
        <family val="2"/>
      </rPr>
      <t xml:space="preserve"> [no.1 type Ι no.4 type Ι no.8 type]</t>
    </r>
    <r>
      <rPr>
        <sz val="12"/>
        <color theme="1"/>
        <rFont val="Arial"/>
        <family val="2"/>
      </rPr>
      <t xml:space="preserve"> as per BCC standard drawing BSD-4011, BSD-1011 and BSD-1012 (Refer CTS91).</t>
    </r>
  </si>
  <si>
    <r>
      <t xml:space="preserve">Supply and installation of steel buried in ground (BIG) road lighting </t>
    </r>
    <r>
      <rPr>
        <sz val="12"/>
        <color rgb="FF0000FF"/>
        <rFont val="Arial"/>
        <family val="2"/>
      </rPr>
      <t>pole,[height]</t>
    </r>
    <r>
      <rPr>
        <sz val="12"/>
        <color theme="1"/>
        <rFont val="Arial"/>
        <family val="2"/>
      </rPr>
      <t xml:space="preserve"> mm vertical height, </t>
    </r>
    <r>
      <rPr>
        <sz val="12"/>
        <color rgb="FF0000FF"/>
        <rFont val="Arial"/>
        <family val="2"/>
      </rPr>
      <t>[length]mm</t>
    </r>
    <r>
      <rPr>
        <sz val="12"/>
        <color theme="1"/>
        <rFont val="Arial"/>
        <family val="2"/>
      </rPr>
      <t xml:space="preserve"> long </t>
    </r>
    <r>
      <rPr>
        <sz val="12"/>
        <color rgb="FF0000FF"/>
        <rFont val="Arial"/>
        <family val="2"/>
      </rPr>
      <t>[single/double]</t>
    </r>
    <r>
      <rPr>
        <sz val="12"/>
        <color theme="1"/>
        <rFont val="Arial"/>
        <family val="2"/>
      </rPr>
      <t xml:space="preserve"> outreach arm </t>
    </r>
    <r>
      <rPr>
        <sz val="12"/>
        <color rgb="FF0000FF"/>
        <rFont val="Arial"/>
        <family val="2"/>
      </rPr>
      <t>[with/without]</t>
    </r>
    <r>
      <rPr>
        <sz val="12"/>
        <color theme="1"/>
        <rFont val="Arial"/>
        <family val="2"/>
      </rPr>
      <t xml:space="preserve"> outreach arm extension </t>
    </r>
    <r>
      <rPr>
        <sz val="12"/>
        <color rgb="FF0000FF"/>
        <rFont val="Arial"/>
        <family val="2"/>
      </rPr>
      <t>[with aerial supply/with loop in loop out cabling]</t>
    </r>
    <r>
      <rPr>
        <sz val="12"/>
        <color theme="1"/>
        <rFont val="Arial"/>
        <family val="2"/>
      </rPr>
      <t>. (Refer CTS94)</t>
    </r>
  </si>
  <si>
    <r>
      <t xml:space="preserve">Supply and install luminaire, </t>
    </r>
    <r>
      <rPr>
        <sz val="12"/>
        <color rgb="FF0000FF"/>
        <rFont val="Arial"/>
        <family val="2"/>
      </rPr>
      <t>[name of manufacturer]</t>
    </r>
    <r>
      <rPr>
        <sz val="12"/>
        <color theme="1"/>
        <rFont val="Arial"/>
        <family val="2"/>
      </rPr>
      <t xml:space="preserve">, </t>
    </r>
    <r>
      <rPr>
        <sz val="12"/>
        <color rgb="FF0000FF"/>
        <rFont val="Arial"/>
        <family val="2"/>
      </rPr>
      <t>[type of luminaire]</t>
    </r>
    <r>
      <rPr>
        <sz val="12"/>
        <color theme="1"/>
        <rFont val="Arial"/>
        <family val="2"/>
      </rPr>
      <t xml:space="preserve"> on existing road lighting bracket. (Refer CTS94)</t>
    </r>
  </si>
  <si>
    <r>
      <t xml:space="preserve">Supply and installation of road lighting bracket, </t>
    </r>
    <r>
      <rPr>
        <sz val="12"/>
        <color rgb="FF0000FF"/>
        <rFont val="Arial"/>
        <family val="2"/>
      </rPr>
      <t>[length]</t>
    </r>
    <r>
      <rPr>
        <sz val="12"/>
        <color theme="1"/>
        <rFont val="Arial"/>
        <family val="2"/>
      </rPr>
      <t xml:space="preserve"> mm long, on Energex timber pole (Refer CTS94)</t>
    </r>
  </si>
  <si>
    <r>
      <t xml:space="preserve">Supply and installation of luminaire, </t>
    </r>
    <r>
      <rPr>
        <sz val="12"/>
        <color rgb="FF0000FF"/>
        <rFont val="Arial"/>
        <family val="2"/>
      </rPr>
      <t>[name of manufacturer]</t>
    </r>
    <r>
      <rPr>
        <sz val="12"/>
        <color theme="1"/>
        <rFont val="Arial"/>
        <family val="2"/>
      </rPr>
      <t xml:space="preserve">, </t>
    </r>
    <r>
      <rPr>
        <sz val="12"/>
        <color rgb="FF0000FF"/>
        <rFont val="Arial"/>
        <family val="2"/>
      </rPr>
      <t>[type of luminaire]</t>
    </r>
    <r>
      <rPr>
        <sz val="12"/>
        <color theme="1"/>
        <rFont val="Arial"/>
        <family val="2"/>
      </rPr>
      <t xml:space="preserve"> on </t>
    </r>
    <r>
      <rPr>
        <sz val="12"/>
        <color rgb="FF0000FF"/>
        <rFont val="Arial"/>
        <family val="2"/>
      </rPr>
      <t>[length]</t>
    </r>
    <r>
      <rPr>
        <sz val="12"/>
        <color theme="1"/>
        <rFont val="Arial"/>
        <family val="2"/>
      </rPr>
      <t xml:space="preserve"> mm long road lighting bracket arm, on Energex timber pole (Refer CTS94)</t>
    </r>
  </si>
  <si>
    <r>
      <t xml:space="preserve">Supply and/or installation of a watchman floodlight, </t>
    </r>
    <r>
      <rPr>
        <sz val="12"/>
        <color rgb="FF0000FF"/>
        <rFont val="Arial"/>
        <family val="2"/>
      </rPr>
      <t>[name of manufacturer]</t>
    </r>
    <r>
      <rPr>
        <sz val="12"/>
        <color theme="1"/>
        <rFont val="Arial"/>
        <family val="2"/>
      </rPr>
      <t xml:space="preserve">, </t>
    </r>
    <r>
      <rPr>
        <sz val="12"/>
        <color rgb="FF0000FF"/>
        <rFont val="Arial"/>
        <family val="2"/>
      </rPr>
      <t>[type &amp; wattage]</t>
    </r>
    <r>
      <rPr>
        <sz val="12"/>
        <color theme="1"/>
        <rFont val="Arial"/>
        <family val="2"/>
      </rPr>
      <t xml:space="preserve"> and control gear </t>
    </r>
    <r>
      <rPr>
        <sz val="12"/>
        <color rgb="FF0000FF"/>
        <rFont val="Arial"/>
        <family val="2"/>
      </rPr>
      <t>[type &amp; wattage]</t>
    </r>
    <r>
      <rPr>
        <sz val="12"/>
        <color theme="1"/>
        <rFont val="Arial"/>
        <family val="2"/>
      </rPr>
      <t xml:space="preserve">, </t>
    </r>
    <r>
      <rPr>
        <sz val="12"/>
        <color rgb="FF0000FF"/>
        <rFont val="Arial"/>
        <family val="2"/>
      </rPr>
      <t>[with / without]</t>
    </r>
    <r>
      <rPr>
        <sz val="12"/>
        <color theme="1"/>
        <rFont val="Arial"/>
        <family val="2"/>
      </rPr>
      <t xml:space="preserve"> anti-glare louvre (Refer CTS94)</t>
    </r>
  </si>
  <si>
    <r>
      <t xml:space="preserve">Relocation of a watchman floodlight, </t>
    </r>
    <r>
      <rPr>
        <sz val="12"/>
        <color rgb="FF0000FF"/>
        <rFont val="Arial"/>
        <family val="2"/>
      </rPr>
      <t>[name of manufacturer]</t>
    </r>
    <r>
      <rPr>
        <sz val="12"/>
        <color theme="1"/>
        <rFont val="Arial"/>
        <family val="2"/>
      </rPr>
      <t xml:space="preserve">, </t>
    </r>
    <r>
      <rPr>
        <sz val="12"/>
        <color rgb="FF0000FF"/>
        <rFont val="Arial"/>
        <family val="2"/>
      </rPr>
      <t>[type &amp; wattage]</t>
    </r>
    <r>
      <rPr>
        <sz val="12"/>
        <color theme="1"/>
        <rFont val="Arial"/>
        <family val="2"/>
      </rPr>
      <t xml:space="preserve"> and control gear </t>
    </r>
    <r>
      <rPr>
        <sz val="12"/>
        <color rgb="FF0000FF"/>
        <rFont val="Arial"/>
        <family val="2"/>
      </rPr>
      <t>[type &amp; wattage]</t>
    </r>
    <r>
      <rPr>
        <sz val="12"/>
        <color theme="1"/>
        <rFont val="Arial"/>
        <family val="2"/>
      </rPr>
      <t xml:space="preserve">, </t>
    </r>
    <r>
      <rPr>
        <sz val="12"/>
        <color rgb="FF0000FF"/>
        <rFont val="Arial"/>
        <family val="2"/>
      </rPr>
      <t>[with / without]</t>
    </r>
    <r>
      <rPr>
        <sz val="12"/>
        <color theme="1"/>
        <rFont val="Arial"/>
        <family val="2"/>
      </rPr>
      <t xml:space="preserve"> anti-glare louvre (Refer CTS94)</t>
    </r>
  </si>
  <si>
    <r>
      <t xml:space="preserve">Supply of a stand-alone solar powered lighting system, </t>
    </r>
    <r>
      <rPr>
        <sz val="12"/>
        <color rgb="FF0000FF"/>
        <rFont val="Arial"/>
        <family val="2"/>
      </rPr>
      <t>[name of manufacturer]</t>
    </r>
    <r>
      <rPr>
        <sz val="12"/>
        <color theme="1"/>
        <rFont val="Arial"/>
        <family val="2"/>
      </rPr>
      <t xml:space="preserve">, </t>
    </r>
    <r>
      <rPr>
        <sz val="12"/>
        <color rgb="FF0000FF"/>
        <rFont val="Arial"/>
        <family val="2"/>
      </rPr>
      <t>[type]</t>
    </r>
    <r>
      <rPr>
        <sz val="12"/>
        <color theme="1"/>
        <rFont val="Arial"/>
        <family val="2"/>
      </rPr>
      <t xml:space="preserve"> </t>
    </r>
    <r>
      <rPr>
        <sz val="12"/>
        <color rgb="FF0000FF"/>
        <rFont val="Arial"/>
        <family val="2"/>
      </rPr>
      <t>[luminaire &amp; wattage]</t>
    </r>
    <r>
      <rPr>
        <sz val="12"/>
        <color theme="1"/>
        <rFont val="Arial"/>
        <family val="2"/>
      </rPr>
      <t xml:space="preserve">, </t>
    </r>
    <r>
      <rPr>
        <sz val="12"/>
        <color rgb="FF0000FF"/>
        <rFont val="Arial"/>
        <family val="2"/>
      </rPr>
      <t>[pole height]</t>
    </r>
    <r>
      <rPr>
        <sz val="12"/>
        <color theme="1"/>
        <rFont val="Arial"/>
        <family val="2"/>
      </rPr>
      <t xml:space="preserve"> and associated equipment (Refer CTS94)</t>
    </r>
  </si>
  <si>
    <r>
      <t xml:space="preserve">Installation of a stand-alone solar powered lighting system, </t>
    </r>
    <r>
      <rPr>
        <sz val="12"/>
        <color rgb="FF0000FF"/>
        <rFont val="Arial"/>
        <family val="2"/>
      </rPr>
      <t>[name of manufacturer]</t>
    </r>
    <r>
      <rPr>
        <sz val="12"/>
        <color theme="1"/>
        <rFont val="Arial"/>
        <family val="2"/>
      </rPr>
      <t xml:space="preserve">, </t>
    </r>
    <r>
      <rPr>
        <sz val="12"/>
        <color rgb="FF0000FF"/>
        <rFont val="Arial"/>
        <family val="2"/>
      </rPr>
      <t>[type] [luminaire &amp; wattage]</t>
    </r>
    <r>
      <rPr>
        <sz val="12"/>
        <color theme="1"/>
        <rFont val="Arial"/>
        <family val="2"/>
      </rPr>
      <t xml:space="preserve">, </t>
    </r>
    <r>
      <rPr>
        <sz val="12"/>
        <color rgb="FF0000FF"/>
        <rFont val="Arial"/>
        <family val="2"/>
      </rPr>
      <t>[pole height]</t>
    </r>
    <r>
      <rPr>
        <sz val="12"/>
        <color theme="1"/>
        <rFont val="Arial"/>
        <family val="2"/>
      </rPr>
      <t xml:space="preserve"> and associated equipment (Refer CTS94)</t>
    </r>
  </si>
  <si>
    <r>
      <t xml:space="preserve">Supply and Installation of a stand-alone solar powered lighting system, </t>
    </r>
    <r>
      <rPr>
        <sz val="12"/>
        <color rgb="FF0000FF"/>
        <rFont val="Arial"/>
        <family val="2"/>
      </rPr>
      <t>[name of manufacturer]</t>
    </r>
    <r>
      <rPr>
        <sz val="12"/>
        <color theme="1"/>
        <rFont val="Arial"/>
        <family val="2"/>
      </rPr>
      <t xml:space="preserve">, </t>
    </r>
    <r>
      <rPr>
        <sz val="12"/>
        <color rgb="FF0000FF"/>
        <rFont val="Arial"/>
        <family val="2"/>
      </rPr>
      <t>[type] [luminaire &amp; wattage]</t>
    </r>
    <r>
      <rPr>
        <sz val="12"/>
        <color theme="1"/>
        <rFont val="Arial"/>
        <family val="2"/>
      </rPr>
      <t>,</t>
    </r>
    <r>
      <rPr>
        <sz val="12"/>
        <color rgb="FF0000FF"/>
        <rFont val="Arial"/>
        <family val="2"/>
      </rPr>
      <t xml:space="preserve"> [pole height]</t>
    </r>
    <r>
      <rPr>
        <sz val="12"/>
        <color theme="1"/>
        <rFont val="Arial"/>
        <family val="2"/>
      </rPr>
      <t xml:space="preserve"> and associated equipment (Refer CTS94)</t>
    </r>
  </si>
  <si>
    <t>Concrete kerb and channel crossings in accordance with BCC standard drawing BSD-2022 (Refer CTS03)</t>
  </si>
  <si>
    <t>Traffic signal post footing</t>
  </si>
  <si>
    <t>Traffic signal mast arm footing</t>
  </si>
  <si>
    <t>MISCELLANEOUS ITEMS</t>
  </si>
  <si>
    <t>Supply of temporary barriers</t>
  </si>
  <si>
    <t>Installation of temporary barriers</t>
  </si>
  <si>
    <t>Linings in drains and channels, steel wire mattresses</t>
  </si>
  <si>
    <t>Conformance and As Constructed survey for culverts</t>
  </si>
  <si>
    <t>Conformance and As Constructed survey for gullies</t>
  </si>
  <si>
    <t>Conformance and As Constructed for insitu concrete access chambers</t>
  </si>
  <si>
    <t>Conformance and As Constructed for precast concrete access chambers</t>
  </si>
  <si>
    <t>Conformance and As Constructed for concrete retaining wall footings</t>
  </si>
  <si>
    <t>Survey information for existing underground assets</t>
  </si>
  <si>
    <t>Stripping of topsoil (Provisional Quantity, as directed)</t>
  </si>
  <si>
    <t>Ground surface treatment, insitu treatment of acid sulphate soils with lime (Provisional Quantity, if ordered)</t>
  </si>
  <si>
    <t>Supply and storage of agricultural lime (Provisional Quantity, as directed)</t>
  </si>
  <si>
    <t>Quantitative laboratory testing of actual or potential acid sulphate soils (Provisional Quantity, if ordered)</t>
  </si>
  <si>
    <t>set of tests</t>
  </si>
  <si>
    <t>kL</t>
  </si>
  <si>
    <t>Excavation and disposal of Unsuitable Material in and below confined excavations (Provisional Quantity, as directed)</t>
  </si>
  <si>
    <t>Embankment</t>
  </si>
  <si>
    <t>Supply and installation of high strength geosynthetic reinforcement</t>
  </si>
  <si>
    <t>Verge fill</t>
  </si>
  <si>
    <t>Subgrade testing</t>
  </si>
  <si>
    <t>Subgrade treatment Type F2, replace with plant-mixed stabilised and high permeability drainage layers (Provisional Quantity, if ordered)</t>
  </si>
  <si>
    <t>Subgrade treatment Type I, replace with high permeability drainage layer, (Provisional Quantity, if ordered)</t>
  </si>
  <si>
    <t>Subgrade treatment Type J, bridging layer (Provisional Quantity, if ordered)</t>
  </si>
  <si>
    <t>Supply of stabilising agent, lime (Provisional Quantity, as directed)</t>
  </si>
  <si>
    <t>Addition of lime to backfill material in Acid Sulphate Soil areas, (Provisional Quantity, as directed)</t>
  </si>
  <si>
    <t>Stopping places</t>
  </si>
  <si>
    <t>Water curing (location)</t>
  </si>
  <si>
    <t>Plant-mixed pavement layer stabilised using foam bitumen with bitumen supplied by the Principal</t>
  </si>
  <si>
    <t>Supply and addition of adhesion agent (Provisional Quantity)</t>
  </si>
  <si>
    <t>Supply and addition of cutter oil (Provisional Quantity)</t>
  </si>
  <si>
    <t>Supply of direction and information sign faces, as listed in Clause 2.3 of Annexure MRS14.1</t>
  </si>
  <si>
    <t>Installation of direction and information signs, as listed in Clause 2.3 of Annexure MRS14.1</t>
  </si>
  <si>
    <t>Preparation of a Soil Management Plan – Construction – Form A</t>
  </si>
  <si>
    <t>Topsoil sampling and testing – Form C (Provisional Quantity)</t>
  </si>
  <si>
    <t>Subsoil sampling and testing – Form E (Provisional Quantity)</t>
  </si>
  <si>
    <t>Manufactured site mulch (Provisional Quantity, if ordered)</t>
  </si>
  <si>
    <t>Imported topsoil (Provisional Quantity, if ordered)</t>
  </si>
  <si>
    <t>Application of knock-down herbicide (Provisional Quantity)</t>
  </si>
  <si>
    <t>Installation of concrete planting bed edging</t>
  </si>
  <si>
    <t>Installation of irrigation system</t>
  </si>
  <si>
    <t>Contractor’s site facilities</t>
  </si>
  <si>
    <t>Contractor’s camp</t>
  </si>
  <si>
    <t>Supply and place concrete in jointed unreinforced base</t>
  </si>
  <si>
    <t>Supply and place steel fibre reinforced concrete base</t>
  </si>
  <si>
    <t>Terminal and slab anchors</t>
  </si>
  <si>
    <t>Finish, cure and texture base</t>
  </si>
  <si>
    <t>Longitudinal joints</t>
  </si>
  <si>
    <t>Expansion joints and isolation joints</t>
  </si>
  <si>
    <t>Transverse contraction joints</t>
  </si>
  <si>
    <t>Supply and place reinforcing mesh</t>
  </si>
  <si>
    <t>Supply and place steel bar reinforcement</t>
  </si>
  <si>
    <t>Spotting only for longitudinal lines</t>
  </si>
  <si>
    <t>Retroreflective raised pavement markers</t>
  </si>
  <si>
    <t>Non-retroreflective raised pavement markers</t>
  </si>
  <si>
    <t>Temporary raised pavement markers</t>
  </si>
  <si>
    <t>Pavement bars</t>
  </si>
  <si>
    <t>Weekly Environmental Inspections</t>
  </si>
  <si>
    <t>Monthly Environmental Reporting</t>
  </si>
  <si>
    <t>Environmental Records Management</t>
  </si>
  <si>
    <t>Approvals</t>
  </si>
  <si>
    <t>Water Quality Monitoring (Provisional Quantity, if ordered)</t>
  </si>
  <si>
    <t>Noise Assessment Report</t>
  </si>
  <si>
    <t>Develop Noise Management Plan, if ordered (Provisional Quantity)</t>
  </si>
  <si>
    <t>Implement Noise Management Plan (Provisional Quantity, if ordered)</t>
  </si>
  <si>
    <t>Vibration Assessment Report</t>
  </si>
  <si>
    <t>Implement Vibration Management Plan (Provisional Quantity, if ordered)</t>
  </si>
  <si>
    <t>Air Quality Monitoring (Provisional Quantity, if ordered)</t>
  </si>
  <si>
    <t>Management of Contaminated Sites, if ordered (Provisional Quantity)</t>
  </si>
  <si>
    <t>Fauna Management, if ordered (Provisional Quantity)</t>
  </si>
  <si>
    <t>Biosecurity Matter Control, if ordered (Provisional Quantity)</t>
  </si>
  <si>
    <t>Sediment Basin &lt;100 m³ (Provisional Quantity)</t>
  </si>
  <si>
    <t>Sediment Basin 100 – 200 m³ (Provisional Quantity)</t>
  </si>
  <si>
    <t>Sediment Basin 200 – 500 m³ (Provisional Quantity)</t>
  </si>
  <si>
    <t>Sediment Basin 500 – 1000 m³ (Provisional Quantity)</t>
  </si>
  <si>
    <t>Sediment Basin 1000 – 2000 m³ (Provisional Quantity)</t>
  </si>
  <si>
    <t>Sediment Basin 2000 – 5000 m³ (Provisional Quantity)</t>
  </si>
  <si>
    <t>Sediment Basin &gt;5000 m³ (Provisional Quantity)</t>
  </si>
  <si>
    <t>Site Exit Point – Wheel Wash (Provisional Quantity)</t>
  </si>
  <si>
    <t>Excavation to form bell enlargements below liners</t>
  </si>
  <si>
    <t>Steel reinforcing bar in piles</t>
  </si>
  <si>
    <t>Excavation for bored piles</t>
  </si>
  <si>
    <t>Setting up for preboring for prestressed concrete piles</t>
  </si>
  <si>
    <t>Preboring for prestressed concrete piles</t>
  </si>
  <si>
    <t>Splicing of prestressed concrete piles</t>
  </si>
  <si>
    <t>Monitoring the last 10 blows of the pile drive using a PM</t>
  </si>
  <si>
    <t>Supply of As constructed records</t>
  </si>
  <si>
    <t>Establishment of equipment on the site for high strain dynamic testing of piles</t>
  </si>
  <si>
    <t>Supply and Installation of girder restraints</t>
  </si>
  <si>
    <t>Supply of As Constructed documents</t>
  </si>
  <si>
    <t>Develop Vibration Management Plan, if ordered (Provisional Quantity)</t>
  </si>
  <si>
    <t>Subsoil drains, Type D</t>
  </si>
  <si>
    <t>Excavation and disposal of Unsuitable Material with individual excavation ≤ 10 m³ (Provisional Quantity, as directed)</t>
  </si>
  <si>
    <t>Excavation and disposal of Unsuitable Material with individual excavation &gt; 10 m³ (Provisional Quantity, as directed)</t>
  </si>
  <si>
    <t>Treatment of water contaminated by acid sulphate soil, (Provisional Quantity, if ordered)</t>
  </si>
  <si>
    <t>Excavation of non-rippable material in road excavation, rate additional to rate for Work Item 32101 (Provisional Quantity)</t>
  </si>
  <si>
    <t>Excavation of non-rippable material in confined excavation, rate additional to rates for Work Items 32103 to 32107 inclusive (Provisional Quantity)</t>
  </si>
  <si>
    <t>Excavation and disposal of Unsuitable Material within lines of cuttings, rate additional to rate for Work Item 32101 (Provisional Quantity, as directed)</t>
  </si>
  <si>
    <t>Levees, catch banks and diversion blocks using earthfill material (Class A1, Class B) from all sources</t>
  </si>
  <si>
    <t>Addition of lime to embankment materials to neutralise acid sulphate soils, rate additional to rates for Work Items 32201 to 32203 (Provisional Quantity, as directed)</t>
  </si>
  <si>
    <t>Subgrade treatment Type A (Provisional Quantity, if ordered)</t>
  </si>
  <si>
    <t>Subgrade treatment Type B, replace with fill material, (Provisional Quantity, if ordered)</t>
  </si>
  <si>
    <t>Subgrade treatment Type C, replace with unbound granular material (Provisional Quantity, if ordered)</t>
  </si>
  <si>
    <t>Subgrade treatment Type D, insitu stabilise existing (Provisional Quantity, if ordered)</t>
  </si>
  <si>
    <t>Subgrade treatment Type E, replace with plant-mixed stabilised material (Provisional Quantity, if ordered)</t>
  </si>
  <si>
    <t>Subgrade treatment Type F1, replace with plant-mixed stabilised and unbound drainage layers (Provisional Quantity, if ordered)</t>
  </si>
  <si>
    <t>Subgrade treatment Type G, replace with insitu stabilised drainage layer (Provisional Quantity, if ordered)</t>
  </si>
  <si>
    <t>Subgrade treatment Type H, replace with plant-mixed stabilised drainage layer (Provisional Quantity, if ordered)</t>
  </si>
  <si>
    <t>Excavation of non-rippable material in road excavation, rate additional to rate for Work Items 32321, 32325, 32329 and 32333 (Provisional Quantity)</t>
  </si>
  <si>
    <t>Supply of stabilising agent, Type GB cement (Provisional Quantity, as directed)</t>
  </si>
  <si>
    <t>Design of HDD boring installation system</t>
  </si>
  <si>
    <t>Supply and installation of sleeving and carrier pipe</t>
  </si>
  <si>
    <t>HDD, all materials</t>
  </si>
  <si>
    <t>HDD in hard ground, rate additional to rates for Work Item 33303 (Provisional Quantity)</t>
  </si>
  <si>
    <t>Removal of spoil material from HDD drive</t>
  </si>
  <si>
    <t>Addition of lime to spoil material in Acid Sulphate Soil area, (Provisional Quanity, as directed)</t>
  </si>
  <si>
    <t>Grouting outer annuls and space between the casing and carrier pipe</t>
  </si>
  <si>
    <t>Sand fill the space between the casing and carrier pipe</t>
  </si>
  <si>
    <t>Operation of HDD machine</t>
  </si>
  <si>
    <t>Designer’s inspection and certification</t>
  </si>
  <si>
    <t>Design of microtunnel / pipe jacking installation system</t>
  </si>
  <si>
    <t>Microtunneling / pipe jacking, all materials</t>
  </si>
  <si>
    <t>Microtunneling / pipe jacking in hard ground, rate additional to rates for Work Item 33403 (Provisional Quantity)</t>
  </si>
  <si>
    <t>Removal of spoil material from microtunnel / pipe jack</t>
  </si>
  <si>
    <t>Addition of lime to spoil material in Acid Sulphate Soil area, (Provisional Quantity, as directed)</t>
  </si>
  <si>
    <t>Operation of microtunneling / pipe jacking machinery</t>
  </si>
  <si>
    <t>Design of thrust / auger boring installation system</t>
  </si>
  <si>
    <t>Thrust / auger boing, all materials</t>
  </si>
  <si>
    <t>Thrust / auger boing in hard ground, rate additional to rates for Work Item 33503 (Provisional Quantity)</t>
  </si>
  <si>
    <t>Removal of spoil material from thrust / auger bore</t>
  </si>
  <si>
    <t>Operation of thrust / auger boring machine</t>
  </si>
  <si>
    <t xml:space="preserve">High modulus asphalt, EME2 mix </t>
  </si>
  <si>
    <t>Supply and application of grit to the surface of high modulus asphalt (Provisional Quantity, if ordered)</t>
  </si>
  <si>
    <t>Supply of regulatory, warning and hazard sign faces, as listed in Clause 1.3 of Annexure MRS14.1</t>
  </si>
  <si>
    <t>Supply of regulatory, warning and hazard sign faces, [sign type]</t>
  </si>
  <si>
    <t>Installation of regulatory, warning and hazard signs, as listed in Clause 1.3 of Annexure MRS14.1</t>
  </si>
  <si>
    <t>Manufactured site topsoil sampling and testing – Form D (Provisional Quantity)</t>
  </si>
  <si>
    <t>Drainage basin soil sampling and testing – Form F (Provisional Quantity)</t>
  </si>
  <si>
    <t>Amelioration agent – organic soil conditioner (Provisional Quantity)</t>
  </si>
  <si>
    <t>Establishment period</t>
  </si>
  <si>
    <t>Establishment period watering (Provisional Quantity)</t>
  </si>
  <si>
    <t>Monitoring period watering (Provisional Quantity)</t>
  </si>
  <si>
    <t>Barrier line, single, 100 mm wide</t>
  </si>
  <si>
    <t>Audio tactile line marking – Double barrier line, consisting of two barrier lines each 80 mm wide, 50 mm rib length, 250 mm gap length, 8 mm rib height (applied to both lines)</t>
  </si>
  <si>
    <t>Flush and clear conduit (All types)</t>
  </si>
  <si>
    <t>Construction of pit surround</t>
  </si>
  <si>
    <t>Supply of maintenance marker post</t>
  </si>
  <si>
    <t>Installation of maintenance marker post</t>
  </si>
  <si>
    <t>Supply and installation of maintenance marker post</t>
  </si>
  <si>
    <t>Conformance and As Constructed survey for conduits (trench distance)</t>
  </si>
  <si>
    <t>Conformance and As Constructed survey for pits</t>
  </si>
  <si>
    <t>Traffic signal mast arm footing extension for poor soil, 300 mm long, if ordered (Provisional Quantity)</t>
  </si>
  <si>
    <t>Excavation in excessively hard material, rate additional to rate for Work Items 60301, 60302 and 60303P (Provisional Quantity)</t>
  </si>
  <si>
    <t>Traffic signal controller base</t>
  </si>
  <si>
    <t>Excavation in excessively hard material, rate additional to rate for Work Items 60351, 60352 and 60353P (Provisional Quantity)</t>
  </si>
  <si>
    <t>Construction of retaining wall around footing</t>
  </si>
  <si>
    <t>Removal of road lighting pole footing</t>
  </si>
  <si>
    <t>Conformance and As Constructed survey for depth of footing</t>
  </si>
  <si>
    <t>Supply and installation of joint use traffic signal and road lighting pole, [length] metres long</t>
  </si>
  <si>
    <t>Supply of road lighting outreach arm extension, 1.5 metres long</t>
  </si>
  <si>
    <t>Removal of Standalone Solar Powered Lighting luminaire</t>
  </si>
  <si>
    <t>Supply and Installation of radar vehicle detectors as per manufacturer’s requirements</t>
  </si>
  <si>
    <t>Supply and Installation of infrared vehicle detectors as per manufacturer’s requirements</t>
  </si>
  <si>
    <t>Supply of VSL / LC Controller</t>
  </si>
  <si>
    <t>Installation of VSL / LC Controller in an enclosure fixed to supporting structure or fixed to bridge structure or similar as detailed on referenced drawing</t>
  </si>
  <si>
    <t>Supply and Installation of VSL / LC Controller in an enclosure fixed to supporting structure or fixed to bridge structure or similar as detailed on referenced drawing</t>
  </si>
  <si>
    <t>Removal of Existing VSL / LC equipment for re-use</t>
  </si>
  <si>
    <t>Removal of Existing VSL / LC equipment for disposal</t>
  </si>
  <si>
    <t xml:space="preserve">Develop Site Establishment Plan for installation of Vehicle Activated Sign  </t>
  </si>
  <si>
    <t>Design for supply and installation of Vehicle Activated Sign</t>
  </si>
  <si>
    <t xml:space="preserve">Supply and Installation of footing for Vehicle Activated Sign pole </t>
  </si>
  <si>
    <t>Installation of Vehicle Activated Sign hinge pole</t>
  </si>
  <si>
    <t>Supply of batteries and solar power system</t>
  </si>
  <si>
    <t>Installation of batteries and solar power system</t>
  </si>
  <si>
    <t>Supply and installation of batteries and solar power system</t>
  </si>
  <si>
    <t>Removal of Vehicle Activated Sign pole footing</t>
  </si>
  <si>
    <t>Removal of Help Phone equipment for re-use</t>
  </si>
  <si>
    <t>Removal of Help Phone equipment for disposal</t>
  </si>
  <si>
    <t xml:space="preserve">Develop Site Establishment Plan for installation of Electronic School Zone Sign  </t>
  </si>
  <si>
    <t>Supply and installation of footing for Electronic School Zone Sign pole</t>
  </si>
  <si>
    <t>Supply and installation of imaging equipment pole footing</t>
  </si>
  <si>
    <t>Supply of pole mounted cabinet</t>
  </si>
  <si>
    <t>Installation of pole mounted cabinet</t>
  </si>
  <si>
    <t>Supply of Dvtel primary camera channel licence file for each camera</t>
  </si>
  <si>
    <t>Supply of Dvtel failover camera channel licence file for each camera</t>
  </si>
  <si>
    <t>Supply of camera and ancillary components</t>
  </si>
  <si>
    <t>Installation of camera and ancillary components</t>
  </si>
  <si>
    <t>Supply and installation of camera and ancillary components</t>
  </si>
  <si>
    <t>Supply of imaging equipment pole adapter</t>
  </si>
  <si>
    <t>Installation of imaging equipment pole adapter</t>
  </si>
  <si>
    <t>Supply and installation of imaging equipment pole adapter</t>
  </si>
  <si>
    <t>Removal of imaging equipment pole footing</t>
  </si>
  <si>
    <t>Supply of CMS and mounting structure incorporating an affixed enclosure with CMS Controller</t>
  </si>
  <si>
    <t>Installation of CMS and mounting structure incorporating an affixed enclosure with CMS Controller</t>
  </si>
  <si>
    <t>Supply and installation of CMS and mounting structure incorporating an affixed enclosure with CMS Controller</t>
  </si>
  <si>
    <t>Removal of existing CMS equipment for reuse</t>
  </si>
  <si>
    <t>Removal of existing CMS equipment for disposal</t>
  </si>
  <si>
    <t>Supply and construction of a concrete pad for the erection of switchboard post</t>
  </si>
  <si>
    <t>Supply and configuration of a hand-held communication device to control each eTCS</t>
  </si>
  <si>
    <t>Supply, installation and configuration of eTCS Software on a [Laptop | PC]</t>
  </si>
  <si>
    <t>Removal of Field Processor for disposal</t>
  </si>
  <si>
    <t>Supply of all-weather pole mounted equipment enclosure fixed to the support structure to house all relevant Flood Monitoring electronic equipment including batteries, routers, radio equipment, digital input/output equipment, data logging and telecommunication equipment</t>
  </si>
  <si>
    <t>Installation of all-weather pole mounted equipment enclosure fixed to the support structure to house all relevant Flood Monitoring electronic equipment including batteries, routers, radio equipment, digital input/output equipment, data logging and telecommunication equipment</t>
  </si>
  <si>
    <t>Supply and installation of all-weather pole mounted equipment enclosure fixed to the support structure to house all relevant Flood Monitoring electronic equipment including batteries, routers, radio equipment, digital input/output equipment, data logging and telecommunication equipment</t>
  </si>
  <si>
    <t>Supply of pole mounted solar power supply and charging system</t>
  </si>
  <si>
    <t>Installation of pole mounted pole mounted solar power supply and charging system</t>
  </si>
  <si>
    <t>Supply and installation of pole mounted solar power supply and charging system</t>
  </si>
  <si>
    <t>Supply of integrated Telecommunications link for backhaul of flood height data to head end monitoring site, as well as any pole mounted antenna systems</t>
  </si>
  <si>
    <t>Installation of integrated Telecommunications link for backhaul of flood height data to head end monitoring site, as well as any pole mounted antenna systems</t>
  </si>
  <si>
    <t>Supply and installation of integrated Telecommunications link for backhaul of flood height data to head end monitoring site, as well as any pole mounted antenna systems</t>
  </si>
  <si>
    <t>Supply of approved local Roadway Flood warning signage as per TC 1768, and any related wireless or cable system to connect this signage to the nearby roadway flood monitoring equipment</t>
  </si>
  <si>
    <t>Installation of approved local Roadway Flood warning signage as per TC 1768, and any related wireless or cable system to connect this signage to the nearby roadway flood monitoring equipment</t>
  </si>
  <si>
    <t>Supply and installation of approved local Roadway Flood warning signage as per TC 1768, and any related wireless or cable system to connect this signage to the nearby roadway flood monitoring equipment</t>
  </si>
  <si>
    <t>Supply of pole mounted camera equipment for roadway flood image capture back to a remote head end with or without infrared illuminator for night time roadway illumination</t>
  </si>
  <si>
    <t>Installation of pole mounted camera equipment for roadway flood image capture back to a remote head end with or without infrared illuminator for night time roadway illumination</t>
  </si>
  <si>
    <t>Supply and installation of pole mounted camera equipment for roadway flood image capture back to a remote head end with or without infrared illuminator for night time roadway illumination</t>
  </si>
  <si>
    <t>Removal of roadway flood monitoring equipment for re-use</t>
  </si>
  <si>
    <t>Removal of roadway flood monitoring equipment for disposal</t>
  </si>
  <si>
    <t>Provision of Telecommunications Network equipment spares and maintenance requirements [as listed in the contract documents or on drawing references]</t>
  </si>
  <si>
    <t>Removal of existing Telecommunications Network equipment spares for reuse</t>
  </si>
  <si>
    <t>Removal of existing Telecommunications Network equipment for disposal</t>
  </si>
  <si>
    <t>Supply of Traffic Counter / Classifier</t>
  </si>
  <si>
    <t>Installation of Traffic Counter / Classifier</t>
  </si>
  <si>
    <t>Supply and installation of Traffic Counter / Classifier</t>
  </si>
  <si>
    <t>Supply of aerial cable strain clamp</t>
  </si>
  <si>
    <t>Supply of right angle strain relief bushing (to suit 26 mm diameter hole)</t>
  </si>
  <si>
    <t>Removal of Vehicle Detector loop</t>
  </si>
  <si>
    <t>Removal of Vehicle Detector Feeder cable</t>
  </si>
  <si>
    <t>Supply of a transportable generator</t>
  </si>
  <si>
    <t>Installation of a transportable generator</t>
  </si>
  <si>
    <t>Supply and installation of a transportable generator</t>
  </si>
  <si>
    <t>Supply and installation of a separate TVSL Solar Panel Array with Battery Bank Enclosure Extension utilising a post-mounted support structure and foundation</t>
  </si>
  <si>
    <t>Supply and configuration of a hand-held SRC device to control each TVSL Sign</t>
  </si>
  <si>
    <t>Supply and fixing of stiffening bands (if ordered)</t>
  </si>
  <si>
    <t>Tack Coat, 0.2 litres/m² residual bitumen</t>
  </si>
  <si>
    <t>Full recoating of Steelwork (Provisional Quantity)</t>
  </si>
  <si>
    <t>Top coating of steelwork (Provisional Quantity)</t>
  </si>
  <si>
    <t>Removal of existing rubble masonry at abutments</t>
  </si>
  <si>
    <t>Full paint coating (Provisional quantity)</t>
  </si>
  <si>
    <t>Supply and place 75 mm (nominal) crushed rock for ramp core and ungrouted shoulders</t>
  </si>
  <si>
    <t>Construct cast insitu concrete slabs and/or anchor beams Type 1</t>
  </si>
  <si>
    <t>Supply and install Anchor Beams Type 2</t>
  </si>
  <si>
    <t>Construct floating walkway support lane – approach slab and abutment, ramp slab and precast planks</t>
  </si>
  <si>
    <t>Fabricate and supply (ex‑factory) all floating walkway components (excluding piles and lighting)</t>
  </si>
  <si>
    <t>Transport (ex‑factory) and install all floating walkway components</t>
  </si>
  <si>
    <t>Preparation and implementation of the Construction Plan</t>
  </si>
  <si>
    <t>Fabricate and supply (ex‑factory) all components (excluding piles and lighting)</t>
  </si>
  <si>
    <t>Transport (ex‑factory) and install all components</t>
  </si>
  <si>
    <t>Establishment of dredge equipment</t>
  </si>
  <si>
    <t>Disestablishment of dredge equipment</t>
  </si>
  <si>
    <t>Establishment and disestablishment of dredge discharge pipeline</t>
  </si>
  <si>
    <t>Dredging (hourly rates)</t>
  </si>
  <si>
    <t>Standby</t>
  </si>
  <si>
    <t>Preparation and implementation of the Works Plan</t>
  </si>
  <si>
    <t>hour</t>
  </si>
  <si>
    <t>PLANT-MIXED PAVEMENTS LAYERS STABILISED USING FOAMED BITUMEN (MRS9 OCT 17)</t>
  </si>
  <si>
    <t>SUPPLY OF COVER AGGREGATE (MRS22 JUL 17)</t>
  </si>
  <si>
    <t>NOISE FENCES (MRS15 JUL 17)</t>
  </si>
  <si>
    <t>PREPARATION FOR BRIDGE WIDENING, STRENGTHENING AND REHABILITATION (MRS86 JUL 17)</t>
  </si>
  <si>
    <t>20008.01P</t>
  </si>
  <si>
    <t>20012.01P</t>
  </si>
  <si>
    <t>20207.01P</t>
  </si>
  <si>
    <t>20213.01P</t>
  </si>
  <si>
    <t>20217.01P</t>
  </si>
  <si>
    <t>20222.01P</t>
  </si>
  <si>
    <t>20226.01P</t>
  </si>
  <si>
    <t>20230.01P</t>
  </si>
  <si>
    <t>20234.01P</t>
  </si>
  <si>
    <t>20238.01P</t>
  </si>
  <si>
    <t>20242.01P</t>
  </si>
  <si>
    <t>20246.01P</t>
  </si>
  <si>
    <t>20551.01P</t>
  </si>
  <si>
    <t>20555.01P</t>
  </si>
  <si>
    <t>20559.01P</t>
  </si>
  <si>
    <t>20563.01P</t>
  </si>
  <si>
    <t>20601.01P</t>
  </si>
  <si>
    <t>20605.01P</t>
  </si>
  <si>
    <t>20609.01P</t>
  </si>
  <si>
    <t>20613.01P</t>
  </si>
  <si>
    <t>20651.01P</t>
  </si>
  <si>
    <t>20655.01P</t>
  </si>
  <si>
    <t>20659.01P</t>
  </si>
  <si>
    <t>20663.01P</t>
  </si>
  <si>
    <t>20667.01P</t>
  </si>
  <si>
    <t>20671.01P</t>
  </si>
  <si>
    <t>20675.01P</t>
  </si>
  <si>
    <t>20679.01P</t>
  </si>
  <si>
    <t>20683.01P</t>
  </si>
  <si>
    <t>20687.01P</t>
  </si>
  <si>
    <t>20691.01P</t>
  </si>
  <si>
    <t>20695.01P</t>
  </si>
  <si>
    <t>20751.01P</t>
  </si>
  <si>
    <t>32003.01P</t>
  </si>
  <si>
    <t>32010.01P</t>
  </si>
  <si>
    <t>32014.01P</t>
  </si>
  <si>
    <t>32018.01P</t>
  </si>
  <si>
    <t>32022.01P</t>
  </si>
  <si>
    <t>32026.01P</t>
  </si>
  <si>
    <t>32030.01P</t>
  </si>
  <si>
    <t>32109.01P</t>
  </si>
  <si>
    <t>32113.01P</t>
  </si>
  <si>
    <t>32118.01P</t>
  </si>
  <si>
    <t>32122.01P</t>
  </si>
  <si>
    <t>32206.01P</t>
  </si>
  <si>
    <t>32302.01P</t>
  </si>
  <si>
    <t>32306.01P</t>
  </si>
  <si>
    <t>32310.01P</t>
  </si>
  <si>
    <t>32314.01P</t>
  </si>
  <si>
    <t>32318.01P</t>
  </si>
  <si>
    <t>32322.01P</t>
  </si>
  <si>
    <t>32326.01P</t>
  </si>
  <si>
    <t>32330.01P</t>
  </si>
  <si>
    <t>32334.01P</t>
  </si>
  <si>
    <t>32338.01P</t>
  </si>
  <si>
    <t>32342.01P</t>
  </si>
  <si>
    <t>32346.01P</t>
  </si>
  <si>
    <t>32350.01P</t>
  </si>
  <si>
    <t>32354.01P</t>
  </si>
  <si>
    <t>32358.01P</t>
  </si>
  <si>
    <t>32362.01P</t>
  </si>
  <si>
    <t>32414.01P</t>
  </si>
  <si>
    <t>33304.01P</t>
  </si>
  <si>
    <t>33309.01P</t>
  </si>
  <si>
    <t>33404.01P</t>
  </si>
  <si>
    <t>33409.01P</t>
  </si>
  <si>
    <t>33504.01P</t>
  </si>
  <si>
    <t>33509.01P</t>
  </si>
  <si>
    <t>40102.01P</t>
  </si>
  <si>
    <t>40106.01P</t>
  </si>
  <si>
    <t>40201.01P</t>
  </si>
  <si>
    <t>40205.01P</t>
  </si>
  <si>
    <t>40210.01P</t>
  </si>
  <si>
    <t>40301.01P</t>
  </si>
  <si>
    <t>40305.01P</t>
  </si>
  <si>
    <t>40310.01P</t>
  </si>
  <si>
    <t>40504.01P</t>
  </si>
  <si>
    <t>40725.01P</t>
  </si>
  <si>
    <t>40729.01P</t>
  </si>
  <si>
    <t>40733.01P</t>
  </si>
  <si>
    <t>40737.01P</t>
  </si>
  <si>
    <t>41702.01P</t>
  </si>
  <si>
    <t>41706.01P</t>
  </si>
  <si>
    <t>41710.01P</t>
  </si>
  <si>
    <t>42102.01P</t>
  </si>
  <si>
    <t>42401.01R</t>
  </si>
  <si>
    <t>42402.01R</t>
  </si>
  <si>
    <t>42403.01R</t>
  </si>
  <si>
    <t>42404.01R</t>
  </si>
  <si>
    <t>42405.01R</t>
  </si>
  <si>
    <t>42406.01R</t>
  </si>
  <si>
    <t>42407.01R</t>
  </si>
  <si>
    <t>42408.01R</t>
  </si>
  <si>
    <t>42704.01P</t>
  </si>
  <si>
    <t>42708.01P</t>
  </si>
  <si>
    <t>50602.01P</t>
  </si>
  <si>
    <t>50606.01P</t>
  </si>
  <si>
    <t>50610.01P</t>
  </si>
  <si>
    <t>50614.01P</t>
  </si>
  <si>
    <t>50651.01P</t>
  </si>
  <si>
    <t>50655.01P</t>
  </si>
  <si>
    <t>50701.01P</t>
  </si>
  <si>
    <t>50705.01P</t>
  </si>
  <si>
    <t>50709.01P</t>
  </si>
  <si>
    <t>50713.01P</t>
  </si>
  <si>
    <t>50751.01P</t>
  </si>
  <si>
    <t>50755.01P</t>
  </si>
  <si>
    <t>50759.01P</t>
  </si>
  <si>
    <t>51052.01P</t>
  </si>
  <si>
    <t>51057.01P</t>
  </si>
  <si>
    <t>60303.01P</t>
  </si>
  <si>
    <t>60307.01P</t>
  </si>
  <si>
    <t>60353.01P</t>
  </si>
  <si>
    <t>60357.01P</t>
  </si>
  <si>
    <t>70405.01P</t>
  </si>
  <si>
    <t>70504.01P</t>
  </si>
  <si>
    <t>70605.01P</t>
  </si>
  <si>
    <t>70704.01P</t>
  </si>
  <si>
    <t>70712.01P</t>
  </si>
  <si>
    <t>70716.01P</t>
  </si>
  <si>
    <t>70803.01P</t>
  </si>
  <si>
    <t>70813.01P</t>
  </si>
  <si>
    <t>70818.01P</t>
  </si>
  <si>
    <t>73201.01P</t>
  </si>
  <si>
    <t>73205.01P</t>
  </si>
  <si>
    <t>73801.01P</t>
  </si>
  <si>
    <t>90101.01S</t>
  </si>
  <si>
    <t>90102.01S</t>
  </si>
  <si>
    <t>90103.01S</t>
  </si>
  <si>
    <t>90110.01S</t>
  </si>
  <si>
    <t>90111.01S</t>
  </si>
  <si>
    <t>90121.01S</t>
  </si>
  <si>
    <t>90131.01S</t>
  </si>
  <si>
    <t>90132.01S</t>
  </si>
  <si>
    <t>90133.01S</t>
  </si>
  <si>
    <t>90134.01S</t>
  </si>
  <si>
    <t>90135.01S</t>
  </si>
  <si>
    <t>90140.01S</t>
  </si>
  <si>
    <t>90150.01S</t>
  </si>
  <si>
    <t>90160.01S</t>
  </si>
  <si>
    <t>90161.01S</t>
  </si>
  <si>
    <t>90301.01S</t>
  </si>
  <si>
    <t>90302.01S</t>
  </si>
  <si>
    <t>90303.01S</t>
  </si>
  <si>
    <t>90304.01S</t>
  </si>
  <si>
    <t>90305.01S</t>
  </si>
  <si>
    <t>90310.01S</t>
  </si>
  <si>
    <t>90311.01S</t>
  </si>
  <si>
    <t>90312.01S</t>
  </si>
  <si>
    <t>90313.01S</t>
  </si>
  <si>
    <t>90320.01S</t>
  </si>
  <si>
    <t>90321.01S</t>
  </si>
  <si>
    <t>90322.01S</t>
  </si>
  <si>
    <t>90323.01S</t>
  </si>
  <si>
    <t>90330.01S</t>
  </si>
  <si>
    <t>90331.01S</t>
  </si>
  <si>
    <t>90332.01S</t>
  </si>
  <si>
    <t>90333.01S</t>
  </si>
  <si>
    <t>90334.01S</t>
  </si>
  <si>
    <t>90335.01S</t>
  </si>
  <si>
    <t>90336.01S</t>
  </si>
  <si>
    <t>90340.01S</t>
  </si>
  <si>
    <t>90341.01S</t>
  </si>
  <si>
    <t>90342.01S</t>
  </si>
  <si>
    <t>90343.01S</t>
  </si>
  <si>
    <t>90350.01S</t>
  </si>
  <si>
    <t xml:space="preserve">90351.01S </t>
  </si>
  <si>
    <t>90352.01S</t>
  </si>
  <si>
    <t>90353.01S</t>
  </si>
  <si>
    <t>90354.01S</t>
  </si>
  <si>
    <t>90355.01S</t>
  </si>
  <si>
    <t>90356.01S</t>
  </si>
  <si>
    <t xml:space="preserve">90357.01S </t>
  </si>
  <si>
    <t xml:space="preserve">90358.01S </t>
  </si>
  <si>
    <t>90450.01S</t>
  </si>
  <si>
    <t>90201.01S</t>
  </si>
  <si>
    <t>90202.01S</t>
  </si>
  <si>
    <t>90210.01S</t>
  </si>
  <si>
    <t>90220.01S</t>
  </si>
  <si>
    <t>90221.01S</t>
  </si>
  <si>
    <t>90222.01S</t>
  </si>
  <si>
    <t>90230.01PS</t>
  </si>
  <si>
    <t>90401.01S</t>
  </si>
  <si>
    <t>90402.01PS</t>
  </si>
  <si>
    <t>90403.01PS</t>
  </si>
  <si>
    <t>90404.01PS</t>
  </si>
  <si>
    <t>90405.01S</t>
  </si>
  <si>
    <t>90451.01S</t>
  </si>
  <si>
    <t>90452.01S</t>
  </si>
  <si>
    <t>90453.01S</t>
  </si>
  <si>
    <t>90454.01S</t>
  </si>
  <si>
    <t>90461.01S</t>
  </si>
  <si>
    <t>90462.01S</t>
  </si>
  <si>
    <t>90600.01S</t>
  </si>
  <si>
    <t>90605.01S</t>
  </si>
  <si>
    <t>90610.01S</t>
  </si>
  <si>
    <t>90615.01S</t>
  </si>
  <si>
    <t>90620.01S</t>
  </si>
  <si>
    <t>90625.01S</t>
  </si>
  <si>
    <t>90635.01S</t>
  </si>
  <si>
    <t>90640.01S</t>
  </si>
  <si>
    <t>90645.01S</t>
  </si>
  <si>
    <t>90650.01S</t>
  </si>
  <si>
    <t>90655.01S</t>
  </si>
  <si>
    <t>90660.01S</t>
  </si>
  <si>
    <t>90665.01S</t>
  </si>
  <si>
    <t>90670.01S</t>
  </si>
  <si>
    <t>90690.01S</t>
  </si>
  <si>
    <t>90801.01PS</t>
  </si>
  <si>
    <t>90802.01PS</t>
  </si>
  <si>
    <t>90803.01PS</t>
  </si>
  <si>
    <t>90804.01PS</t>
  </si>
  <si>
    <t>90810.01S</t>
  </si>
  <si>
    <t>90820.01S</t>
  </si>
  <si>
    <t>90821.01S</t>
  </si>
  <si>
    <t>90822.01S</t>
  </si>
  <si>
    <t>90823.01S</t>
  </si>
  <si>
    <t>90945.01S</t>
  </si>
  <si>
    <t>90501.01S</t>
  </si>
  <si>
    <t>90502.01S</t>
  </si>
  <si>
    <t>90503.01S</t>
  </si>
  <si>
    <t>90504.01S</t>
  </si>
  <si>
    <t>90505.01S</t>
  </si>
  <si>
    <t>90506.01S</t>
  </si>
  <si>
    <t>90520.01S</t>
  </si>
  <si>
    <t>90701.01S</t>
  </si>
  <si>
    <t>90702.01S</t>
  </si>
  <si>
    <t>90703.01S</t>
  </si>
  <si>
    <t>90704.01S</t>
  </si>
  <si>
    <t>90705.01S</t>
  </si>
  <si>
    <t>90706.01S</t>
  </si>
  <si>
    <t>90707.01S</t>
  </si>
  <si>
    <t>90708.01S</t>
  </si>
  <si>
    <t>90709.01S</t>
  </si>
  <si>
    <t>90710.01S</t>
  </si>
  <si>
    <t>90711.01S</t>
  </si>
  <si>
    <t>90712.01S</t>
  </si>
  <si>
    <t>90713.01S</t>
  </si>
  <si>
    <t>90714.01S</t>
  </si>
  <si>
    <t>90715.01S</t>
  </si>
  <si>
    <t>90716.01S</t>
  </si>
  <si>
    <t>90988.01S</t>
  </si>
  <si>
    <t>90900.01S</t>
  </si>
  <si>
    <t>90531.01S</t>
  </si>
  <si>
    <t>90541.01S</t>
  </si>
  <si>
    <t>90542.01S</t>
  </si>
  <si>
    <t>90543.01S</t>
  </si>
  <si>
    <t>90544.01S</t>
  </si>
  <si>
    <t>90545.01S</t>
  </si>
  <si>
    <t>90546.01S</t>
  </si>
  <si>
    <t>90547.01S</t>
  </si>
  <si>
    <t>90548.01S</t>
  </si>
  <si>
    <t>90549.01S</t>
  </si>
  <si>
    <t>90551.01S</t>
  </si>
  <si>
    <t>90552.01S</t>
  </si>
  <si>
    <t>90561.02S</t>
  </si>
  <si>
    <t>90561.03S</t>
  </si>
  <si>
    <t>90561.04S</t>
  </si>
  <si>
    <t>90561.05S</t>
  </si>
  <si>
    <t>90561.06S</t>
  </si>
  <si>
    <t>90561.07S</t>
  </si>
  <si>
    <t>90561.08S</t>
  </si>
  <si>
    <t>90561.09S</t>
  </si>
  <si>
    <t>90561.10S</t>
  </si>
  <si>
    <t>90561.11S</t>
  </si>
  <si>
    <t>90561.12S</t>
  </si>
  <si>
    <t>90561.13S</t>
  </si>
  <si>
    <t>90561.14S</t>
  </si>
  <si>
    <t>90561.15S</t>
  </si>
  <si>
    <t>90562.01S</t>
  </si>
  <si>
    <t>90562.03S</t>
  </si>
  <si>
    <t>90562.02S</t>
  </si>
  <si>
    <t>90562.04S</t>
  </si>
  <si>
    <t>90571.01S</t>
  </si>
  <si>
    <t>90572.01S</t>
  </si>
  <si>
    <t>90581.01S</t>
  </si>
  <si>
    <t>90582.01S</t>
  </si>
  <si>
    <t>90583.01S</t>
  </si>
  <si>
    <t>90584.01S</t>
  </si>
  <si>
    <t>90585.01S</t>
  </si>
  <si>
    <t>90141.01S</t>
  </si>
  <si>
    <r>
      <t xml:space="preserve">Supply and installation of QUU works as per </t>
    </r>
    <r>
      <rPr>
        <sz val="12"/>
        <color rgb="FF0000FF"/>
        <rFont val="Arial"/>
        <family val="2"/>
      </rPr>
      <t>[description / list drawing numbers]</t>
    </r>
    <r>
      <rPr>
        <sz val="12"/>
        <color theme="1"/>
        <rFont val="Arial"/>
        <family val="2"/>
      </rPr>
      <t xml:space="preserve"> (Refer CTS09)</t>
    </r>
  </si>
  <si>
    <t>90142.01S</t>
  </si>
  <si>
    <r>
      <t xml:space="preserve">Supply and installation of TPG works as per </t>
    </r>
    <r>
      <rPr>
        <sz val="12"/>
        <color rgb="FF0000FF"/>
        <rFont val="Arial"/>
        <family val="2"/>
      </rPr>
      <t>[description / list drawing numbers]</t>
    </r>
    <r>
      <rPr>
        <sz val="12"/>
        <color theme="1"/>
        <rFont val="Arial"/>
        <family val="2"/>
      </rPr>
      <t xml:space="preserve"> (Refer CTS09)</t>
    </r>
  </si>
  <si>
    <t>90143.01S</t>
  </si>
  <si>
    <r>
      <t xml:space="preserve">Supply and installation of Optus works as per </t>
    </r>
    <r>
      <rPr>
        <sz val="12"/>
        <color rgb="FF0000FF"/>
        <rFont val="Arial"/>
        <family val="2"/>
      </rPr>
      <t>[description / list drawing numbers]</t>
    </r>
    <r>
      <rPr>
        <sz val="12"/>
        <color theme="1"/>
        <rFont val="Arial"/>
        <family val="2"/>
      </rPr>
      <t xml:space="preserve"> (Refer CTS09)</t>
    </r>
  </si>
  <si>
    <t>90144.01S</t>
  </si>
  <si>
    <r>
      <t xml:space="preserve">Supply and installation of Uecomm works as per </t>
    </r>
    <r>
      <rPr>
        <sz val="12"/>
        <color rgb="FF0000FF"/>
        <rFont val="Arial"/>
        <family val="2"/>
      </rPr>
      <t>[description / list drawing numbers]</t>
    </r>
    <r>
      <rPr>
        <sz val="12"/>
        <color theme="1"/>
        <rFont val="Arial"/>
        <family val="2"/>
      </rPr>
      <t xml:space="preserve"> (Refer CTS09)</t>
    </r>
  </si>
  <si>
    <t>90145.01S</t>
  </si>
  <si>
    <r>
      <t xml:space="preserve">Supply and installation of APA works as per </t>
    </r>
    <r>
      <rPr>
        <sz val="12"/>
        <color rgb="FF0000FF"/>
        <rFont val="Arial"/>
        <family val="2"/>
      </rPr>
      <t>[description / list drawing numbers]</t>
    </r>
    <r>
      <rPr>
        <sz val="12"/>
        <color theme="1"/>
        <rFont val="Arial"/>
        <family val="2"/>
      </rPr>
      <t xml:space="preserve"> (Refer CTS09)</t>
    </r>
  </si>
  <si>
    <t>90146.01S</t>
  </si>
  <si>
    <r>
      <t xml:space="preserve">Supply and installation of NBN works as per </t>
    </r>
    <r>
      <rPr>
        <sz val="12"/>
        <color rgb="FF0000FF"/>
        <rFont val="Arial"/>
        <family val="2"/>
      </rPr>
      <t>[description / list drawing numbers]</t>
    </r>
    <r>
      <rPr>
        <sz val="12"/>
        <color theme="1"/>
        <rFont val="Arial"/>
        <family val="2"/>
      </rPr>
      <t xml:space="preserve"> (Refer CTS09)</t>
    </r>
  </si>
  <si>
    <t>90824.01S</t>
  </si>
  <si>
    <t>90825.01S</t>
  </si>
  <si>
    <r>
      <t>Supply and install Tubestock Protection Measure - [</t>
    </r>
    <r>
      <rPr>
        <sz val="12"/>
        <color rgb="FF0000FF"/>
        <rFont val="Arial"/>
        <family val="2"/>
      </rPr>
      <t>standard welded joints corflute treeguard such as 'Treemax - Eziguard or approved equivalent</t>
    </r>
    <r>
      <rPr>
        <sz val="12"/>
        <color theme="1"/>
        <rFont val="Arial"/>
        <family val="2"/>
      </rPr>
      <t>] (Refer to CTS16)</t>
    </r>
  </si>
  <si>
    <r>
      <t>Supply and install Turf Pinning Measure - [</t>
    </r>
    <r>
      <rPr>
        <sz val="12"/>
        <color rgb="FF0000FF"/>
        <rFont val="Arial"/>
        <family val="2"/>
      </rPr>
      <t>minimum 450mm long by 25mm square untreated timber pegs - 400mm minimum embedment @ 3 pegs per square metre</t>
    </r>
    <r>
      <rPr>
        <sz val="12"/>
        <color theme="1"/>
        <rFont val="Arial"/>
        <family val="2"/>
      </rPr>
      <t>] (Refer to CTS16)</t>
    </r>
  </si>
  <si>
    <t>90510.01S</t>
  </si>
  <si>
    <t>Supply and installation of conduit protective cover strip, PVC, Class 12 (Refer CTS91)</t>
  </si>
  <si>
    <r>
      <t xml:space="preserve">COMMISSIONING AND TESTING OF PERSONALITY </t>
    </r>
    <r>
      <rPr>
        <b/>
        <sz val="12"/>
        <color rgb="FF0000FF"/>
        <rFont val="Arial"/>
        <family val="2"/>
      </rPr>
      <t>(CTS93 Jan 18)</t>
    </r>
  </si>
  <si>
    <t>90993.01S</t>
  </si>
  <si>
    <t>Commissioning and Testing Personality EPROM (Refer CTS93)</t>
  </si>
  <si>
    <r>
      <t xml:space="preserve">DRIVEN TIMBER PILES </t>
    </r>
    <r>
      <rPr>
        <b/>
        <sz val="12"/>
        <color rgb="FF0000FF"/>
        <rFont val="Arial"/>
        <family val="2"/>
      </rPr>
      <t>(CTS66 Jan 18)</t>
    </r>
  </si>
  <si>
    <t>90966.01S</t>
  </si>
  <si>
    <t>90463.01S</t>
  </si>
  <si>
    <t>90464.01S</t>
  </si>
  <si>
    <t>Dense graded asphalt, Type 3 (18mm mix) material supply only (Refer CTS30)</t>
  </si>
  <si>
    <t>Dense graded asphalt, Type 4 (35mm mix) material supply only (Refer CTS30)</t>
  </si>
  <si>
    <r>
      <t>PUBLIC UTILITY PLANT</t>
    </r>
    <r>
      <rPr>
        <b/>
        <sz val="12"/>
        <color rgb="FF0000FF"/>
        <rFont val="Arial"/>
        <family val="2"/>
      </rPr>
      <t xml:space="preserve"> (CTS09 JAN 18)</t>
    </r>
  </si>
  <si>
    <r>
      <t>PAVEMENTS</t>
    </r>
    <r>
      <rPr>
        <b/>
        <sz val="12"/>
        <color rgb="FF0000FF"/>
        <rFont val="Arial"/>
        <family val="2"/>
      </rPr>
      <t xml:space="preserve"> (CTS05 Jan 18)</t>
    </r>
  </si>
  <si>
    <r>
      <t xml:space="preserve">PAINTING EXISTING AND NEW STRUCTURES </t>
    </r>
    <r>
      <rPr>
        <b/>
        <sz val="12"/>
        <color rgb="FF0000FF"/>
        <rFont val="Arial"/>
        <family val="2"/>
      </rPr>
      <t>(CTS88 Jan 18)</t>
    </r>
  </si>
  <si>
    <r>
      <t xml:space="preserve">AS-CONSTRUCTED INFORMATION </t>
    </r>
    <r>
      <rPr>
        <b/>
        <sz val="12"/>
        <color rgb="FF0000FF"/>
        <rFont val="Arial"/>
        <family val="2"/>
      </rPr>
      <t>(CTS99 Jan 18)</t>
    </r>
  </si>
  <si>
    <t>Schedule -</t>
  </si>
  <si>
    <t>Schedule TOTAL</t>
  </si>
  <si>
    <r>
      <t xml:space="preserve">Precast concrete side inlet gullies with precast shaft, </t>
    </r>
    <r>
      <rPr>
        <sz val="12"/>
        <color rgb="FF0000FF"/>
        <rFont val="Arial"/>
        <family val="2"/>
      </rPr>
      <t>[size | description]</t>
    </r>
  </si>
  <si>
    <r>
      <t xml:space="preserve">Precast concrete side inlet gullies with cast-in-place pit, </t>
    </r>
    <r>
      <rPr>
        <sz val="12"/>
        <color rgb="FF0000FF"/>
        <rFont val="Arial"/>
        <family val="2"/>
      </rPr>
      <t>[size | description]</t>
    </r>
  </si>
  <si>
    <r>
      <t xml:space="preserve">DREDGING </t>
    </r>
    <r>
      <rPr>
        <b/>
        <sz val="12"/>
        <color rgb="FF0000FF"/>
        <rFont val="Arial"/>
        <family val="2"/>
      </rPr>
      <t>(MRS305 JUL 17)</t>
    </r>
  </si>
  <si>
    <r>
      <t xml:space="preserve">FABRICATION AND CONSTRUCTION OF FLOATING WALKWAYS </t>
    </r>
    <r>
      <rPr>
        <b/>
        <sz val="12"/>
        <color rgb="FF0000FF"/>
        <rFont val="Arial"/>
        <family val="2"/>
      </rPr>
      <t>(MRS301 JUL 17)</t>
    </r>
  </si>
  <si>
    <r>
      <t>FLOATING WALKWAYS</t>
    </r>
    <r>
      <rPr>
        <b/>
        <sz val="12"/>
        <color rgb="FF0000FF"/>
        <rFont val="Arial"/>
        <family val="2"/>
      </rPr>
      <t xml:space="preserve"> (MRS301 JUL 17)</t>
    </r>
  </si>
  <si>
    <r>
      <t>FABRICATION AND CONSTRUCTION OF PONTOONS</t>
    </r>
    <r>
      <rPr>
        <b/>
        <sz val="12"/>
        <color rgb="FF0000FF"/>
        <rFont val="Arial"/>
        <family val="2"/>
      </rPr>
      <t xml:space="preserve"> (MRS302 JUL 17)</t>
    </r>
  </si>
  <si>
    <r>
      <t xml:space="preserve">PROVISION FOR TRAFFIC </t>
    </r>
    <r>
      <rPr>
        <b/>
        <sz val="12"/>
        <color rgb="FF0000FF"/>
        <rFont val="Arial"/>
        <family val="2"/>
      </rPr>
      <t>(MRS02 JUL 17)</t>
    </r>
  </si>
  <si>
    <r>
      <t xml:space="preserve">CONTRACTOR’S SITE FACILITIES AND CAMP </t>
    </r>
    <r>
      <rPr>
        <b/>
        <sz val="12"/>
        <color rgb="FF0000FF"/>
        <rFont val="Arial"/>
        <family val="2"/>
      </rPr>
      <t>(MRS28 JUL 17)</t>
    </r>
  </si>
  <si>
    <r>
      <t xml:space="preserve">SPECIFIC QUALITY SYSTEM REQUIREMENTS </t>
    </r>
    <r>
      <rPr>
        <b/>
        <sz val="12"/>
        <color rgb="FF0000FF"/>
        <rFont val="Arial"/>
        <family val="2"/>
      </rPr>
      <t>(MRS50 JUL 17)</t>
    </r>
  </si>
  <si>
    <r>
      <t xml:space="preserve">ENVIRONMENTAL MANAGEMENT </t>
    </r>
    <r>
      <rPr>
        <b/>
        <sz val="12"/>
        <color rgb="FF0000FF"/>
        <rFont val="Arial"/>
        <family val="2"/>
      </rPr>
      <t>(MRS51 JUL 17)</t>
    </r>
  </si>
  <si>
    <r>
      <t xml:space="preserve">EROSION AND SEDIMENT CONTROL </t>
    </r>
    <r>
      <rPr>
        <b/>
        <sz val="12"/>
        <color rgb="FF0000FF"/>
        <rFont val="Arial"/>
        <family val="2"/>
      </rPr>
      <t>(MRS52 JUL 17)</t>
    </r>
  </si>
  <si>
    <r>
      <t xml:space="preserve">MANAGEMENT AND REMOVAL OF ASBESTOS </t>
    </r>
    <r>
      <rPr>
        <b/>
        <sz val="12"/>
        <color rgb="FF0000FF"/>
        <rFont val="Arial"/>
        <family val="2"/>
      </rPr>
      <t>(MRS96 JUL 17)</t>
    </r>
  </si>
  <si>
    <r>
      <t xml:space="preserve">DRAINAGE, RETAINING STRUCTURES AND PROTECTIVE TREATMENTS </t>
    </r>
    <r>
      <rPr>
        <b/>
        <sz val="12"/>
        <color rgb="FF0000FF"/>
        <rFont val="Arial"/>
        <family val="2"/>
      </rPr>
      <t>(MRS03 JUL 17)</t>
    </r>
  </si>
  <si>
    <r>
      <t xml:space="preserve">GENERAL EARTHWORKS </t>
    </r>
    <r>
      <rPr>
        <b/>
        <sz val="12"/>
        <color rgb="FF0000FF"/>
        <rFont val="Arial"/>
        <family val="2"/>
      </rPr>
      <t>(MRS04 OCT 17)</t>
    </r>
  </si>
  <si>
    <r>
      <t xml:space="preserve">REINFORCED SOIL STRUCTURE </t>
    </r>
    <r>
      <rPr>
        <b/>
        <sz val="12"/>
        <color rgb="FF0000FF"/>
        <rFont val="Arial"/>
        <family val="2"/>
      </rPr>
      <t>(MRS06 JUL 17)</t>
    </r>
  </si>
  <si>
    <r>
      <t xml:space="preserve">HORIZONTAL DIRECTIONAL DRILLING (HDD) </t>
    </r>
    <r>
      <rPr>
        <b/>
        <sz val="12"/>
        <color rgb="FF0000FF"/>
        <rFont val="Arial"/>
        <family val="2"/>
      </rPr>
      <t>(MRS140 JUL 17)</t>
    </r>
  </si>
  <si>
    <r>
      <t xml:space="preserve">MICROTUNNELLING AND PIPE JACKING </t>
    </r>
    <r>
      <rPr>
        <b/>
        <sz val="12"/>
        <color rgb="FF0000FF"/>
        <rFont val="Arial"/>
        <family val="2"/>
      </rPr>
      <t>(MRS141 JUL 17)</t>
    </r>
  </si>
  <si>
    <r>
      <t xml:space="preserve">THRUST BORING AND AUGER BORING </t>
    </r>
    <r>
      <rPr>
        <b/>
        <sz val="12"/>
        <color rgb="FF0000FF"/>
        <rFont val="Arial"/>
        <family val="2"/>
      </rPr>
      <t>(MRS142 JUL 17)</t>
    </r>
  </si>
  <si>
    <r>
      <t xml:space="preserve">UNBOUND PAVEMENTS </t>
    </r>
    <r>
      <rPr>
        <b/>
        <sz val="12"/>
        <color rgb="FF0000FF"/>
        <rFont val="Arial"/>
        <family val="2"/>
      </rPr>
      <t>(MRS5 JUL 17)</t>
    </r>
  </si>
  <si>
    <r>
      <t xml:space="preserve">INSITU STABILISED SUBGRADES USING QUICKLIME OR HYDRATED LIME </t>
    </r>
    <r>
      <rPr>
        <b/>
        <sz val="12"/>
        <color rgb="FF0000FF"/>
        <rFont val="Arial"/>
        <family val="2"/>
      </rPr>
      <t>(MRS07A OCT 17)</t>
    </r>
  </si>
  <si>
    <r>
      <t xml:space="preserve">INSITU STABILISED PAVEMENTS USING CEMENT OR CEMENTITIOUS BLENDS </t>
    </r>
    <r>
      <rPr>
        <b/>
        <sz val="12"/>
        <color rgb="FF0000FF"/>
        <rFont val="Arial"/>
        <family val="2"/>
      </rPr>
      <t>(MRS07B OCT 17)</t>
    </r>
  </si>
  <si>
    <r>
      <t xml:space="preserve">INSITU STABILISED PAVEMENTS USING FOAMED BITUMEN </t>
    </r>
    <r>
      <rPr>
        <b/>
        <sz val="12"/>
        <color rgb="FF0000FF"/>
        <rFont val="Arial"/>
        <family val="2"/>
      </rPr>
      <t>(MRS07C OCT 17)</t>
    </r>
  </si>
  <si>
    <r>
      <t>PLANT-MIXED STABILISED PAVEMENTS USING CEMENT OR CEMENTITIOUS BLENDS</t>
    </r>
    <r>
      <rPr>
        <b/>
        <sz val="12"/>
        <color rgb="FF0000FF"/>
        <rFont val="Arial"/>
        <family val="2"/>
      </rPr>
      <t xml:space="preserve"> (MRS8 JUL 17)</t>
    </r>
  </si>
  <si>
    <r>
      <t xml:space="preserve">PLANT-MIXED LIGHTLY BOUND PAVEMENTS </t>
    </r>
    <r>
      <rPr>
        <b/>
        <sz val="12"/>
        <color rgb="FF0000FF"/>
        <rFont val="Arial"/>
        <family val="2"/>
      </rPr>
      <t>(MRS10 OCT 17)</t>
    </r>
  </si>
  <si>
    <r>
      <t xml:space="preserve">SPRAYED BITUMINOUS TREATMENTS (EXCLUDING EMULSION) </t>
    </r>
    <r>
      <rPr>
        <b/>
        <sz val="12"/>
        <color rgb="FF0000FF"/>
        <rFont val="Arial"/>
        <family val="2"/>
      </rPr>
      <t>(MRS11 OCT 17)</t>
    </r>
  </si>
  <si>
    <r>
      <t xml:space="preserve">SPRAYED BITUMINOUS EMULSION SURFACING </t>
    </r>
    <r>
      <rPr>
        <b/>
        <sz val="12"/>
        <color rgb="FF0000FF"/>
        <rFont val="Arial"/>
        <family val="2"/>
      </rPr>
      <t>(MRS12 JUL 17)</t>
    </r>
  </si>
  <si>
    <r>
      <t xml:space="preserve">BITUMINOUS SLURRY SURFACING </t>
    </r>
    <r>
      <rPr>
        <b/>
        <sz val="12"/>
        <color rgb="FF0000FF"/>
        <rFont val="Arial"/>
        <family val="2"/>
      </rPr>
      <t>(MRS13 JUL 17)</t>
    </r>
  </si>
  <si>
    <r>
      <t xml:space="preserve">ASPHALT PAVEMENTS </t>
    </r>
    <r>
      <rPr>
        <b/>
        <sz val="12"/>
        <color rgb="FF0000FF"/>
        <rFont val="Arial"/>
        <family val="2"/>
      </rPr>
      <t>(MRS30 OCT 17)</t>
    </r>
  </si>
  <si>
    <r>
      <t xml:space="preserve">HIGH MODULUS ASPHALT (EME2) </t>
    </r>
    <r>
      <rPr>
        <b/>
        <sz val="12"/>
        <color rgb="FF0000FF"/>
        <rFont val="Arial"/>
        <family val="2"/>
      </rPr>
      <t>(MRS32 OCT 17)</t>
    </r>
  </si>
  <si>
    <r>
      <t xml:space="preserve">RECYCLED MATERIALS FOR PAVEMENTS </t>
    </r>
    <r>
      <rPr>
        <b/>
        <sz val="12"/>
        <color rgb="FF0000FF"/>
        <rFont val="Arial"/>
        <family val="2"/>
      </rPr>
      <t>(MRS35 JUL 17)</t>
    </r>
  </si>
  <si>
    <r>
      <t xml:space="preserve">PAVEMENT DRAINS </t>
    </r>
    <r>
      <rPr>
        <b/>
        <sz val="12"/>
        <color rgb="FF0000FF"/>
        <rFont val="Arial"/>
        <family val="2"/>
      </rPr>
      <t>(MRS38 JUL 17)</t>
    </r>
  </si>
  <si>
    <r>
      <t xml:space="preserve">LEAN MIX CONCRETE SUB-BASE FOR PAVEMENTS </t>
    </r>
    <r>
      <rPr>
        <b/>
        <sz val="12"/>
        <color rgb="FF0000FF"/>
        <rFont val="Arial"/>
        <family val="2"/>
      </rPr>
      <t>(MRS39 JUL 17)</t>
    </r>
  </si>
  <si>
    <r>
      <t xml:space="preserve">CONCRETE BASE IN PAVEMENTS </t>
    </r>
    <r>
      <rPr>
        <b/>
        <sz val="12"/>
        <color rgb="FF0000FF"/>
        <rFont val="Arial"/>
        <family val="2"/>
      </rPr>
      <t>(MRS40 JUL 17)</t>
    </r>
  </si>
  <si>
    <r>
      <t xml:space="preserve">GEOTEXTILES FOR PAVING APPLICATIONS </t>
    </r>
    <r>
      <rPr>
        <b/>
        <sz val="12"/>
        <color rgb="FF0000FF"/>
        <rFont val="Arial"/>
        <family val="2"/>
      </rPr>
      <t>(MRS57 JUL 17)</t>
    </r>
  </si>
  <si>
    <r>
      <t>SUBGRADE REINFORCEMENT USING PAVEMENT GEOSYNTHETICS</t>
    </r>
    <r>
      <rPr>
        <b/>
        <sz val="12"/>
        <color rgb="FF0000FF"/>
        <rFont val="Arial"/>
        <family val="2"/>
      </rPr>
      <t xml:space="preserve"> (MRS58 JUL 17)</t>
    </r>
  </si>
  <si>
    <r>
      <t xml:space="preserve">ROAD FURNITURE </t>
    </r>
    <r>
      <rPr>
        <b/>
        <sz val="12"/>
        <color rgb="FF0000FF"/>
        <rFont val="Arial"/>
        <family val="2"/>
      </rPr>
      <t>(MRS14 OCT 17)</t>
    </r>
  </si>
  <si>
    <r>
      <t>LANDSCAPE AND REVEGETATION WORKS</t>
    </r>
    <r>
      <rPr>
        <b/>
        <sz val="12"/>
        <color rgb="FF0000FF"/>
        <rFont val="Arial"/>
        <family val="2"/>
      </rPr>
      <t xml:space="preserve"> (MRS16 JUL 17)</t>
    </r>
  </si>
  <si>
    <r>
      <t xml:space="preserve">ROAD SURFACE DELINEATION </t>
    </r>
    <r>
      <rPr>
        <b/>
        <sz val="12"/>
        <color rgb="FF0000FF"/>
        <rFont val="Arial"/>
        <family val="2"/>
      </rPr>
      <t>(MRS45 OCT 17)</t>
    </r>
  </si>
  <si>
    <r>
      <t xml:space="preserve">CONDUITS AND PITS </t>
    </r>
    <r>
      <rPr>
        <b/>
        <sz val="12"/>
        <color rgb="FF0000FF"/>
        <rFont val="Arial"/>
        <family val="2"/>
      </rPr>
      <t>(MRS91 OCT 17)</t>
    </r>
  </si>
  <si>
    <r>
      <t xml:space="preserve">CONDUIT AND CONDUIT FITTINGS MOUNTED ON THE SURFACE </t>
    </r>
    <r>
      <rPr>
        <b/>
        <sz val="12"/>
        <color rgb="FF0000FF"/>
        <rFont val="Arial"/>
        <family val="2"/>
      </rPr>
      <t>(MRS91 OCT 17)</t>
    </r>
  </si>
  <si>
    <r>
      <t xml:space="preserve">TRAFFIC SIGNAL AND ROAD LIGHTING FOOTINGS </t>
    </r>
    <r>
      <rPr>
        <b/>
        <sz val="12"/>
        <color rgb="FF0000FF"/>
        <rFont val="Arial"/>
        <family val="2"/>
      </rPr>
      <t>(MRS92 JUL 17)</t>
    </r>
  </si>
  <si>
    <r>
      <t xml:space="preserve">TRAFFIC SIGNALS </t>
    </r>
    <r>
      <rPr>
        <b/>
        <sz val="12"/>
        <color rgb="FF0000FF"/>
        <rFont val="Arial"/>
        <family val="2"/>
      </rPr>
      <t>(MRS93 OCT 17)</t>
    </r>
  </si>
  <si>
    <r>
      <t xml:space="preserve">ROAD LIGHTING </t>
    </r>
    <r>
      <rPr>
        <b/>
        <sz val="12"/>
        <color rgb="FF0000FF"/>
        <rFont val="Arial"/>
        <family val="2"/>
      </rPr>
      <t>(MRS94 JUL 17)</t>
    </r>
  </si>
  <si>
    <r>
      <t xml:space="preserve">STAND-ALONE SOLAR POWERED LIGHTING </t>
    </r>
    <r>
      <rPr>
        <b/>
        <sz val="12"/>
        <color rgb="FF0000FF"/>
        <rFont val="Arial"/>
        <family val="2"/>
      </rPr>
      <t>(MRS98 JUL 17)</t>
    </r>
  </si>
  <si>
    <r>
      <t xml:space="preserve">VARIABLE MESSAGE SIGNS </t>
    </r>
    <r>
      <rPr>
        <b/>
        <sz val="12"/>
        <color rgb="FF0000FF"/>
        <rFont val="Arial"/>
        <family val="2"/>
      </rPr>
      <t>(MRS202 JUL 17)</t>
    </r>
  </si>
  <si>
    <r>
      <t xml:space="preserve">VEHICLE DETECTORS </t>
    </r>
    <r>
      <rPr>
        <b/>
        <sz val="12"/>
        <color rgb="FF0000FF"/>
        <rFont val="Arial"/>
        <family val="2"/>
      </rPr>
      <t>(MRS204 OCT 17)</t>
    </r>
  </si>
  <si>
    <r>
      <t>PROVISION OF VARIABLE SPEED LIMIT AND LANE CONTROL SIGNS</t>
    </r>
    <r>
      <rPr>
        <b/>
        <sz val="12"/>
        <color rgb="FF0000FF"/>
        <rFont val="Arial"/>
        <family val="2"/>
      </rPr>
      <t xml:space="preserve"> (MRS206 JUL 17)</t>
    </r>
  </si>
  <si>
    <r>
      <t xml:space="preserve">VARIABLE SPEED LIMIT SIGNS </t>
    </r>
    <r>
      <rPr>
        <b/>
        <sz val="12"/>
        <color rgb="FF0000FF"/>
        <rFont val="Arial"/>
        <family val="2"/>
      </rPr>
      <t>(MRS206 JUL 17)</t>
    </r>
  </si>
  <si>
    <r>
      <t>PROVISION OF MAINS POWER</t>
    </r>
    <r>
      <rPr>
        <b/>
        <sz val="12"/>
        <color rgb="FF0000FF"/>
        <rFont val="Arial"/>
        <family val="2"/>
      </rPr>
      <t xml:space="preserve"> (MRS210 JUL 17)</t>
    </r>
  </si>
  <si>
    <r>
      <t xml:space="preserve">VEHICLE ACTIVATED SIGNS </t>
    </r>
    <r>
      <rPr>
        <b/>
        <sz val="12"/>
        <color rgb="FF0000FF"/>
        <rFont val="Arial"/>
        <family val="2"/>
      </rPr>
      <t>(MRS218 JUL 17)</t>
    </r>
  </si>
  <si>
    <r>
      <t xml:space="preserve">REMOVAL OF EXISTING EQUIPMENT </t>
    </r>
    <r>
      <rPr>
        <b/>
        <sz val="12"/>
        <color rgb="FF0000FF"/>
        <rFont val="Arial"/>
        <family val="2"/>
      </rPr>
      <t>(MRS218 JUL 17)</t>
    </r>
  </si>
  <si>
    <r>
      <t xml:space="preserve">HELP PHONES </t>
    </r>
    <r>
      <rPr>
        <b/>
        <sz val="12"/>
        <color rgb="FF0000FF"/>
        <rFont val="Arial"/>
        <family val="2"/>
      </rPr>
      <t>(MRS221 JUL 17)</t>
    </r>
  </si>
  <si>
    <r>
      <t xml:space="preserve">REMOVAL OF EXISTING HELP PHONE EQUIPMENT </t>
    </r>
    <r>
      <rPr>
        <b/>
        <sz val="12"/>
        <color rgb="FF0000FF"/>
        <rFont val="Arial"/>
        <family val="2"/>
      </rPr>
      <t>(MRS221 JUL 17)</t>
    </r>
  </si>
  <si>
    <r>
      <t xml:space="preserve">ELECTRONIC SCHOOL ZONE SIGNS </t>
    </r>
    <r>
      <rPr>
        <b/>
        <sz val="12"/>
        <color rgb="FF0000FF"/>
        <rFont val="Arial"/>
        <family val="2"/>
      </rPr>
      <t>(MRS222 JUL 17)</t>
    </r>
  </si>
  <si>
    <r>
      <t>PREPARATION OF SITE</t>
    </r>
    <r>
      <rPr>
        <b/>
        <sz val="12"/>
        <color rgb="FF0000FF"/>
        <rFont val="Arial"/>
        <family val="2"/>
      </rPr>
      <t xml:space="preserve"> (MRS222 JUL 17)</t>
    </r>
  </si>
  <si>
    <r>
      <t xml:space="preserve">SIGN FOOTINGS </t>
    </r>
    <r>
      <rPr>
        <b/>
        <sz val="12"/>
        <color rgb="FF0000FF"/>
        <rFont val="Arial"/>
        <family val="2"/>
      </rPr>
      <t>(MRS222 JUL 17)</t>
    </r>
  </si>
  <si>
    <r>
      <t xml:space="preserve">GUARD RAIL </t>
    </r>
    <r>
      <rPr>
        <b/>
        <sz val="12"/>
        <color rgb="FF0000FF"/>
        <rFont val="Arial"/>
        <family val="2"/>
      </rPr>
      <t xml:space="preserve"> (MRS222 JUL 17</t>
    </r>
    <r>
      <rPr>
        <b/>
        <sz val="12"/>
        <color theme="1"/>
        <rFont val="Arial"/>
        <family val="2"/>
      </rPr>
      <t>)</t>
    </r>
  </si>
  <si>
    <r>
      <t xml:space="preserve">SIGN POLES AND BRACKETS </t>
    </r>
    <r>
      <rPr>
        <b/>
        <sz val="12"/>
        <color rgb="FF0000FF"/>
        <rFont val="Arial"/>
        <family val="2"/>
      </rPr>
      <t>(MRS222 JUL 17)</t>
    </r>
  </si>
  <si>
    <r>
      <t>SIGNS</t>
    </r>
    <r>
      <rPr>
        <b/>
        <sz val="12"/>
        <color rgb="FF0000FF"/>
        <rFont val="Arial"/>
        <family val="2"/>
      </rPr>
      <t xml:space="preserve"> (MRS222 JUL 17)</t>
    </r>
  </si>
  <si>
    <r>
      <t>ANCILLARY WORKS</t>
    </r>
    <r>
      <rPr>
        <b/>
        <sz val="12"/>
        <color rgb="FF0000FF"/>
        <rFont val="Arial"/>
        <family val="2"/>
      </rPr>
      <t xml:space="preserve"> (MRS222 JUL 17)</t>
    </r>
  </si>
  <si>
    <r>
      <t xml:space="preserve">REMOVAL OF EXISTING EQUIPMENT </t>
    </r>
    <r>
      <rPr>
        <b/>
        <sz val="12"/>
        <color rgb="FF0000FF"/>
        <rFont val="Arial"/>
        <family val="2"/>
      </rPr>
      <t>(MRS222 JUL 17)</t>
    </r>
  </si>
  <si>
    <r>
      <t xml:space="preserve">IMAGING </t>
    </r>
    <r>
      <rPr>
        <b/>
        <sz val="12"/>
        <color rgb="FF0000FF"/>
        <rFont val="Arial"/>
        <family val="2"/>
      </rPr>
      <t>(MRS225 JUL 17)</t>
    </r>
  </si>
  <si>
    <r>
      <t xml:space="preserve">IMAGE EQUIPMENT CABINET AND FOOTINGS </t>
    </r>
    <r>
      <rPr>
        <b/>
        <sz val="12"/>
        <color rgb="FF0000FF"/>
        <rFont val="Arial"/>
        <family val="2"/>
      </rPr>
      <t>(MRS225 JUL 17)</t>
    </r>
  </si>
  <si>
    <r>
      <t xml:space="preserve">IMAGING EQUIPMENT POLES AND BRACKETS </t>
    </r>
    <r>
      <rPr>
        <b/>
        <sz val="12"/>
        <color rgb="FF0000FF"/>
        <rFont val="Arial"/>
        <family val="2"/>
      </rPr>
      <t>(MRS225 JUL 17)</t>
    </r>
  </si>
  <si>
    <r>
      <t xml:space="preserve">CAMERA LICENCES </t>
    </r>
    <r>
      <rPr>
        <b/>
        <sz val="12"/>
        <color rgb="FF0000FF"/>
        <rFont val="Arial"/>
        <family val="2"/>
      </rPr>
      <t>(MRS225 JUL 17)</t>
    </r>
  </si>
  <si>
    <r>
      <t xml:space="preserve">IMAGING EQUIPMENT </t>
    </r>
    <r>
      <rPr>
        <b/>
        <sz val="12"/>
        <color rgb="FF0000FF"/>
        <rFont val="Arial"/>
        <family val="2"/>
      </rPr>
      <t>(MRS225 JUL 17)</t>
    </r>
  </si>
  <si>
    <r>
      <t xml:space="preserve">ANCILLARY WORKS </t>
    </r>
    <r>
      <rPr>
        <b/>
        <sz val="12"/>
        <color rgb="FF0000FF"/>
        <rFont val="Arial"/>
        <family val="2"/>
      </rPr>
      <t>(MRS225 JUL 17)</t>
    </r>
  </si>
  <si>
    <r>
      <t xml:space="preserve">REMOVAL OF EXISTING EQUIPMENT </t>
    </r>
    <r>
      <rPr>
        <b/>
        <sz val="12"/>
        <color rgb="FF0000FF"/>
        <rFont val="Arial"/>
        <family val="2"/>
      </rPr>
      <t>(MRS225 JUL 17)</t>
    </r>
  </si>
  <si>
    <r>
      <t xml:space="preserve">TELECOMMUNICATIONS FIELD CABINET </t>
    </r>
    <r>
      <rPr>
        <b/>
        <sz val="12"/>
        <color rgb="FF0000FF"/>
        <rFont val="Arial"/>
        <family val="2"/>
      </rPr>
      <t>(MRS226 JUL 17)</t>
    </r>
  </si>
  <si>
    <r>
      <t xml:space="preserve">PLINTH BASE </t>
    </r>
    <r>
      <rPr>
        <b/>
        <sz val="12"/>
        <color rgb="FF0000FF"/>
        <rFont val="Arial"/>
        <family val="2"/>
      </rPr>
      <t>(MRS226 JUL 17)</t>
    </r>
  </si>
  <si>
    <r>
      <t>FIELD CABINET MOUNTING POLE/POST</t>
    </r>
    <r>
      <rPr>
        <b/>
        <sz val="12"/>
        <color rgb="FF0000FF"/>
        <rFont val="Arial"/>
        <family val="2"/>
      </rPr>
      <t xml:space="preserve"> (MRS226 JUL 17)</t>
    </r>
  </si>
  <si>
    <r>
      <t>PLINTH AND POLE MOUNTED FIELD CABINETS</t>
    </r>
    <r>
      <rPr>
        <b/>
        <sz val="12"/>
        <color rgb="FF0000FF"/>
        <rFont val="Arial"/>
        <family val="2"/>
      </rPr>
      <t xml:space="preserve"> (MRS226 JUL 17)</t>
    </r>
  </si>
  <si>
    <r>
      <t>CABINET ANCILLARY EQUIPMENT</t>
    </r>
    <r>
      <rPr>
        <b/>
        <sz val="12"/>
        <color rgb="FF0000FF"/>
        <rFont val="Arial"/>
        <family val="2"/>
      </rPr>
      <t xml:space="preserve"> (MRS226 JUL 17)</t>
    </r>
  </si>
  <si>
    <r>
      <t xml:space="preserve">REMOVAL OF EXISTING EQUIPMENT </t>
    </r>
    <r>
      <rPr>
        <b/>
        <sz val="12"/>
        <color rgb="FF0000FF"/>
        <rFont val="Arial"/>
        <family val="2"/>
      </rPr>
      <t>(MRS226 JUL 17)</t>
    </r>
  </si>
  <si>
    <r>
      <t xml:space="preserve">CHANGEABLE MESSAGE SIGNS </t>
    </r>
    <r>
      <rPr>
        <b/>
        <sz val="12"/>
        <color rgb="FF0000FF"/>
        <rFont val="Arial"/>
        <family val="2"/>
      </rPr>
      <t>(MRS227 JUL 17)</t>
    </r>
  </si>
  <si>
    <r>
      <t xml:space="preserve">REMOVAL OF EXISTING EQUIPMENT </t>
    </r>
    <r>
      <rPr>
        <b/>
        <sz val="12"/>
        <color rgb="FF0000FF"/>
        <rFont val="Arial"/>
        <family val="2"/>
      </rPr>
      <t>(MRS227 JUL 17)</t>
    </r>
  </si>
  <si>
    <r>
      <t>ELECTRICAL SWITCHBOARDS</t>
    </r>
    <r>
      <rPr>
        <b/>
        <sz val="12"/>
        <color rgb="FF0000FF"/>
        <rFont val="Arial"/>
        <family val="2"/>
      </rPr>
      <t xml:space="preserve"> (MRS228 JUL 17)</t>
    </r>
  </si>
  <si>
    <r>
      <t xml:space="preserve">SWITCHBOARDS </t>
    </r>
    <r>
      <rPr>
        <b/>
        <sz val="12"/>
        <color rgb="FF0000FF"/>
        <rFont val="Arial"/>
        <family val="2"/>
      </rPr>
      <t>(MRS228 JUL 17)</t>
    </r>
  </si>
  <si>
    <r>
      <t xml:space="preserve">MAINS CONNECTION </t>
    </r>
    <r>
      <rPr>
        <b/>
        <sz val="12"/>
        <color rgb="FF0000FF"/>
        <rFont val="Arial"/>
        <family val="2"/>
      </rPr>
      <t>(MRS228 JUL 17)</t>
    </r>
  </si>
  <si>
    <r>
      <t xml:space="preserve">ELECTRICAL TRAFFIC CONTROL SIGNS </t>
    </r>
    <r>
      <rPr>
        <b/>
        <sz val="12"/>
        <color rgb="FF0000FF"/>
        <rFont val="Arial"/>
        <family val="2"/>
      </rPr>
      <t>(MRS229 JUL 17</t>
    </r>
    <r>
      <rPr>
        <b/>
        <sz val="12"/>
        <color theme="1"/>
        <rFont val="Arial"/>
        <family val="2"/>
      </rPr>
      <t>)</t>
    </r>
  </si>
  <si>
    <r>
      <t xml:space="preserve">PROVISION OF FIELD PROCESSORS </t>
    </r>
    <r>
      <rPr>
        <b/>
        <sz val="12"/>
        <color rgb="FF0000FF"/>
        <rFont val="Arial"/>
        <family val="2"/>
      </rPr>
      <t>(MRS232 JUL 17)</t>
    </r>
  </si>
  <si>
    <r>
      <t xml:space="preserve">FIELD PROCESSOR </t>
    </r>
    <r>
      <rPr>
        <b/>
        <sz val="12"/>
        <color rgb="FF0000FF"/>
        <rFont val="Arial"/>
        <family val="2"/>
      </rPr>
      <t>(MRS232 JUL 17)</t>
    </r>
  </si>
  <si>
    <r>
      <t xml:space="preserve">ANCILLARY ITEMS </t>
    </r>
    <r>
      <rPr>
        <b/>
        <sz val="12"/>
        <color rgb="FF0000FF"/>
        <rFont val="Arial"/>
        <family val="2"/>
      </rPr>
      <t>(MRS232 JUL 17)</t>
    </r>
  </si>
  <si>
    <r>
      <t xml:space="preserve">ROADWAY FLOOD MONITORING SYSTEMS </t>
    </r>
    <r>
      <rPr>
        <b/>
        <sz val="12"/>
        <color rgb="FF0000FF"/>
        <rFont val="Arial"/>
        <family val="2"/>
      </rPr>
      <t>(MRS233 JUL 17)</t>
    </r>
  </si>
  <si>
    <r>
      <t>REMOVAL OF EXISTING EQUIPMENT</t>
    </r>
    <r>
      <rPr>
        <b/>
        <sz val="12"/>
        <color rgb="FF0000FF"/>
        <rFont val="Arial"/>
        <family val="2"/>
      </rPr>
      <t xml:space="preserve"> (MRS233 JUL 17)</t>
    </r>
  </si>
  <si>
    <r>
      <t xml:space="preserve">ROADWAY FLOOD MONITORING SYSTEM </t>
    </r>
    <r>
      <rPr>
        <b/>
        <sz val="12"/>
        <color rgb="FF0000FF"/>
        <rFont val="Arial"/>
        <family val="2"/>
      </rPr>
      <t>(MRS233 JUL 17)</t>
    </r>
  </si>
  <si>
    <r>
      <t xml:space="preserve">ANCILLARY / OPTIONAL ITEMS </t>
    </r>
    <r>
      <rPr>
        <b/>
        <sz val="12"/>
        <color rgb="FF0000FF"/>
        <rFont val="Arial"/>
        <family val="2"/>
      </rPr>
      <t>(MRS233 JUL 17)</t>
    </r>
  </si>
  <si>
    <r>
      <t xml:space="preserve">REMOVAL OF EXISTING ROADWAY FLOOD MONITORING SYSTEM </t>
    </r>
    <r>
      <rPr>
        <b/>
        <sz val="12"/>
        <color rgb="FF0000FF"/>
        <rFont val="Arial"/>
        <family val="2"/>
      </rPr>
      <t>(MRS233 JUL 17)</t>
    </r>
  </si>
  <si>
    <r>
      <t xml:space="preserve">COMMUNICATIONS CABLES </t>
    </r>
    <r>
      <rPr>
        <b/>
        <sz val="12"/>
        <color rgb="FF0000FF"/>
        <rFont val="Arial"/>
        <family val="2"/>
      </rPr>
      <t>(MRS234 JUL 17)</t>
    </r>
  </si>
  <si>
    <r>
      <t xml:space="preserve">CABLING </t>
    </r>
    <r>
      <rPr>
        <b/>
        <sz val="12"/>
        <color rgb="FF0000FF"/>
        <rFont val="Arial"/>
        <family val="2"/>
      </rPr>
      <t>(MRS234 JUL 17)</t>
    </r>
  </si>
  <si>
    <r>
      <t xml:space="preserve">PATCH LEADS </t>
    </r>
    <r>
      <rPr>
        <b/>
        <sz val="12"/>
        <color rgb="FF0000FF"/>
        <rFont val="Arial"/>
        <family val="2"/>
      </rPr>
      <t>(MRS234 JUL 17)</t>
    </r>
  </si>
  <si>
    <r>
      <t xml:space="preserve">FIBRE OPTIC BREAK OUT TERMINAL </t>
    </r>
    <r>
      <rPr>
        <b/>
        <sz val="12"/>
        <color rgb="FF0000FF"/>
        <rFont val="Arial"/>
        <family val="2"/>
      </rPr>
      <t>(MRS234 JUL 17)</t>
    </r>
  </si>
  <si>
    <r>
      <t xml:space="preserve">FIBRE OPTIC SPLICING CLOSURE </t>
    </r>
    <r>
      <rPr>
        <b/>
        <sz val="12"/>
        <color rgb="FF0000FF"/>
        <rFont val="Arial"/>
        <family val="2"/>
      </rPr>
      <t>(MRS234 JUL 17)</t>
    </r>
  </si>
  <si>
    <r>
      <t>REMOVAL OF EXISTING CABLE, EQUIPMENT AND COMPONENTS</t>
    </r>
    <r>
      <rPr>
        <b/>
        <sz val="12"/>
        <color rgb="FF0000FF"/>
        <rFont val="Arial"/>
        <family val="2"/>
      </rPr>
      <t xml:space="preserve"> (MRS234 JUL 17)</t>
    </r>
  </si>
  <si>
    <r>
      <t xml:space="preserve">ITS TELECOMMUNICATIONS NETWORK (ITS TN) </t>
    </r>
    <r>
      <rPr>
        <b/>
        <sz val="12"/>
        <color rgb="FF0000FF"/>
        <rFont val="Arial"/>
        <family val="2"/>
      </rPr>
      <t>(MRS245 JUL 17)</t>
    </r>
  </si>
  <si>
    <r>
      <t>ITS TELECOMMUNICATIONS NETWORK (ITS TN)</t>
    </r>
    <r>
      <rPr>
        <b/>
        <sz val="12"/>
        <color rgb="FF0000FF"/>
        <rFont val="Arial"/>
        <family val="2"/>
      </rPr>
      <t xml:space="preserve"> (MRS245 JUL 17)</t>
    </r>
  </si>
  <si>
    <r>
      <t xml:space="preserve">REMOVAL OF EXISTING EQUIPMENT </t>
    </r>
    <r>
      <rPr>
        <b/>
        <sz val="12"/>
        <color rgb="FF0000FF"/>
        <rFont val="Arial"/>
        <family val="2"/>
      </rPr>
      <t>(MRS245 JUL 17)</t>
    </r>
  </si>
  <si>
    <r>
      <t xml:space="preserve">TRAFFIC COUNTER/CLASSIFIER </t>
    </r>
    <r>
      <rPr>
        <b/>
        <sz val="12"/>
        <color rgb="FF0000FF"/>
        <rFont val="Arial"/>
        <family val="2"/>
      </rPr>
      <t>(MRS251 JUL 17)</t>
    </r>
  </si>
  <si>
    <r>
      <t xml:space="preserve">POWER CABLES </t>
    </r>
    <r>
      <rPr>
        <b/>
        <sz val="12"/>
        <color rgb="FF0000FF"/>
        <rFont val="Arial"/>
        <family val="2"/>
      </rPr>
      <t>(MRS256 JUL 17)</t>
    </r>
  </si>
  <si>
    <r>
      <t xml:space="preserve">REMOVAL OF EXISTING EQUIPMENT </t>
    </r>
    <r>
      <rPr>
        <b/>
        <sz val="12"/>
        <color rgb="FF0000FF"/>
        <rFont val="Arial"/>
        <family val="2"/>
      </rPr>
      <t>(MRS256 JUL 17)</t>
    </r>
  </si>
  <si>
    <r>
      <t xml:space="preserve">FEEDER CABLE AND LOOP CABLE FOR VEHICLE DETECTOR </t>
    </r>
    <r>
      <rPr>
        <b/>
        <sz val="12"/>
        <color rgb="FF0000FF"/>
        <rFont val="Arial"/>
        <family val="2"/>
      </rPr>
      <t>(MRS257 OCT 17)</t>
    </r>
  </si>
  <si>
    <r>
      <t xml:space="preserve">VEHICLE DETECTOR LOOPS </t>
    </r>
    <r>
      <rPr>
        <b/>
        <sz val="12"/>
        <color rgb="FF0000FF"/>
        <rFont val="Arial"/>
        <family val="2"/>
      </rPr>
      <t>(MRS257 OCT 17)</t>
    </r>
  </si>
  <si>
    <r>
      <t xml:space="preserve">REMOVAL OF EXISTING EQUIPMENT </t>
    </r>
    <r>
      <rPr>
        <b/>
        <sz val="12"/>
        <color rgb="FF0000FF"/>
        <rFont val="Arial"/>
        <family val="2"/>
      </rPr>
      <t>(MRS257 OCT 17)</t>
    </r>
  </si>
  <si>
    <r>
      <t xml:space="preserve">TRANSPORTABLE GENERATOR </t>
    </r>
    <r>
      <rPr>
        <b/>
        <sz val="12"/>
        <color rgb="FF0000FF"/>
        <rFont val="Arial"/>
        <family val="2"/>
      </rPr>
      <t>(MRS259 JUL 17)</t>
    </r>
  </si>
  <si>
    <r>
      <t xml:space="preserve">UNINTERRUPTED POWER SUPPLY (UPS) SYSTEM </t>
    </r>
    <r>
      <rPr>
        <b/>
        <sz val="12"/>
        <color rgb="FF0000FF"/>
        <rFont val="Arial"/>
        <family val="2"/>
      </rPr>
      <t>(MRS259 JUL 17)</t>
    </r>
  </si>
  <si>
    <r>
      <t xml:space="preserve">TVSL MOUNTING FOOTINGS </t>
    </r>
    <r>
      <rPr>
        <b/>
        <sz val="12"/>
        <color rgb="FF0000FF"/>
        <rFont val="Arial"/>
        <family val="2"/>
      </rPr>
      <t>(MRS260 JUL 17)</t>
    </r>
  </si>
  <si>
    <r>
      <t>TVSL EXTERNAL CABLING</t>
    </r>
    <r>
      <rPr>
        <b/>
        <sz val="12"/>
        <color rgb="FF0000FF"/>
        <rFont val="Arial"/>
        <family val="2"/>
      </rPr>
      <t xml:space="preserve"> (MRS260 JUL 17)</t>
    </r>
  </si>
  <si>
    <r>
      <t xml:space="preserve">SHORT RANGE CONTROLLER (SRC) </t>
    </r>
    <r>
      <rPr>
        <b/>
        <sz val="12"/>
        <color rgb="FF0000FF"/>
        <rFont val="Arial"/>
        <family val="2"/>
      </rPr>
      <t>(MRS260 JUL 17)</t>
    </r>
  </si>
  <si>
    <r>
      <rPr>
        <b/>
        <sz val="12"/>
        <rFont val="Arial"/>
        <family val="2"/>
      </rPr>
      <t>TEMPORARY VARIABLE SPEED LIMIT SIGNS</t>
    </r>
    <r>
      <rPr>
        <b/>
        <sz val="12"/>
        <color rgb="FF0000FF"/>
        <rFont val="Arial"/>
        <family val="2"/>
      </rPr>
      <t xml:space="preserve"> (MRS260 JUL 17)</t>
    </r>
  </si>
  <si>
    <r>
      <t xml:space="preserve">TEMPORARY VARIABLE MESSAGE SIGNS </t>
    </r>
    <r>
      <rPr>
        <b/>
        <sz val="12"/>
        <color rgb="FF0000FF"/>
        <rFont val="Arial"/>
        <family val="2"/>
      </rPr>
      <t>(MRS260 JUL 17)</t>
    </r>
  </si>
  <si>
    <r>
      <t>TEMPORARY VARIABLE MESSAGE SIGNS</t>
    </r>
    <r>
      <rPr>
        <b/>
        <sz val="12"/>
        <color rgb="FF0000FF"/>
        <rFont val="Arial"/>
        <family val="2"/>
      </rPr>
      <t xml:space="preserve"> (MRS260 JUL 17)</t>
    </r>
  </si>
  <si>
    <r>
      <t xml:space="preserve">EXTERNAL COMMUNICATIONS </t>
    </r>
    <r>
      <rPr>
        <b/>
        <sz val="12"/>
        <color rgb="FF0000FF"/>
        <rFont val="Arial"/>
        <family val="2"/>
      </rPr>
      <t>(MRS260 JUL 17)</t>
    </r>
  </si>
  <si>
    <r>
      <t>CONFIGURATION SOFTWARE</t>
    </r>
    <r>
      <rPr>
        <b/>
        <sz val="12"/>
        <color rgb="FF0000FF"/>
        <rFont val="Arial"/>
        <family val="2"/>
      </rPr>
      <t xml:space="preserve"> (MRS260 JUL 17)</t>
    </r>
  </si>
  <si>
    <r>
      <t xml:space="preserve">REMOTE SIGN CONTROL SYSTEM (RSCS) SOFTWARE </t>
    </r>
    <r>
      <rPr>
        <b/>
        <sz val="12"/>
        <color rgb="FF0000FF"/>
        <rFont val="Arial"/>
        <family val="2"/>
      </rPr>
      <t>(MRS260 JUL 17)</t>
    </r>
  </si>
  <si>
    <r>
      <t xml:space="preserve">BRIDGE SUBSTRUCTURE </t>
    </r>
    <r>
      <rPr>
        <b/>
        <sz val="12"/>
        <color rgb="FF0000FF"/>
        <rFont val="Arial"/>
        <family val="2"/>
      </rPr>
      <t>(MRS62 JUL 17)</t>
    </r>
  </si>
  <si>
    <r>
      <t xml:space="preserve">CAST-IN-PLACE PILES </t>
    </r>
    <r>
      <rPr>
        <b/>
        <sz val="12"/>
        <color rgb="FF0000FF"/>
        <rFont val="Arial"/>
        <family val="2"/>
      </rPr>
      <t>(MRS63 JUL 17)</t>
    </r>
  </si>
  <si>
    <r>
      <t>PILES FOR ANCILLARY STRUCTURES</t>
    </r>
    <r>
      <rPr>
        <b/>
        <sz val="12"/>
        <color rgb="FF0000FF"/>
        <rFont val="Arial"/>
        <family val="2"/>
      </rPr>
      <t xml:space="preserve"> (MRS63A JUL 17)</t>
    </r>
  </si>
  <si>
    <r>
      <t>CAST-IN-PLACE PILES FOR NON-BRIDGE APPLICATIONS</t>
    </r>
    <r>
      <rPr>
        <b/>
        <sz val="12"/>
        <color rgb="FF0000FF"/>
        <rFont val="Arial"/>
        <family val="2"/>
      </rPr>
      <t xml:space="preserve"> (MRS63A JUL 17)</t>
    </r>
  </si>
  <si>
    <r>
      <t xml:space="preserve">DRIVEN TUBULAR STEEL PILES  (WITH REINFORCED CONCRETE PILE SHAFT) </t>
    </r>
    <r>
      <rPr>
        <b/>
        <sz val="12"/>
        <color rgb="FF0000FF"/>
        <rFont val="Arial"/>
        <family val="2"/>
      </rPr>
      <t>(MRS64 OCT 17)</t>
    </r>
  </si>
  <si>
    <r>
      <t xml:space="preserve">PRECAST PRESTRESSED CONCRETE PILES </t>
    </r>
    <r>
      <rPr>
        <b/>
        <sz val="12"/>
        <color rgb="FF0000FF"/>
        <rFont val="Arial"/>
        <family val="2"/>
      </rPr>
      <t>(MRS65 JUL 17)</t>
    </r>
  </si>
  <si>
    <r>
      <t xml:space="preserve">DRIVEN STEEL PILES </t>
    </r>
    <r>
      <rPr>
        <b/>
        <sz val="12"/>
        <color rgb="FF0000FF"/>
        <rFont val="Arial"/>
        <family val="2"/>
      </rPr>
      <t>(MRS66 JUL 17)</t>
    </r>
  </si>
  <si>
    <r>
      <t xml:space="preserve">DYNAMIC TESTING OF PILES </t>
    </r>
    <r>
      <rPr>
        <b/>
        <sz val="12"/>
        <color rgb="FF0000FF"/>
        <rFont val="Arial"/>
        <family val="2"/>
      </rPr>
      <t>(MRS68 JUL 17)</t>
    </r>
  </si>
  <si>
    <r>
      <t>SUPPLY AND ERECTION OF PRESTRESSED CONCRETE DECK AND KERB UNITS</t>
    </r>
    <r>
      <rPr>
        <b/>
        <sz val="12"/>
        <color rgb="FF0000FF"/>
        <rFont val="Arial"/>
        <family val="2"/>
      </rPr>
      <t xml:space="preserve"> (MRS74 JUL 17)</t>
    </r>
  </si>
  <si>
    <r>
      <t xml:space="preserve">SUPPLY AND ERECTION OF PRESTRESSED CONCRETE GIRDERS </t>
    </r>
    <r>
      <rPr>
        <b/>
        <sz val="12"/>
        <color rgb="FF0000FF"/>
        <rFont val="Arial"/>
        <family val="2"/>
      </rPr>
      <t>(MRS75 JUL 17)</t>
    </r>
  </si>
  <si>
    <r>
      <t xml:space="preserve">PRESTRESSED CONCRETE I GIRDERS </t>
    </r>
    <r>
      <rPr>
        <b/>
        <sz val="12"/>
        <color rgb="FF0000FF"/>
        <rFont val="Arial"/>
        <family val="2"/>
      </rPr>
      <t>(MRS75 JUL 17)</t>
    </r>
  </si>
  <si>
    <r>
      <t xml:space="preserve">PRESTRESSED CONCRETE SUPER T GIRDERS </t>
    </r>
    <r>
      <rPr>
        <b/>
        <sz val="12"/>
        <color rgb="FF0000FF"/>
        <rFont val="Arial"/>
        <family val="2"/>
      </rPr>
      <t>(MRS75 JUL 17)</t>
    </r>
  </si>
  <si>
    <r>
      <t>BEARINGS</t>
    </r>
    <r>
      <rPr>
        <b/>
        <sz val="12"/>
        <color rgb="FF0000FF"/>
        <rFont val="Arial"/>
        <family val="2"/>
      </rPr>
      <t xml:space="preserve"> (MRS75 JUL 17)</t>
    </r>
  </si>
  <si>
    <r>
      <t>GIRDERS RESTRAINTS</t>
    </r>
    <r>
      <rPr>
        <b/>
        <sz val="12"/>
        <color rgb="FF0000FF"/>
        <rFont val="Arial"/>
        <family val="2"/>
      </rPr>
      <t xml:space="preserve"> (MRS75 JUL 17)</t>
    </r>
  </si>
  <si>
    <r>
      <t xml:space="preserve">SUPPLY AND ERECTION OF STEEL GIRDERS </t>
    </r>
    <r>
      <rPr>
        <b/>
        <sz val="12"/>
        <color rgb="FF0000FF"/>
        <rFont val="Arial"/>
        <family val="2"/>
      </rPr>
      <t>(MRS76 JUL 17)</t>
    </r>
  </si>
  <si>
    <r>
      <t>STEEL GIRDERS</t>
    </r>
    <r>
      <rPr>
        <b/>
        <sz val="12"/>
        <color rgb="FF0000FF"/>
        <rFont val="Arial"/>
        <family val="2"/>
      </rPr>
      <t xml:space="preserve"> (MRS76 JUL 17)</t>
    </r>
  </si>
  <si>
    <r>
      <t xml:space="preserve">BEARINGS </t>
    </r>
    <r>
      <rPr>
        <b/>
        <sz val="12"/>
        <color rgb="FF0000FF"/>
        <rFont val="Arial"/>
        <family val="2"/>
      </rPr>
      <t>(MRS76 JUL 17)</t>
    </r>
  </si>
  <si>
    <r>
      <t xml:space="preserve">GIRDER RESTRAINTS </t>
    </r>
    <r>
      <rPr>
        <b/>
        <sz val="12"/>
        <color rgb="FF0000FF"/>
        <rFont val="Arial"/>
        <family val="2"/>
      </rPr>
      <t>(MRS76 JUL 17)</t>
    </r>
  </si>
  <si>
    <r>
      <t xml:space="preserve">BRIDGE DECK </t>
    </r>
    <r>
      <rPr>
        <b/>
        <sz val="12"/>
        <color rgb="FF0000FF"/>
        <rFont val="Arial"/>
        <family val="2"/>
      </rPr>
      <t>(MRS77 JUL 17)</t>
    </r>
  </si>
  <si>
    <r>
      <t xml:space="preserve">CAST-IN ANCHORS </t>
    </r>
    <r>
      <rPr>
        <b/>
        <sz val="12"/>
        <color rgb="FF0000FF"/>
        <rFont val="Arial"/>
        <family val="2"/>
      </rPr>
      <t>(MRS77 JUL 17)</t>
    </r>
  </si>
  <si>
    <r>
      <t xml:space="preserve">MISCELLANEOUS CAST-IN ITEMS </t>
    </r>
    <r>
      <rPr>
        <b/>
        <sz val="12"/>
        <color rgb="FF0000FF"/>
        <rFont val="Arial"/>
        <family val="2"/>
      </rPr>
      <t>(MRS77 JUL 17)</t>
    </r>
  </si>
  <si>
    <r>
      <t xml:space="preserve">JOINTS AND FILLERS </t>
    </r>
    <r>
      <rPr>
        <b/>
        <sz val="12"/>
        <color rgb="FF0000FF"/>
        <rFont val="Arial"/>
        <family val="2"/>
      </rPr>
      <t>(MRS77 JUL 17)</t>
    </r>
  </si>
  <si>
    <r>
      <t>STAINLESS STEEL COVER PLATES</t>
    </r>
    <r>
      <rPr>
        <b/>
        <sz val="12"/>
        <color rgb="FF0000FF"/>
        <rFont val="Arial"/>
        <family val="2"/>
      </rPr>
      <t xml:space="preserve"> (MRS77 JUL 17)</t>
    </r>
  </si>
  <si>
    <r>
      <t>FOOTWAY</t>
    </r>
    <r>
      <rPr>
        <b/>
        <sz val="12"/>
        <color rgb="FF0000FF"/>
        <rFont val="Arial"/>
        <family val="2"/>
      </rPr>
      <t xml:space="preserve"> (MRS77 JUL 17)</t>
    </r>
  </si>
  <si>
    <r>
      <t>ELECTRICAL ITEMS</t>
    </r>
    <r>
      <rPr>
        <b/>
        <sz val="12"/>
        <color rgb="FF0000FF"/>
        <rFont val="Arial"/>
        <family val="2"/>
      </rPr>
      <t xml:space="preserve"> (MRS77 JUL 17)</t>
    </r>
  </si>
  <si>
    <r>
      <t xml:space="preserve">SUPPLY AND ERECTION OF BRIDGE BARRIER </t>
    </r>
    <r>
      <rPr>
        <b/>
        <sz val="12"/>
        <color rgb="FF0000FF"/>
        <rFont val="Arial"/>
        <family val="2"/>
      </rPr>
      <t>(MRS80 JUL 17)</t>
    </r>
  </si>
  <si>
    <r>
      <t>BRIDGE DECK EXPANSION JOINTS</t>
    </r>
    <r>
      <rPr>
        <b/>
        <sz val="12"/>
        <color rgb="FF0000FF"/>
        <rFont val="Arial"/>
        <family val="2"/>
      </rPr>
      <t xml:space="preserve"> (MRS82 JUL 17)</t>
    </r>
  </si>
  <si>
    <r>
      <t xml:space="preserve">ANTI-GRAFFITI PROTECTION </t>
    </r>
    <r>
      <rPr>
        <b/>
        <sz val="12"/>
        <color rgb="FF0000FF"/>
        <rFont val="Arial"/>
        <family val="2"/>
      </rPr>
      <t>(MRS83 JUL 17)</t>
    </r>
  </si>
  <si>
    <r>
      <t>DECK WEARING SURFACE</t>
    </r>
    <r>
      <rPr>
        <b/>
        <sz val="12"/>
        <color rgb="FF0000FF"/>
        <rFont val="Arial"/>
        <family val="2"/>
      </rPr>
      <t xml:space="preserve"> (MRS84 JUL 17)</t>
    </r>
  </si>
  <si>
    <r>
      <t xml:space="preserve">REMOVAL OF BRIDGE DECK WEARING SURFACE </t>
    </r>
    <r>
      <rPr>
        <b/>
        <sz val="12"/>
        <color rgb="FF0000FF"/>
        <rFont val="Arial"/>
        <family val="2"/>
      </rPr>
      <t>(MRS84A JUL 17)</t>
    </r>
  </si>
  <si>
    <r>
      <t>REPAINTING STEEL BRIDGES</t>
    </r>
    <r>
      <rPr>
        <b/>
        <sz val="12"/>
        <color rgb="FF0000FF"/>
        <rFont val="Arial"/>
        <family val="2"/>
      </rPr>
      <t xml:space="preserve"> (MRS85 JUL 17)</t>
    </r>
  </si>
  <si>
    <r>
      <t xml:space="preserve">REPAINTING EXISTING STEEL BRIDGES AND NEW STEEL BRIDGES ZINC METAL SYSTEMS </t>
    </r>
    <r>
      <rPr>
        <b/>
        <sz val="12"/>
        <color rgb="FF0000FF"/>
        <rFont val="Arial"/>
        <family val="2"/>
      </rPr>
      <t>(MRS85A JUL 17)</t>
    </r>
  </si>
  <si>
    <r>
      <t>WIDENING, STRENGTHENING AND REHABILITATION OF BRIDGES</t>
    </r>
    <r>
      <rPr>
        <b/>
        <sz val="12"/>
        <color rgb="FF0000FF"/>
        <rFont val="Arial"/>
        <family val="2"/>
      </rPr>
      <t xml:space="preserve"> (MRS86 JUL 17)</t>
    </r>
  </si>
  <si>
    <r>
      <t>SUPPLY OF TIMBER BRIDGE MATERIALS AND COMPONENTS</t>
    </r>
    <r>
      <rPr>
        <b/>
        <sz val="12"/>
        <color rgb="FF0000FF"/>
        <rFont val="Arial"/>
        <family val="2"/>
      </rPr>
      <t xml:space="preserve"> (MRS87 JUL 17)</t>
    </r>
  </si>
  <si>
    <r>
      <t>MATERIALS SUPPLIED ON SITE</t>
    </r>
    <r>
      <rPr>
        <b/>
        <sz val="12"/>
        <color rgb="FF0000FF"/>
        <rFont val="Arial"/>
        <family val="2"/>
      </rPr>
      <t xml:space="preserve"> (MRS87 JUL 17)</t>
    </r>
  </si>
  <si>
    <r>
      <t xml:space="preserve">MATERIALS SUPPLIED EX WORKS </t>
    </r>
    <r>
      <rPr>
        <b/>
        <sz val="12"/>
        <color rgb="FF0000FF"/>
        <rFont val="Arial"/>
        <family val="2"/>
      </rPr>
      <t>(MRS87 JUL 17)</t>
    </r>
  </si>
  <si>
    <r>
      <t>PROTECTIVE COATING FOR NEW WORK</t>
    </r>
    <r>
      <rPr>
        <b/>
        <sz val="12"/>
        <color rgb="FF0000FF"/>
        <rFont val="Arial"/>
        <family val="2"/>
      </rPr>
      <t xml:space="preserve"> (MRS88 JUL 17)</t>
    </r>
  </si>
  <si>
    <r>
      <t xml:space="preserve">POST-TENSIONED CONCRETE </t>
    </r>
    <r>
      <rPr>
        <b/>
        <sz val="12"/>
        <color rgb="FF0000FF"/>
        <rFont val="Arial"/>
        <family val="2"/>
      </rPr>
      <t>(MRS89 JUL 17)</t>
    </r>
  </si>
  <si>
    <r>
      <t>BOAT RAMPS</t>
    </r>
    <r>
      <rPr>
        <b/>
        <sz val="12"/>
        <color rgb="FF0000FF"/>
        <rFont val="Arial"/>
        <family val="2"/>
      </rPr>
      <t xml:space="preserve"> (MRS300 JUL 17)</t>
    </r>
  </si>
  <si>
    <r>
      <t xml:space="preserve">Excavation for culvert, pipe and conduit trenches, all materials </t>
    </r>
    <r>
      <rPr>
        <sz val="12"/>
        <color rgb="FF0000FF"/>
        <rFont val="Arial"/>
        <family val="2"/>
      </rPr>
      <t>[description]</t>
    </r>
  </si>
  <si>
    <r>
      <t xml:space="preserve">Supply of steel-reinforced concrete pipe culvert components, Class </t>
    </r>
    <r>
      <rPr>
        <sz val="12"/>
        <color rgb="FF0000FF"/>
        <rFont val="Arial"/>
        <family val="2"/>
      </rPr>
      <t>[class]</t>
    </r>
    <r>
      <rPr>
        <sz val="12"/>
        <color theme="1"/>
        <rFont val="Arial"/>
        <family val="2"/>
      </rPr>
      <t xml:space="preserve">, </t>
    </r>
    <r>
      <rPr>
        <sz val="12"/>
        <color rgb="FF0000FF"/>
        <rFont val="Arial"/>
        <family val="2"/>
      </rPr>
      <t>[diameter]</t>
    </r>
    <r>
      <rPr>
        <sz val="12"/>
        <color theme="1"/>
        <rFont val="Arial"/>
        <family val="2"/>
      </rPr>
      <t xml:space="preserve"> mm diameter,</t>
    </r>
    <r>
      <rPr>
        <sz val="12"/>
        <color rgb="FF0000FF"/>
        <rFont val="Arial"/>
        <family val="2"/>
      </rPr>
      <t xml:space="preserve"> [environment]</t>
    </r>
    <r>
      <rPr>
        <sz val="12"/>
        <color theme="1"/>
        <rFont val="Arial"/>
        <family val="2"/>
      </rPr>
      <t xml:space="preserve"> environment</t>
    </r>
  </si>
  <si>
    <r>
      <t xml:space="preserve">Supply of fibre reinforced concrete pipe culverts, Class </t>
    </r>
    <r>
      <rPr>
        <sz val="12"/>
        <color rgb="FF0000FF"/>
        <rFont val="Arial"/>
        <family val="2"/>
      </rPr>
      <t>[class]</t>
    </r>
    <r>
      <rPr>
        <sz val="12"/>
        <color theme="1"/>
        <rFont val="Arial"/>
        <family val="2"/>
      </rPr>
      <t xml:space="preserve">, </t>
    </r>
    <r>
      <rPr>
        <sz val="12"/>
        <color rgb="FF0000FF"/>
        <rFont val="Arial"/>
        <family val="2"/>
      </rPr>
      <t xml:space="preserve">[diameter] </t>
    </r>
    <r>
      <rPr>
        <sz val="12"/>
        <color theme="1"/>
        <rFont val="Arial"/>
        <family val="2"/>
      </rPr>
      <t>mm diameter</t>
    </r>
  </si>
  <si>
    <r>
      <t>Supply of concrete box culvert components,</t>
    </r>
    <r>
      <rPr>
        <sz val="12"/>
        <color rgb="FF0000FF"/>
        <rFont val="Arial"/>
        <family val="2"/>
      </rPr>
      <t xml:space="preserve"> [size]</t>
    </r>
  </si>
  <si>
    <r>
      <t xml:space="preserve">Supply of concrete spanning slabs, </t>
    </r>
    <r>
      <rPr>
        <sz val="12"/>
        <color rgb="FF0000FF"/>
        <rFont val="Arial"/>
        <family val="2"/>
      </rPr>
      <t>[size]</t>
    </r>
  </si>
  <si>
    <r>
      <t>Supply of helical lock-seam corrugated steel pipe culvert components,</t>
    </r>
    <r>
      <rPr>
        <sz val="12"/>
        <color rgb="FF0000FF"/>
        <rFont val="Arial"/>
        <family val="2"/>
      </rPr>
      <t xml:space="preserve"> [size]</t>
    </r>
  </si>
  <si>
    <r>
      <t xml:space="preserve">Supply of helical lock-seam corrugated aluminium pipe culvert components, </t>
    </r>
    <r>
      <rPr>
        <sz val="12"/>
        <color rgb="FF0000FF"/>
        <rFont val="Arial"/>
        <family val="2"/>
      </rPr>
      <t>[size]</t>
    </r>
  </si>
  <si>
    <r>
      <t>Supply of nestable corrugated steel pipe culvert components,</t>
    </r>
    <r>
      <rPr>
        <sz val="12"/>
        <color rgb="FF0000FF"/>
        <rFont val="Arial"/>
        <family val="2"/>
      </rPr>
      <t xml:space="preserve"> [size]</t>
    </r>
  </si>
  <si>
    <r>
      <t>Supply of multiple plate corrugated steel pipe culvert components,</t>
    </r>
    <r>
      <rPr>
        <sz val="12"/>
        <color rgb="FF0000FF"/>
        <rFont val="Arial"/>
        <family val="2"/>
      </rPr>
      <t xml:space="preserve"> [size]</t>
    </r>
  </si>
  <si>
    <r>
      <t>Supply of multiple plate corrugated steel pipe-arch culvert components,</t>
    </r>
    <r>
      <rPr>
        <sz val="12"/>
        <color rgb="FF0000FF"/>
        <rFont val="Arial"/>
        <family val="2"/>
      </rPr>
      <t xml:space="preserve"> [size]</t>
    </r>
  </si>
  <si>
    <r>
      <t>Supply of multiple plate corrugated steel arch culvert components,</t>
    </r>
    <r>
      <rPr>
        <sz val="12"/>
        <color rgb="FF0000FF"/>
        <rFont val="Arial"/>
        <family val="2"/>
      </rPr>
      <t xml:space="preserve"> [size]</t>
    </r>
  </si>
  <si>
    <r>
      <t>Supply of concrete pipe drainage trough components,</t>
    </r>
    <r>
      <rPr>
        <sz val="12"/>
        <color rgb="FF0000FF"/>
        <rFont val="Arial"/>
        <family val="2"/>
      </rPr>
      <t xml:space="preserve"> [size]</t>
    </r>
  </si>
  <si>
    <r>
      <t>Supply of concrete box trough components,</t>
    </r>
    <r>
      <rPr>
        <sz val="12"/>
        <color rgb="FF0000FF"/>
        <rFont val="Arial"/>
        <family val="2"/>
      </rPr>
      <t xml:space="preserve"> [size]</t>
    </r>
  </si>
  <si>
    <r>
      <t xml:space="preserve">Supply of nestable corrugated steel pipe drainage trough components, </t>
    </r>
    <r>
      <rPr>
        <sz val="12"/>
        <color rgb="FF0000FF"/>
        <rFont val="Arial"/>
        <family val="2"/>
      </rPr>
      <t>[size]</t>
    </r>
  </si>
  <si>
    <r>
      <t xml:space="preserve">Installation of concrete box culvert components, </t>
    </r>
    <r>
      <rPr>
        <sz val="12"/>
        <color rgb="FF0000FF"/>
        <rFont val="Arial"/>
        <family val="2"/>
      </rPr>
      <t>[size]</t>
    </r>
  </si>
  <si>
    <r>
      <t>Installation of concrete spanning slabs,</t>
    </r>
    <r>
      <rPr>
        <sz val="12"/>
        <color rgb="FF0000FF"/>
        <rFont val="Arial"/>
        <family val="2"/>
      </rPr>
      <t xml:space="preserve"> [size]</t>
    </r>
  </si>
  <si>
    <r>
      <t xml:space="preserve">Installation of helical lock-seam corrugated steel pipe culvert components, </t>
    </r>
    <r>
      <rPr>
        <sz val="12"/>
        <color rgb="FF0000FF"/>
        <rFont val="Arial"/>
        <family val="2"/>
      </rPr>
      <t>[size]</t>
    </r>
  </si>
  <si>
    <r>
      <t xml:space="preserve">Installation of helical lock-seam corrugated aluminium pipe culvert components, </t>
    </r>
    <r>
      <rPr>
        <sz val="12"/>
        <color rgb="FF0000FF"/>
        <rFont val="Arial"/>
        <family val="2"/>
      </rPr>
      <t>[size]</t>
    </r>
  </si>
  <si>
    <r>
      <t xml:space="preserve">Installation of nestable corrugated steel pipe culvert components, </t>
    </r>
    <r>
      <rPr>
        <sz val="12"/>
        <color rgb="FF0000FF"/>
        <rFont val="Arial"/>
        <family val="2"/>
      </rPr>
      <t>[size]</t>
    </r>
  </si>
  <si>
    <r>
      <t xml:space="preserve">Installation of multiple plate corrugated steel pipe culvert components, </t>
    </r>
    <r>
      <rPr>
        <sz val="12"/>
        <color rgb="FF0000FF"/>
        <rFont val="Arial"/>
        <family val="2"/>
      </rPr>
      <t>[size]</t>
    </r>
  </si>
  <si>
    <r>
      <t xml:space="preserve">Installation of multiple plate corrugated steel pipe-arch culvert components, </t>
    </r>
    <r>
      <rPr>
        <sz val="12"/>
        <color rgb="FF0000FF"/>
        <rFont val="Arial"/>
        <family val="2"/>
      </rPr>
      <t>[size]</t>
    </r>
  </si>
  <si>
    <r>
      <t>Installation of multiple plate corrugated steel arch culvert components,</t>
    </r>
    <r>
      <rPr>
        <sz val="12"/>
        <color rgb="FF0000FF"/>
        <rFont val="Arial"/>
        <family val="2"/>
      </rPr>
      <t xml:space="preserve"> [size]</t>
    </r>
  </si>
  <si>
    <r>
      <t>Installation of concrete pipe drainage trough components,</t>
    </r>
    <r>
      <rPr>
        <sz val="12"/>
        <color rgb="FF0000FF"/>
        <rFont val="Arial"/>
        <family val="2"/>
      </rPr>
      <t xml:space="preserve"> [size]</t>
    </r>
  </si>
  <si>
    <r>
      <t>Installation of concrete box trough components,</t>
    </r>
    <r>
      <rPr>
        <sz val="12"/>
        <color rgb="FF0000FF"/>
        <rFont val="Arial"/>
        <family val="2"/>
      </rPr>
      <t xml:space="preserve"> [size]</t>
    </r>
  </si>
  <si>
    <r>
      <t>Installation of nestable corrugated steel pipe drainage trough components,</t>
    </r>
    <r>
      <rPr>
        <sz val="12"/>
        <color rgb="FF0000FF"/>
        <rFont val="Arial"/>
        <family val="2"/>
      </rPr>
      <t xml:space="preserve"> [size]</t>
    </r>
  </si>
  <si>
    <r>
      <t xml:space="preserve">Installation of pipe culvert components using jacking methods, </t>
    </r>
    <r>
      <rPr>
        <sz val="12"/>
        <color rgb="FF0000FF"/>
        <rFont val="Arial"/>
        <family val="2"/>
      </rPr>
      <t>[diameter]</t>
    </r>
    <r>
      <rPr>
        <sz val="12"/>
        <color theme="1"/>
        <rFont val="Arial"/>
        <family val="2"/>
      </rPr>
      <t xml:space="preserve"> mm diameter</t>
    </r>
  </si>
  <si>
    <r>
      <t xml:space="preserve">Supply and installation of fibre reinforced concrete pipe culvert components, Class </t>
    </r>
    <r>
      <rPr>
        <sz val="12"/>
        <color rgb="FF0000FF"/>
        <rFont val="Arial"/>
        <family val="2"/>
      </rPr>
      <t>[class]</t>
    </r>
    <r>
      <rPr>
        <sz val="12"/>
        <color theme="1"/>
        <rFont val="Arial"/>
        <family val="2"/>
      </rPr>
      <t xml:space="preserve">, </t>
    </r>
    <r>
      <rPr>
        <sz val="12"/>
        <color rgb="FF0000FF"/>
        <rFont val="Arial"/>
        <family val="2"/>
      </rPr>
      <t>[diameter]</t>
    </r>
    <r>
      <rPr>
        <sz val="12"/>
        <color theme="1"/>
        <rFont val="Arial"/>
        <family val="2"/>
      </rPr>
      <t xml:space="preserve"> mm diameter</t>
    </r>
  </si>
  <si>
    <r>
      <t xml:space="preserve">Supply and installation of concrete box culvert components, </t>
    </r>
    <r>
      <rPr>
        <sz val="12"/>
        <color rgb="FF0000FF"/>
        <rFont val="Arial"/>
        <family val="2"/>
      </rPr>
      <t>[size]</t>
    </r>
  </si>
  <si>
    <r>
      <t xml:space="preserve">Supply and installation of concrete spanning slabs, </t>
    </r>
    <r>
      <rPr>
        <sz val="12"/>
        <color rgb="FF0000FF"/>
        <rFont val="Arial"/>
        <family val="2"/>
      </rPr>
      <t>[size]</t>
    </r>
  </si>
  <si>
    <r>
      <t xml:space="preserve">Supply and installation of helical lock-seam corrugated steel pipe culvert components, </t>
    </r>
    <r>
      <rPr>
        <sz val="12"/>
        <color rgb="FF0000FF"/>
        <rFont val="Arial"/>
        <family val="2"/>
      </rPr>
      <t>[size]</t>
    </r>
  </si>
  <si>
    <r>
      <t xml:space="preserve">Supply and installation of helical lock-seam corrugated aluminium pipe culvert components, </t>
    </r>
    <r>
      <rPr>
        <sz val="12"/>
        <color rgb="FF0000FF"/>
        <rFont val="Arial"/>
        <family val="2"/>
      </rPr>
      <t>[size]</t>
    </r>
  </si>
  <si>
    <r>
      <t xml:space="preserve">Supply and installation of nestable corrugated steel pipe culvert components, </t>
    </r>
    <r>
      <rPr>
        <sz val="12"/>
        <color rgb="FF0000FF"/>
        <rFont val="Arial"/>
        <family val="2"/>
      </rPr>
      <t>[size]</t>
    </r>
  </si>
  <si>
    <r>
      <t xml:space="preserve">Supply and installation of multiple plate corrugated steel pipe culvert components, </t>
    </r>
    <r>
      <rPr>
        <sz val="12"/>
        <color rgb="FF0000FF"/>
        <rFont val="Arial"/>
        <family val="2"/>
      </rPr>
      <t>[size]</t>
    </r>
  </si>
  <si>
    <r>
      <t xml:space="preserve">Supply and installation of multiple plate corrugated steel pipe-arch culvert components, </t>
    </r>
    <r>
      <rPr>
        <sz val="12"/>
        <color rgb="FF0000FF"/>
        <rFont val="Arial"/>
        <family val="2"/>
      </rPr>
      <t>[size]</t>
    </r>
  </si>
  <si>
    <r>
      <t xml:space="preserve">Supply and installation of multiple plate corrugated steel arch culvert components, </t>
    </r>
    <r>
      <rPr>
        <sz val="12"/>
        <color rgb="FF0000FF"/>
        <rFont val="Arial"/>
        <family val="2"/>
      </rPr>
      <t>[size]</t>
    </r>
  </si>
  <si>
    <r>
      <t xml:space="preserve">Supply and installation of concrete pipe drainage trough components, </t>
    </r>
    <r>
      <rPr>
        <sz val="12"/>
        <color rgb="FF0000FF"/>
        <rFont val="Arial"/>
        <family val="2"/>
      </rPr>
      <t>[size]</t>
    </r>
  </si>
  <si>
    <r>
      <t xml:space="preserve">Supply and installation of concrete box trough components, </t>
    </r>
    <r>
      <rPr>
        <sz val="12"/>
        <color rgb="FF0000FF"/>
        <rFont val="Arial"/>
        <family val="2"/>
      </rPr>
      <t>[size]</t>
    </r>
  </si>
  <si>
    <r>
      <t xml:space="preserve">Supply and installation of nestable corrugated steel pipe drainage trough components, </t>
    </r>
    <r>
      <rPr>
        <sz val="12"/>
        <color rgb="FF0000FF"/>
        <rFont val="Arial"/>
        <family val="2"/>
      </rPr>
      <t>[size]</t>
    </r>
  </si>
  <si>
    <r>
      <t>Supply and installation of pipe culvert components using jacking methods, Class</t>
    </r>
    <r>
      <rPr>
        <sz val="12"/>
        <color rgb="FF0000FF"/>
        <rFont val="Arial"/>
        <family val="2"/>
      </rPr>
      <t xml:space="preserve"> [class]</t>
    </r>
    <r>
      <rPr>
        <sz val="12"/>
        <color theme="1"/>
        <rFont val="Arial"/>
        <family val="2"/>
      </rPr>
      <t xml:space="preserve">, </t>
    </r>
    <r>
      <rPr>
        <sz val="12"/>
        <color rgb="FF0000FF"/>
        <rFont val="Arial"/>
        <family val="2"/>
      </rPr>
      <t>[diameter]</t>
    </r>
    <r>
      <rPr>
        <sz val="12"/>
        <color theme="1"/>
        <rFont val="Arial"/>
        <family val="2"/>
      </rPr>
      <t xml:space="preserve"> mm diameter</t>
    </r>
  </si>
  <si>
    <r>
      <t>Sheet or strip filter drain outlet connection,</t>
    </r>
    <r>
      <rPr>
        <sz val="12"/>
        <color rgb="FF0000FF"/>
        <rFont val="Arial"/>
        <family val="2"/>
      </rPr>
      <t xml:space="preserve"> [type]</t>
    </r>
  </si>
  <si>
    <r>
      <t xml:space="preserve">Concrete paved inverts in corrugated steel/aluminium culverts, </t>
    </r>
    <r>
      <rPr>
        <sz val="12"/>
        <color rgb="FF0000FF"/>
        <rFont val="Arial"/>
        <family val="2"/>
      </rPr>
      <t>[size]</t>
    </r>
  </si>
  <si>
    <r>
      <t>Berm drain,</t>
    </r>
    <r>
      <rPr>
        <sz val="12"/>
        <color rgb="FF0000FF"/>
        <rFont val="Arial"/>
        <family val="2"/>
      </rPr>
      <t xml:space="preserve"> [width]</t>
    </r>
    <r>
      <rPr>
        <sz val="12"/>
        <color theme="1"/>
        <rFont val="Arial"/>
        <family val="2"/>
      </rPr>
      <t xml:space="preserve"> mm wide</t>
    </r>
  </si>
  <si>
    <r>
      <t xml:space="preserve">Sprayed concrete paving, </t>
    </r>
    <r>
      <rPr>
        <sz val="12"/>
        <color rgb="FF0000FF"/>
        <rFont val="Arial"/>
        <family val="2"/>
      </rPr>
      <t>[thickness]</t>
    </r>
    <r>
      <rPr>
        <sz val="12"/>
        <color theme="1"/>
        <rFont val="Arial"/>
        <family val="2"/>
      </rPr>
      <t xml:space="preserve"> mm thick</t>
    </r>
  </si>
  <si>
    <r>
      <t xml:space="preserve">Block paving, </t>
    </r>
    <r>
      <rPr>
        <sz val="12"/>
        <color rgb="FF0000FF"/>
        <rFont val="Arial"/>
        <family val="2"/>
      </rPr>
      <t xml:space="preserve">[thickness] </t>
    </r>
    <r>
      <rPr>
        <sz val="12"/>
        <color theme="1"/>
        <rFont val="Arial"/>
        <family val="2"/>
      </rPr>
      <t>mm thick</t>
    </r>
  </si>
  <si>
    <r>
      <t>Bridge abutment protection Type 1 – rock spillthrough,</t>
    </r>
    <r>
      <rPr>
        <sz val="12"/>
        <color rgb="FF0000FF"/>
        <rFont val="Arial"/>
        <family val="2"/>
      </rPr>
      <t xml:space="preserve"> [location] </t>
    </r>
    <r>
      <rPr>
        <sz val="12"/>
        <color theme="1"/>
        <rFont val="Arial"/>
        <family val="2"/>
      </rPr>
      <t>abutment</t>
    </r>
  </si>
  <si>
    <r>
      <t xml:space="preserve">Bridge abutment protection Type 2 – reinforced concrete over road embankment spillthrough, </t>
    </r>
    <r>
      <rPr>
        <sz val="12"/>
        <color rgb="FF0000FF"/>
        <rFont val="Arial"/>
        <family val="2"/>
      </rPr>
      <t>[location]</t>
    </r>
    <r>
      <rPr>
        <sz val="12"/>
        <color theme="1"/>
        <rFont val="Arial"/>
        <family val="2"/>
      </rPr>
      <t xml:space="preserve"> abutment</t>
    </r>
  </si>
  <si>
    <r>
      <t xml:space="preserve">Bridge abutment protection Type 6 – interlocking blockwork over road embankment spillthrough, </t>
    </r>
    <r>
      <rPr>
        <sz val="12"/>
        <color rgb="FF0000FF"/>
        <rFont val="Arial"/>
        <family val="2"/>
      </rPr>
      <t xml:space="preserve">[location] </t>
    </r>
    <r>
      <rPr>
        <sz val="12"/>
        <color theme="1"/>
        <rFont val="Arial"/>
        <family val="2"/>
      </rPr>
      <t>abutment</t>
    </r>
  </si>
  <si>
    <r>
      <t xml:space="preserve">Bridge abutment protection Type 7 - Rock-filled gabion protection over road embankment, </t>
    </r>
    <r>
      <rPr>
        <sz val="12"/>
        <color rgb="FF0000FF"/>
        <rFont val="Arial"/>
        <family val="2"/>
      </rPr>
      <t>[location]</t>
    </r>
    <r>
      <rPr>
        <sz val="12"/>
        <color theme="1"/>
        <rFont val="Arial"/>
        <family val="2"/>
      </rPr>
      <t xml:space="preserve"> abutment</t>
    </r>
  </si>
  <si>
    <r>
      <t>Special embankment</t>
    </r>
    <r>
      <rPr>
        <sz val="12"/>
        <color rgb="FF0000FF"/>
        <rFont val="Arial"/>
        <family val="2"/>
      </rPr>
      <t xml:space="preserve"> [description]</t>
    </r>
    <r>
      <rPr>
        <sz val="12"/>
        <color theme="1"/>
        <rFont val="Arial"/>
        <family val="2"/>
      </rPr>
      <t xml:space="preserve"> from all sources</t>
    </r>
  </si>
  <si>
    <r>
      <t xml:space="preserve">Supply and installation of geotextile, strength class </t>
    </r>
    <r>
      <rPr>
        <sz val="12"/>
        <color rgb="FF0000FF"/>
        <rFont val="Arial"/>
        <family val="2"/>
      </rPr>
      <t>[strength class]</t>
    </r>
    <r>
      <rPr>
        <sz val="12"/>
        <color theme="1"/>
        <rFont val="Arial"/>
        <family val="2"/>
      </rPr>
      <t xml:space="preserve">, filtration class </t>
    </r>
    <r>
      <rPr>
        <sz val="12"/>
        <color rgb="FF0000FF"/>
        <rFont val="Arial"/>
        <family val="2"/>
      </rPr>
      <t>[filtration class]</t>
    </r>
  </si>
  <si>
    <r>
      <t xml:space="preserve">Backfill with select backfill material to </t>
    </r>
    <r>
      <rPr>
        <sz val="12"/>
        <color rgb="FF0000FF"/>
        <rFont val="Arial"/>
        <family val="2"/>
      </rPr>
      <t>[description]</t>
    </r>
  </si>
  <si>
    <r>
      <t xml:space="preserve">Backfill with cement stabilised granular material to </t>
    </r>
    <r>
      <rPr>
        <sz val="12"/>
        <color rgb="FF0000FF"/>
        <rFont val="Arial"/>
        <family val="2"/>
      </rPr>
      <t>[description]</t>
    </r>
  </si>
  <si>
    <r>
      <t xml:space="preserve">Backfill with stabilised sand to </t>
    </r>
    <r>
      <rPr>
        <sz val="12"/>
        <color rgb="FF0000FF"/>
        <rFont val="Arial"/>
        <family val="2"/>
      </rPr>
      <t>[description]</t>
    </r>
  </si>
  <si>
    <r>
      <t>Backfill with rock fill to</t>
    </r>
    <r>
      <rPr>
        <sz val="12"/>
        <color rgb="FF0000FF"/>
        <rFont val="Arial"/>
        <family val="2"/>
      </rPr>
      <t xml:space="preserve"> [description]</t>
    </r>
  </si>
  <si>
    <r>
      <t>Backfill with material for steel culverts to</t>
    </r>
    <r>
      <rPr>
        <sz val="12"/>
        <color rgb="FF0000FF"/>
        <rFont val="Arial"/>
        <family val="2"/>
      </rPr>
      <t xml:space="preserve"> [description]</t>
    </r>
  </si>
  <si>
    <r>
      <t xml:space="preserve">Bedding of </t>
    </r>
    <r>
      <rPr>
        <sz val="12"/>
        <color rgb="FF0000FF"/>
        <rFont val="Arial"/>
        <family val="2"/>
      </rPr>
      <t>[description]</t>
    </r>
  </si>
  <si>
    <r>
      <t>Haunch zone for</t>
    </r>
    <r>
      <rPr>
        <sz val="12"/>
        <color rgb="FF0000FF"/>
        <rFont val="Arial"/>
        <family val="2"/>
      </rPr>
      <t xml:space="preserve"> [description]</t>
    </r>
  </si>
  <si>
    <r>
      <t xml:space="preserve">Side zone for </t>
    </r>
    <r>
      <rPr>
        <sz val="12"/>
        <color rgb="FF0000FF"/>
        <rFont val="Arial"/>
        <family val="2"/>
      </rPr>
      <t>[description]</t>
    </r>
  </si>
  <si>
    <r>
      <t>Design of Reinforced Soil Structure,</t>
    </r>
    <r>
      <rPr>
        <sz val="12"/>
        <color rgb="FF0000FF"/>
        <rFont val="Arial"/>
        <family val="2"/>
      </rPr>
      <t xml:space="preserve"> [structure number]</t>
    </r>
  </si>
  <si>
    <r>
      <t xml:space="preserve">Reinforced Soil Structure materials, </t>
    </r>
    <r>
      <rPr>
        <sz val="12"/>
        <color rgb="FF0000FF"/>
        <rFont val="Arial"/>
        <family val="2"/>
      </rPr>
      <t>[structure number]</t>
    </r>
  </si>
  <si>
    <r>
      <t xml:space="preserve">Construction of Reinforced Soil Structure, </t>
    </r>
    <r>
      <rPr>
        <sz val="12"/>
        <color rgb="FF0000FF"/>
        <rFont val="Arial"/>
        <family val="2"/>
      </rPr>
      <t>[structure number]</t>
    </r>
  </si>
  <si>
    <r>
      <t>Designer’s inspection and certification,</t>
    </r>
    <r>
      <rPr>
        <sz val="12"/>
        <color rgb="FF0000FF"/>
        <rFont val="Arial"/>
        <family val="2"/>
      </rPr>
      <t xml:space="preserve"> [structure number]</t>
    </r>
  </si>
  <si>
    <r>
      <t xml:space="preserve">Type 1 (HSG) Base, unbound pavement, </t>
    </r>
    <r>
      <rPr>
        <sz val="12"/>
        <color rgb="FF0000FF"/>
        <rFont val="Arial"/>
        <family val="2"/>
      </rPr>
      <t>[location]</t>
    </r>
  </si>
  <si>
    <r>
      <t>Subtype 2.1, Unbound pavement,</t>
    </r>
    <r>
      <rPr>
        <sz val="12"/>
        <color rgb="FF0000FF"/>
        <rFont val="Arial"/>
        <family val="2"/>
      </rPr>
      <t xml:space="preserve"> [layer/location]</t>
    </r>
  </si>
  <si>
    <r>
      <t xml:space="preserve">Subtype 2.2, Unbound pavement, </t>
    </r>
    <r>
      <rPr>
        <sz val="12"/>
        <color rgb="FF0000FF"/>
        <rFont val="Arial"/>
        <family val="2"/>
      </rPr>
      <t>[layer/location]</t>
    </r>
  </si>
  <si>
    <r>
      <t>Subtype 2.4, Unbound pavement,</t>
    </r>
    <r>
      <rPr>
        <sz val="12"/>
        <color rgb="FF0000FF"/>
        <rFont val="Arial"/>
        <family val="2"/>
      </rPr>
      <t xml:space="preserve"> [layer/location]</t>
    </r>
  </si>
  <si>
    <r>
      <t>Subtype 2.5, Unbound pavement,</t>
    </r>
    <r>
      <rPr>
        <sz val="12"/>
        <color rgb="FF0000FF"/>
        <rFont val="Arial"/>
        <family val="2"/>
      </rPr>
      <t xml:space="preserve"> [layer/location]</t>
    </r>
  </si>
  <si>
    <r>
      <t xml:space="preserve">Type 3 Base, Subtype </t>
    </r>
    <r>
      <rPr>
        <sz val="12"/>
        <color rgb="FF0000FF"/>
        <rFont val="Arial"/>
        <family val="2"/>
      </rPr>
      <t>[subtype]</t>
    </r>
    <r>
      <rPr>
        <sz val="12"/>
        <color theme="1"/>
        <rFont val="Arial"/>
        <family val="2"/>
      </rPr>
      <t>, Unbound pavement,</t>
    </r>
    <r>
      <rPr>
        <sz val="12"/>
        <color rgb="FF0000FF"/>
        <rFont val="Arial"/>
        <family val="2"/>
      </rPr>
      <t xml:space="preserve"> [location]</t>
    </r>
  </si>
  <si>
    <r>
      <t xml:space="preserve">Excavation and disposal of overlying material, </t>
    </r>
    <r>
      <rPr>
        <sz val="12"/>
        <color rgb="FF0000FF"/>
        <rFont val="Arial"/>
        <family val="2"/>
      </rPr>
      <t>[type of material]</t>
    </r>
  </si>
  <si>
    <r>
      <t>Excavation and disposal of material not suitable for stabilisation</t>
    </r>
    <r>
      <rPr>
        <sz val="12"/>
        <color rgb="FF0000FF"/>
        <rFont val="Arial"/>
        <family val="2"/>
      </rPr>
      <t xml:space="preserve"> [type of new material] </t>
    </r>
    <r>
      <rPr>
        <sz val="12"/>
        <color theme="1"/>
        <rFont val="Arial"/>
        <family val="2"/>
      </rPr>
      <t>(Provisional Quantity, if ordered)</t>
    </r>
  </si>
  <si>
    <r>
      <t xml:space="preserve">New material to replace material not suitable for stabilisation </t>
    </r>
    <r>
      <rPr>
        <sz val="12"/>
        <color rgb="FF0000FF"/>
        <rFont val="Arial"/>
        <family val="2"/>
      </rPr>
      <t>[type of new material]</t>
    </r>
    <r>
      <rPr>
        <sz val="12"/>
        <color theme="1"/>
        <rFont val="Arial"/>
        <family val="2"/>
      </rPr>
      <t>, if ordered (Provisional Quantity, if ordered)</t>
    </r>
  </si>
  <si>
    <r>
      <t>Insitu stabilisation using Quicklime or Hydrated Lime</t>
    </r>
    <r>
      <rPr>
        <sz val="12"/>
        <color rgb="FF0000FF"/>
        <rFont val="Arial"/>
        <family val="2"/>
      </rPr>
      <t xml:space="preserve"> [location]</t>
    </r>
  </si>
  <si>
    <r>
      <t>Supply of stabilising agent</t>
    </r>
    <r>
      <rPr>
        <sz val="12"/>
        <color rgb="FF0000FF"/>
        <rFont val="Arial"/>
        <family val="2"/>
      </rPr>
      <t xml:space="preserve"> [description, location]</t>
    </r>
  </si>
  <si>
    <r>
      <t xml:space="preserve">Water curing </t>
    </r>
    <r>
      <rPr>
        <sz val="12"/>
        <color rgb="FF0000FF"/>
        <rFont val="Arial"/>
        <family val="2"/>
      </rPr>
      <t>[location]</t>
    </r>
  </si>
  <si>
    <r>
      <t xml:space="preserve">Excavation and disposal of material not suitable for stabilisation, </t>
    </r>
    <r>
      <rPr>
        <sz val="12"/>
        <color rgb="FF0000FF"/>
        <rFont val="Arial"/>
        <family val="2"/>
      </rPr>
      <t xml:space="preserve">[type of material] </t>
    </r>
    <r>
      <rPr>
        <sz val="12"/>
        <color theme="1"/>
        <rFont val="Arial"/>
        <family val="2"/>
      </rPr>
      <t>(Provisional Quantity, if ordered)</t>
    </r>
  </si>
  <si>
    <r>
      <t xml:space="preserve">New material to replace material not suitable for stabilisation </t>
    </r>
    <r>
      <rPr>
        <sz val="12"/>
        <color rgb="FF0000FF"/>
        <rFont val="Arial"/>
        <family val="2"/>
      </rPr>
      <t>[type of new material]</t>
    </r>
    <r>
      <rPr>
        <sz val="12"/>
        <color theme="1"/>
        <rFont val="Arial"/>
        <family val="2"/>
      </rPr>
      <t xml:space="preserve"> (Provisional Quantity, if ordered)</t>
    </r>
  </si>
  <si>
    <r>
      <t xml:space="preserve">Pulverisation prior to insitu stabilisation </t>
    </r>
    <r>
      <rPr>
        <sz val="12"/>
        <color rgb="FF0000FF"/>
        <rFont val="Arial"/>
        <family val="2"/>
      </rPr>
      <t>[location]</t>
    </r>
  </si>
  <si>
    <r>
      <t xml:space="preserve">Additional material for shape correction </t>
    </r>
    <r>
      <rPr>
        <sz val="12"/>
        <color rgb="FF0000FF"/>
        <rFont val="Arial"/>
        <family val="2"/>
      </rPr>
      <t xml:space="preserve">[type of new material] </t>
    </r>
    <r>
      <rPr>
        <sz val="12"/>
        <color theme="1"/>
        <rFont val="Arial"/>
        <family val="2"/>
      </rPr>
      <t>(Provisional Quantity)</t>
    </r>
  </si>
  <si>
    <r>
      <t xml:space="preserve">Insitu stabilisation using cement or cementitious blends </t>
    </r>
    <r>
      <rPr>
        <sz val="12"/>
        <color rgb="FF0000FF"/>
        <rFont val="Arial"/>
        <family val="2"/>
      </rPr>
      <t>[description, location]</t>
    </r>
  </si>
  <si>
    <r>
      <t>Water curing</t>
    </r>
    <r>
      <rPr>
        <sz val="12"/>
        <color rgb="FF0000FF"/>
        <rFont val="Arial"/>
        <family val="2"/>
      </rPr>
      <t xml:space="preserve"> [location]</t>
    </r>
  </si>
  <si>
    <r>
      <t xml:space="preserve">New material to replace material not suitable for stabilisation </t>
    </r>
    <r>
      <rPr>
        <sz val="12"/>
        <color rgb="FF0000FF"/>
        <rFont val="Arial"/>
        <family val="2"/>
      </rPr>
      <t xml:space="preserve">[type of new material]  </t>
    </r>
    <r>
      <rPr>
        <sz val="12"/>
        <color theme="1"/>
        <rFont val="Arial"/>
        <family val="2"/>
      </rPr>
      <t>(Provisional Quantity, if ordered)</t>
    </r>
  </si>
  <si>
    <r>
      <t>Pulverisation prior to insitu stabilisation using foamed bitumen</t>
    </r>
    <r>
      <rPr>
        <sz val="12"/>
        <color rgb="FF0000FF"/>
        <rFont val="Arial"/>
        <family val="2"/>
      </rPr>
      <t xml:space="preserve"> [location]</t>
    </r>
  </si>
  <si>
    <r>
      <t>Additional material for shape correction</t>
    </r>
    <r>
      <rPr>
        <sz val="12"/>
        <color rgb="FF0000FF"/>
        <rFont val="Arial"/>
        <family val="2"/>
      </rPr>
      <t xml:space="preserve"> [type of new material] </t>
    </r>
    <r>
      <rPr>
        <sz val="12"/>
        <color theme="1"/>
        <rFont val="Arial"/>
        <family val="2"/>
      </rPr>
      <t>(Provisional Quantity)</t>
    </r>
  </si>
  <si>
    <r>
      <t>Insitu stabilisation using foamed bitumen</t>
    </r>
    <r>
      <rPr>
        <sz val="12"/>
        <color rgb="FF0000FF"/>
        <rFont val="Arial"/>
        <family val="2"/>
      </rPr>
      <t xml:space="preserve"> [location]</t>
    </r>
  </si>
  <si>
    <r>
      <t xml:space="preserve">Insitu stabilisation using foamed bitumen with bitumen supplied by Principal </t>
    </r>
    <r>
      <rPr>
        <sz val="12"/>
        <color rgb="FF0000FF"/>
        <rFont val="Arial"/>
        <family val="2"/>
      </rPr>
      <t>[location]</t>
    </r>
  </si>
  <si>
    <r>
      <t xml:space="preserve">Transport of Class 170 bitumen supplied by the Principal, from </t>
    </r>
    <r>
      <rPr>
        <sz val="12"/>
        <color rgb="FF0000FF"/>
        <rFont val="Arial"/>
        <family val="2"/>
      </rPr>
      <t>[supply location]</t>
    </r>
  </si>
  <si>
    <r>
      <t xml:space="preserve">Supply of secondary stabilising agent </t>
    </r>
    <r>
      <rPr>
        <sz val="12"/>
        <color rgb="FF0000FF"/>
        <rFont val="Arial"/>
        <family val="2"/>
      </rPr>
      <t>[description, location]</t>
    </r>
  </si>
  <si>
    <r>
      <t>Mill existing pavement material</t>
    </r>
    <r>
      <rPr>
        <sz val="12"/>
        <color rgb="FF0000FF"/>
        <rFont val="Arial"/>
        <family val="2"/>
      </rPr>
      <t xml:space="preserve"> [depth, location]</t>
    </r>
    <r>
      <rPr>
        <sz val="12"/>
        <color theme="1"/>
        <rFont val="Arial"/>
        <family val="2"/>
      </rPr>
      <t xml:space="preserve">, transport to Principal nominated location and stockpile at this location </t>
    </r>
    <r>
      <rPr>
        <sz val="12"/>
        <color rgb="FF0000FF"/>
        <rFont val="Arial"/>
        <family val="2"/>
      </rPr>
      <t>[stockpiling location]</t>
    </r>
  </si>
  <si>
    <r>
      <t>Preparation of existing surface before construction of stabilised layer – bound and concrete surfaces and bound pavements</t>
    </r>
    <r>
      <rPr>
        <sz val="12"/>
        <color rgb="FF0000FF"/>
        <rFont val="Arial"/>
        <family val="2"/>
      </rPr>
      <t xml:space="preserve"> [description, location]</t>
    </r>
  </si>
  <si>
    <r>
      <t xml:space="preserve">New materials to replace material not suitable for stabilisation </t>
    </r>
    <r>
      <rPr>
        <sz val="12"/>
        <color rgb="FF0000FF"/>
        <rFont val="Arial"/>
        <family val="2"/>
      </rPr>
      <t>[type of new material]</t>
    </r>
    <r>
      <rPr>
        <sz val="12"/>
        <color theme="1"/>
        <rFont val="Arial"/>
        <family val="2"/>
      </rPr>
      <t xml:space="preserve">  (Provisional Quantity, if ordered)</t>
    </r>
  </si>
  <si>
    <r>
      <t xml:space="preserve">Transport of Class 170 bitumen supplied by the Principal, from </t>
    </r>
    <r>
      <rPr>
        <sz val="12"/>
        <color rgb="FF0000FF"/>
        <rFont val="Arial"/>
        <family val="2"/>
      </rPr>
      <t>[supply location]</t>
    </r>
  </si>
  <si>
    <r>
      <t xml:space="preserve">Plant-mixed lightly bound base, </t>
    </r>
    <r>
      <rPr>
        <sz val="12"/>
        <color rgb="FF0000FF"/>
        <rFont val="Arial"/>
        <family val="2"/>
      </rPr>
      <t>[location]</t>
    </r>
  </si>
  <si>
    <r>
      <t xml:space="preserve">Plant-mixed lightly bound improved layer, </t>
    </r>
    <r>
      <rPr>
        <sz val="12"/>
        <color rgb="FF0000FF"/>
        <rFont val="Arial"/>
        <family val="2"/>
      </rPr>
      <t>[location]</t>
    </r>
  </si>
  <si>
    <r>
      <t xml:space="preserve">Spraying bituminous material, treatment type </t>
    </r>
    <r>
      <rPr>
        <sz val="12"/>
        <color rgb="FF0000FF"/>
        <rFont val="Arial"/>
        <family val="2"/>
      </rPr>
      <t>[treatment type]</t>
    </r>
    <r>
      <rPr>
        <sz val="12"/>
        <color theme="1"/>
        <rFont val="Arial"/>
        <family val="2"/>
      </rPr>
      <t>, binder</t>
    </r>
    <r>
      <rPr>
        <sz val="12"/>
        <color rgb="FF0000FF"/>
        <rFont val="Arial"/>
        <family val="2"/>
      </rPr>
      <t xml:space="preserve"> [binder class]</t>
    </r>
    <r>
      <rPr>
        <sz val="12"/>
        <color theme="1"/>
        <rFont val="Arial"/>
        <family val="2"/>
      </rPr>
      <t>, spray rate</t>
    </r>
    <r>
      <rPr>
        <sz val="12"/>
        <color rgb="FF0000FF"/>
        <rFont val="Arial"/>
        <family val="2"/>
      </rPr>
      <t xml:space="preserve"> [spray rate]</t>
    </r>
    <r>
      <rPr>
        <sz val="12"/>
        <color theme="1"/>
        <rFont val="Arial"/>
        <family val="2"/>
      </rPr>
      <t>,</t>
    </r>
    <r>
      <rPr>
        <sz val="12"/>
        <color rgb="FF0000FF"/>
        <rFont val="Arial"/>
        <family val="2"/>
      </rPr>
      <t xml:space="preserve"> [including | excluding]</t>
    </r>
    <r>
      <rPr>
        <sz val="12"/>
        <color theme="1"/>
        <rFont val="Arial"/>
        <family val="2"/>
      </rPr>
      <t xml:space="preserve"> supply of binder, excluding supply of additives, </t>
    </r>
    <r>
      <rPr>
        <sz val="12"/>
        <color rgb="FF0000FF"/>
        <rFont val="Arial"/>
        <family val="2"/>
      </rPr>
      <t>[location]</t>
    </r>
  </si>
  <si>
    <r>
      <t xml:space="preserve">Spreading prime cover material, </t>
    </r>
    <r>
      <rPr>
        <sz val="12"/>
        <color rgb="FF0000FF"/>
        <rFont val="Arial"/>
        <family val="2"/>
      </rPr>
      <t>[spread rate]</t>
    </r>
    <r>
      <rPr>
        <sz val="12"/>
        <color theme="1"/>
        <rFont val="Arial"/>
        <family val="2"/>
      </rPr>
      <t>,</t>
    </r>
    <r>
      <rPr>
        <sz val="12"/>
        <color rgb="FF0000FF"/>
        <rFont val="Arial"/>
        <family val="2"/>
      </rPr>
      <t xml:space="preserve"> [including | excluding] </t>
    </r>
    <r>
      <rPr>
        <sz val="12"/>
        <color theme="1"/>
        <rFont val="Arial"/>
        <family val="2"/>
      </rPr>
      <t>supply of prime cover material,</t>
    </r>
    <r>
      <rPr>
        <sz val="12"/>
        <color rgb="FF0000FF"/>
        <rFont val="Arial"/>
        <family val="2"/>
      </rPr>
      <t xml:space="preserve"> [location]</t>
    </r>
  </si>
  <si>
    <r>
      <t>Spreading cover aggregate</t>
    </r>
    <r>
      <rPr>
        <sz val="12"/>
        <color rgb="FF0000FF"/>
        <rFont val="Arial"/>
        <family val="2"/>
      </rPr>
      <t xml:space="preserve"> [size]</t>
    </r>
    <r>
      <rPr>
        <sz val="12"/>
        <color theme="1"/>
        <rFont val="Arial"/>
        <family val="2"/>
      </rPr>
      <t>,</t>
    </r>
    <r>
      <rPr>
        <sz val="12"/>
        <color rgb="FF0000FF"/>
        <rFont val="Arial"/>
        <family val="2"/>
      </rPr>
      <t xml:space="preserve"> [spread rate]</t>
    </r>
    <r>
      <rPr>
        <sz val="12"/>
        <color theme="1"/>
        <rFont val="Arial"/>
        <family val="2"/>
      </rPr>
      <t xml:space="preserve">, </t>
    </r>
    <r>
      <rPr>
        <sz val="12"/>
        <color rgb="FF0000FF"/>
        <rFont val="Arial"/>
        <family val="2"/>
      </rPr>
      <t xml:space="preserve">[including | excluding] </t>
    </r>
    <r>
      <rPr>
        <sz val="12"/>
        <color theme="1"/>
        <rFont val="Arial"/>
        <family val="2"/>
      </rPr>
      <t xml:space="preserve">supply of cover aggregate, </t>
    </r>
    <r>
      <rPr>
        <sz val="12"/>
        <color rgb="FF0000FF"/>
        <rFont val="Arial"/>
        <family val="2"/>
      </rPr>
      <t>[location]</t>
    </r>
  </si>
  <si>
    <r>
      <t xml:space="preserve">Sprayed bituminous treatment, type </t>
    </r>
    <r>
      <rPr>
        <sz val="12"/>
        <color rgb="FF0000FF"/>
        <rFont val="Arial"/>
        <family val="2"/>
      </rPr>
      <t>[treatment type]</t>
    </r>
    <r>
      <rPr>
        <sz val="12"/>
        <color theme="1"/>
        <rFont val="Arial"/>
        <family val="2"/>
      </rPr>
      <t xml:space="preserve">, </t>
    </r>
    <r>
      <rPr>
        <sz val="12"/>
        <color rgb="FF0000FF"/>
        <rFont val="Arial"/>
        <family val="2"/>
      </rPr>
      <t xml:space="preserve">[including | excluding] </t>
    </r>
    <r>
      <rPr>
        <sz val="12"/>
        <color theme="1"/>
        <rFont val="Arial"/>
        <family val="2"/>
      </rPr>
      <t>supply of binder,</t>
    </r>
    <r>
      <rPr>
        <sz val="12"/>
        <color rgb="FF0000FF"/>
        <rFont val="Arial"/>
        <family val="2"/>
      </rPr>
      <t xml:space="preserve"> [including | excluding] </t>
    </r>
    <r>
      <rPr>
        <sz val="12"/>
        <color theme="1"/>
        <rFont val="Arial"/>
        <family val="2"/>
      </rPr>
      <t xml:space="preserve">supply of additives, </t>
    </r>
    <r>
      <rPr>
        <sz val="12"/>
        <color rgb="FF0000FF"/>
        <rFont val="Arial"/>
        <family val="2"/>
      </rPr>
      <t xml:space="preserve">[including | excluding] </t>
    </r>
    <r>
      <rPr>
        <sz val="12"/>
        <color theme="1"/>
        <rFont val="Arial"/>
        <family val="2"/>
      </rPr>
      <t xml:space="preserve">supply of cover aggregates, </t>
    </r>
    <r>
      <rPr>
        <sz val="12"/>
        <color rgb="FF0000FF"/>
        <rFont val="Arial"/>
        <family val="2"/>
      </rPr>
      <t>[location]</t>
    </r>
    <r>
      <rPr>
        <sz val="12"/>
        <color theme="1"/>
        <rFont val="Arial"/>
        <family val="2"/>
      </rPr>
      <t>, refer to Clause 2 of Annexure MRTS11.1</t>
    </r>
  </si>
  <si>
    <r>
      <t>Transport of bituminous material supplied by the Principal,</t>
    </r>
    <r>
      <rPr>
        <sz val="12"/>
        <color rgb="FF0000FF"/>
        <rFont val="Arial"/>
        <family val="2"/>
      </rPr>
      <t xml:space="preserve"> [material]</t>
    </r>
    <r>
      <rPr>
        <sz val="12"/>
        <color theme="1"/>
        <rFont val="Arial"/>
        <family val="2"/>
      </rPr>
      <t xml:space="preserve">, from </t>
    </r>
    <r>
      <rPr>
        <sz val="12"/>
        <color rgb="FF0000FF"/>
        <rFont val="Arial"/>
        <family val="2"/>
      </rPr>
      <t>[supply location]</t>
    </r>
    <r>
      <rPr>
        <sz val="12"/>
        <color theme="1"/>
        <rFont val="Arial"/>
        <family val="2"/>
      </rPr>
      <t xml:space="preserve"> (Provisional Quantity)</t>
    </r>
  </si>
  <si>
    <r>
      <t xml:space="preserve">Return of excess bituminous material supplied by the Principal, </t>
    </r>
    <r>
      <rPr>
        <sz val="12"/>
        <color rgb="FF0000FF"/>
        <rFont val="Arial"/>
        <family val="2"/>
      </rPr>
      <t>[material]</t>
    </r>
    <r>
      <rPr>
        <sz val="12"/>
        <color theme="1"/>
        <rFont val="Arial"/>
        <family val="2"/>
      </rPr>
      <t>, to</t>
    </r>
    <r>
      <rPr>
        <sz val="12"/>
        <color rgb="FF0000FF"/>
        <rFont val="Arial"/>
        <family val="2"/>
      </rPr>
      <t xml:space="preserve"> [return location]</t>
    </r>
    <r>
      <rPr>
        <sz val="12"/>
        <color theme="1"/>
        <rFont val="Arial"/>
        <family val="2"/>
      </rPr>
      <t xml:space="preserve"> (Provisional Quantity, if ordered)</t>
    </r>
  </si>
  <si>
    <r>
      <t xml:space="preserve">Primerseal, grade </t>
    </r>
    <r>
      <rPr>
        <sz val="12"/>
        <color rgb="FF0000FF"/>
        <rFont val="Arial"/>
        <family val="2"/>
      </rPr>
      <t>[grade]</t>
    </r>
    <r>
      <rPr>
        <sz val="12"/>
        <color theme="1"/>
        <rFont val="Arial"/>
        <family val="2"/>
      </rPr>
      <t xml:space="preserve">, spray rate </t>
    </r>
    <r>
      <rPr>
        <sz val="12"/>
        <color rgb="FF0000FF"/>
        <rFont val="Arial"/>
        <family val="2"/>
      </rPr>
      <t>[spray rate]</t>
    </r>
    <r>
      <rPr>
        <sz val="12"/>
        <color theme="1"/>
        <rFont val="Arial"/>
        <family val="2"/>
      </rPr>
      <t xml:space="preserve">, </t>
    </r>
    <r>
      <rPr>
        <sz val="12"/>
        <color rgb="FF0000FF"/>
        <rFont val="Arial"/>
        <family val="2"/>
      </rPr>
      <t>[including | excluding]</t>
    </r>
    <r>
      <rPr>
        <sz val="12"/>
        <color theme="1"/>
        <rFont val="Arial"/>
        <family val="2"/>
      </rPr>
      <t xml:space="preserve"> supply of binder, </t>
    </r>
    <r>
      <rPr>
        <sz val="12"/>
        <color rgb="FF0000FF"/>
        <rFont val="Arial"/>
        <family val="2"/>
      </rPr>
      <t>[location]</t>
    </r>
  </si>
  <si>
    <r>
      <t>Reseal, grade</t>
    </r>
    <r>
      <rPr>
        <sz val="12"/>
        <color rgb="FF0000FF"/>
        <rFont val="Arial"/>
        <family val="2"/>
      </rPr>
      <t xml:space="preserve"> [grade]</t>
    </r>
    <r>
      <rPr>
        <sz val="12"/>
        <color theme="1"/>
        <rFont val="Arial"/>
        <family val="2"/>
      </rPr>
      <t xml:space="preserve">, spray rate </t>
    </r>
    <r>
      <rPr>
        <sz val="12"/>
        <color rgb="FF0000FF"/>
        <rFont val="Arial"/>
        <family val="2"/>
      </rPr>
      <t>[spray rate]</t>
    </r>
    <r>
      <rPr>
        <sz val="12"/>
        <color theme="1"/>
        <rFont val="Arial"/>
        <family val="2"/>
      </rPr>
      <t xml:space="preserve">, </t>
    </r>
    <r>
      <rPr>
        <sz val="12"/>
        <color rgb="FF0000FF"/>
        <rFont val="Arial"/>
        <family val="2"/>
      </rPr>
      <t xml:space="preserve">[including | excluding] </t>
    </r>
    <r>
      <rPr>
        <sz val="12"/>
        <color theme="1"/>
        <rFont val="Arial"/>
        <family val="2"/>
      </rPr>
      <t>supply of binder,</t>
    </r>
    <r>
      <rPr>
        <sz val="12"/>
        <color rgb="FF0000FF"/>
        <rFont val="Arial"/>
        <family val="2"/>
      </rPr>
      <t xml:space="preserve"> [location]</t>
    </r>
  </si>
  <si>
    <r>
      <t xml:space="preserve">Enrichment, grade </t>
    </r>
    <r>
      <rPr>
        <sz val="12"/>
        <color rgb="FF0000FF"/>
        <rFont val="Arial"/>
        <family val="2"/>
      </rPr>
      <t>[grade]</t>
    </r>
    <r>
      <rPr>
        <sz val="12"/>
        <color theme="1"/>
        <rFont val="Arial"/>
        <family val="2"/>
      </rPr>
      <t xml:space="preserve">, spray rate </t>
    </r>
    <r>
      <rPr>
        <sz val="12"/>
        <color rgb="FF0000FF"/>
        <rFont val="Arial"/>
        <family val="2"/>
      </rPr>
      <t>[spray rate]</t>
    </r>
    <r>
      <rPr>
        <sz val="12"/>
        <color theme="1"/>
        <rFont val="Arial"/>
        <family val="2"/>
      </rPr>
      <t xml:space="preserve">, </t>
    </r>
    <r>
      <rPr>
        <sz val="12"/>
        <color rgb="FF0000FF"/>
        <rFont val="Arial"/>
        <family val="2"/>
      </rPr>
      <t>[including | excluding]</t>
    </r>
    <r>
      <rPr>
        <sz val="12"/>
        <color theme="1"/>
        <rFont val="Arial"/>
        <family val="2"/>
      </rPr>
      <t xml:space="preserve"> supply of binder, </t>
    </r>
    <r>
      <rPr>
        <sz val="12"/>
        <color rgb="FF0000FF"/>
        <rFont val="Arial"/>
        <family val="2"/>
      </rPr>
      <t>[location]</t>
    </r>
  </si>
  <si>
    <r>
      <t xml:space="preserve">Spreading prime cover material </t>
    </r>
    <r>
      <rPr>
        <sz val="12"/>
        <color rgb="FF0000FF"/>
        <rFont val="Arial"/>
        <family val="2"/>
      </rPr>
      <t>[material]</t>
    </r>
    <r>
      <rPr>
        <sz val="12"/>
        <color theme="1"/>
        <rFont val="Arial"/>
        <family val="2"/>
      </rPr>
      <t>,</t>
    </r>
    <r>
      <rPr>
        <sz val="12"/>
        <color rgb="FF0000FF"/>
        <rFont val="Arial"/>
        <family val="2"/>
      </rPr>
      <t xml:space="preserve"> [spread rate]</t>
    </r>
    <r>
      <rPr>
        <sz val="12"/>
        <color theme="1"/>
        <rFont val="Arial"/>
        <family val="2"/>
      </rPr>
      <t>,</t>
    </r>
    <r>
      <rPr>
        <sz val="12"/>
        <color rgb="FF0000FF"/>
        <rFont val="Arial"/>
        <family val="2"/>
      </rPr>
      <t xml:space="preserve"> [location]</t>
    </r>
  </si>
  <si>
    <r>
      <t>Supply of bituminous emulsion</t>
    </r>
    <r>
      <rPr>
        <sz val="12"/>
        <color rgb="FF0000FF"/>
        <rFont val="Arial"/>
        <family val="2"/>
      </rPr>
      <t xml:space="preserve"> [material]</t>
    </r>
    <r>
      <rPr>
        <sz val="12"/>
        <rFont val="Arial"/>
        <family val="2"/>
      </rPr>
      <t>,</t>
    </r>
    <r>
      <rPr>
        <sz val="12"/>
        <color rgb="FF0000FF"/>
        <rFont val="Arial"/>
        <family val="2"/>
      </rPr>
      <t xml:space="preserve"> [class | grade]</t>
    </r>
  </si>
  <si>
    <r>
      <t>Transport of bituminous emulsion supplied by the Principal</t>
    </r>
    <r>
      <rPr>
        <sz val="12"/>
        <color rgb="FF0000FF"/>
        <rFont val="Arial"/>
        <family val="2"/>
      </rPr>
      <t xml:space="preserve"> [material]</t>
    </r>
    <r>
      <rPr>
        <sz val="12"/>
        <color theme="1"/>
        <rFont val="Arial"/>
        <family val="2"/>
      </rPr>
      <t>, from</t>
    </r>
    <r>
      <rPr>
        <sz val="12"/>
        <color rgb="FF0000FF"/>
        <rFont val="Arial"/>
        <family val="2"/>
      </rPr>
      <t xml:space="preserve"> [supply location]</t>
    </r>
  </si>
  <si>
    <r>
      <t>Transport of aggregate supplied by the Principal</t>
    </r>
    <r>
      <rPr>
        <sz val="12"/>
        <color rgb="FF0000FF"/>
        <rFont val="Arial"/>
        <family val="2"/>
      </rPr>
      <t xml:space="preserve"> [material]</t>
    </r>
    <r>
      <rPr>
        <sz val="12"/>
        <color theme="1"/>
        <rFont val="Arial"/>
        <family val="2"/>
      </rPr>
      <t xml:space="preserve">, from </t>
    </r>
    <r>
      <rPr>
        <sz val="12"/>
        <color rgb="FF0000FF"/>
        <rFont val="Arial"/>
        <family val="2"/>
      </rPr>
      <t>[supply location]</t>
    </r>
  </si>
  <si>
    <r>
      <t xml:space="preserve">Sprayed bituminous emulsion surfacing, </t>
    </r>
    <r>
      <rPr>
        <sz val="12"/>
        <color rgb="FF0000FF"/>
        <rFont val="Arial"/>
        <family val="2"/>
      </rPr>
      <t>[including | excluding]</t>
    </r>
    <r>
      <rPr>
        <sz val="12"/>
        <color theme="1"/>
        <rFont val="Arial"/>
        <family val="2"/>
      </rPr>
      <t xml:space="preserve"> supply of binder, </t>
    </r>
    <r>
      <rPr>
        <sz val="12"/>
        <color rgb="FF0000FF"/>
        <rFont val="Arial"/>
        <family val="2"/>
      </rPr>
      <t xml:space="preserve">[including | excluding] </t>
    </r>
    <r>
      <rPr>
        <sz val="12"/>
        <color theme="1"/>
        <rFont val="Arial"/>
        <family val="2"/>
      </rPr>
      <t>supply of cover aggregates,</t>
    </r>
    <r>
      <rPr>
        <sz val="12"/>
        <color rgb="FF0000FF"/>
        <rFont val="Arial"/>
        <family val="2"/>
      </rPr>
      <t xml:space="preserve"> [location]</t>
    </r>
    <r>
      <rPr>
        <sz val="12"/>
        <color theme="1"/>
        <rFont val="Arial"/>
        <family val="2"/>
      </rPr>
      <t>, refer to Clause 1 of Annexure MRS12.1</t>
    </r>
  </si>
  <si>
    <r>
      <t>Supply of cover aggregate</t>
    </r>
    <r>
      <rPr>
        <sz val="12"/>
        <color rgb="FF0000FF"/>
        <rFont val="Arial"/>
        <family val="2"/>
      </rPr>
      <t xml:space="preserve"> [precoated | unprecoated]</t>
    </r>
    <r>
      <rPr>
        <sz val="12"/>
        <color theme="1"/>
        <rFont val="Arial"/>
        <family val="2"/>
      </rPr>
      <t xml:space="preserve">, </t>
    </r>
    <r>
      <rPr>
        <sz val="12"/>
        <color rgb="FF0000FF"/>
        <rFont val="Arial"/>
        <family val="2"/>
      </rPr>
      <t xml:space="preserve">[nominal size] </t>
    </r>
    <r>
      <rPr>
        <sz val="12"/>
        <color theme="1"/>
        <rFont val="Arial"/>
        <family val="2"/>
      </rPr>
      <t>mm nominal size</t>
    </r>
  </si>
  <si>
    <r>
      <t>Supply of prime cover material,</t>
    </r>
    <r>
      <rPr>
        <sz val="12"/>
        <color rgb="FF0000FF"/>
        <rFont val="Arial"/>
        <family val="2"/>
      </rPr>
      <t xml:space="preserve"> [type of material]</t>
    </r>
  </si>
  <si>
    <r>
      <t>Transport of materials,</t>
    </r>
    <r>
      <rPr>
        <sz val="12"/>
        <color rgb="FF0000FF"/>
        <rFont val="Arial"/>
        <family val="2"/>
      </rPr>
      <t xml:space="preserve"> [type of material]</t>
    </r>
  </si>
  <si>
    <r>
      <t>Medium duty dense graded asphalt in corrector course, AC</t>
    </r>
    <r>
      <rPr>
        <sz val="12"/>
        <color rgb="FF0000FF"/>
        <rFont val="Arial"/>
        <family val="2"/>
      </rPr>
      <t xml:space="preserve"> [nominal size] </t>
    </r>
    <r>
      <rPr>
        <sz val="12"/>
        <color theme="1"/>
        <rFont val="Arial"/>
        <family val="2"/>
      </rPr>
      <t>M mix</t>
    </r>
  </si>
  <si>
    <r>
      <t xml:space="preserve">Medium duty dense graded asphalt in intermediate course, AC </t>
    </r>
    <r>
      <rPr>
        <sz val="12"/>
        <color rgb="FF0000FF"/>
        <rFont val="Arial"/>
        <family val="2"/>
      </rPr>
      <t>[nominal size]</t>
    </r>
    <r>
      <rPr>
        <sz val="12"/>
        <color theme="1"/>
        <rFont val="Arial"/>
        <family val="2"/>
      </rPr>
      <t xml:space="preserve"> M mix</t>
    </r>
  </si>
  <si>
    <r>
      <t xml:space="preserve">Heavy duty dense graded asphalt in corrector course, AC </t>
    </r>
    <r>
      <rPr>
        <sz val="12"/>
        <color rgb="FF0000FF"/>
        <rFont val="Arial"/>
        <family val="2"/>
      </rPr>
      <t xml:space="preserve">[nominal size] </t>
    </r>
    <r>
      <rPr>
        <sz val="12"/>
        <color theme="1"/>
        <rFont val="Arial"/>
        <family val="2"/>
      </rPr>
      <t>H mix</t>
    </r>
  </si>
  <si>
    <r>
      <t>Heavy duty dense graded asphalt in base course, AC</t>
    </r>
    <r>
      <rPr>
        <sz val="12"/>
        <color rgb="FF0000FF"/>
        <rFont val="Arial"/>
        <family val="2"/>
      </rPr>
      <t xml:space="preserve"> [nominal size] </t>
    </r>
    <r>
      <rPr>
        <sz val="12"/>
        <color theme="1"/>
        <rFont val="Arial"/>
        <family val="2"/>
      </rPr>
      <t>H mix</t>
    </r>
  </si>
  <si>
    <r>
      <t>Heavy duty dense graded asphalt in intermediate course, AC</t>
    </r>
    <r>
      <rPr>
        <sz val="12"/>
        <color rgb="FF0000FF"/>
        <rFont val="Arial"/>
        <family val="2"/>
      </rPr>
      <t xml:space="preserve"> [nominal size] </t>
    </r>
    <r>
      <rPr>
        <sz val="12"/>
        <color theme="1"/>
        <rFont val="Arial"/>
        <family val="2"/>
      </rPr>
      <t>H mix</t>
    </r>
  </si>
  <si>
    <r>
      <t xml:space="preserve">Heavy duty dense graded asphalt in surfacing course, AC </t>
    </r>
    <r>
      <rPr>
        <sz val="12"/>
        <color rgb="FF0000FF"/>
        <rFont val="Arial"/>
        <family val="2"/>
      </rPr>
      <t>[nominal size]</t>
    </r>
    <r>
      <rPr>
        <sz val="12"/>
        <color theme="1"/>
        <rFont val="Arial"/>
        <family val="2"/>
      </rPr>
      <t xml:space="preserve"> H mix</t>
    </r>
  </si>
  <si>
    <r>
      <t xml:space="preserve">Open graded asphalt in surfacing course, OG </t>
    </r>
    <r>
      <rPr>
        <sz val="12"/>
        <color rgb="FF0000FF"/>
        <rFont val="Arial"/>
        <family val="2"/>
      </rPr>
      <t>[nominal size]</t>
    </r>
    <r>
      <rPr>
        <sz val="12"/>
        <color theme="1"/>
        <rFont val="Arial"/>
        <family val="2"/>
      </rPr>
      <t xml:space="preserve"> mix</t>
    </r>
  </si>
  <si>
    <r>
      <t xml:space="preserve">Stone mastic asphalt in surfacing course, SMA </t>
    </r>
    <r>
      <rPr>
        <sz val="12"/>
        <color rgb="FF0000FF"/>
        <rFont val="Arial"/>
        <family val="2"/>
      </rPr>
      <t>[nominal size]</t>
    </r>
    <r>
      <rPr>
        <sz val="12"/>
        <color theme="1"/>
        <rFont val="Arial"/>
        <family val="2"/>
      </rPr>
      <t xml:space="preserve"> mix</t>
    </r>
  </si>
  <si>
    <r>
      <t>Unbound pavement, Recycled Material Blend Type RM001,</t>
    </r>
    <r>
      <rPr>
        <sz val="12"/>
        <color rgb="FF0000FF"/>
        <rFont val="Arial"/>
        <family val="2"/>
      </rPr>
      <t xml:space="preserve"> [layer location in pavement]</t>
    </r>
  </si>
  <si>
    <r>
      <t xml:space="preserve">Unbound pavement, Recycled Material Blend Type RM002, </t>
    </r>
    <r>
      <rPr>
        <sz val="12"/>
        <color rgb="FF0000FF"/>
        <rFont val="Arial"/>
        <family val="2"/>
      </rPr>
      <t>[layer location in pavement]</t>
    </r>
  </si>
  <si>
    <r>
      <t>Unbound pavement, Recycled Material Blend Type RM003,</t>
    </r>
    <r>
      <rPr>
        <sz val="12"/>
        <color rgb="FF0000FF"/>
        <rFont val="Arial"/>
        <family val="2"/>
      </rPr>
      <t xml:space="preserve"> [layer location in pavement]</t>
    </r>
  </si>
  <si>
    <r>
      <t xml:space="preserve">Unbound pavement, Recycled Material Blend Type RM004, </t>
    </r>
    <r>
      <rPr>
        <sz val="12"/>
        <color rgb="FF0000FF"/>
        <rFont val="Arial"/>
        <family val="2"/>
      </rPr>
      <t>[layer location in pavement]</t>
    </r>
  </si>
  <si>
    <r>
      <t>Unbound pavement, Recycled Material Blend Type RM005,</t>
    </r>
    <r>
      <rPr>
        <sz val="12"/>
        <color rgb="FF0000FF"/>
        <rFont val="Arial"/>
        <family val="2"/>
      </rPr>
      <t xml:space="preserve"> [layer location in pavement]</t>
    </r>
  </si>
  <si>
    <r>
      <t xml:space="preserve">Unbound pavement, Recycled Material Blend Type RM006, </t>
    </r>
    <r>
      <rPr>
        <sz val="12"/>
        <color rgb="FF0000FF"/>
        <rFont val="Arial"/>
        <family val="2"/>
      </rPr>
      <t>[layer location in pavement]</t>
    </r>
  </si>
  <si>
    <r>
      <t xml:space="preserve"> 'Category 1' bound pavement material, Bound Recycled Crushed Concrete - Type BRCC1,</t>
    </r>
    <r>
      <rPr>
        <sz val="12"/>
        <color rgb="FF0000FF"/>
        <rFont val="Arial"/>
        <family val="2"/>
      </rPr>
      <t xml:space="preserve"> [layer location in pavement]</t>
    </r>
  </si>
  <si>
    <r>
      <t xml:space="preserve"> 'Category 2' pavement material, Bound Recycled Crushed Concrete - Type BRCC2,</t>
    </r>
    <r>
      <rPr>
        <sz val="12"/>
        <color rgb="FF0000FF"/>
        <rFont val="Arial"/>
        <family val="2"/>
      </rPr>
      <t xml:space="preserve"> [layer location in pavement]</t>
    </r>
  </si>
  <si>
    <r>
      <t xml:space="preserve">Supply of Geotextile </t>
    </r>
    <r>
      <rPr>
        <sz val="12"/>
        <color rgb="FF0000FF"/>
        <rFont val="Arial"/>
        <family val="2"/>
      </rPr>
      <t>[grade]</t>
    </r>
    <r>
      <rPr>
        <sz val="12"/>
        <color theme="1"/>
        <rFont val="Arial"/>
        <family val="2"/>
      </rPr>
      <t xml:space="preserve"> g/m²</t>
    </r>
  </si>
  <si>
    <r>
      <t>Transport of material supplied by the Principal</t>
    </r>
    <r>
      <rPr>
        <sz val="12"/>
        <color rgb="FF0000FF"/>
        <rFont val="Arial"/>
        <family val="2"/>
      </rPr>
      <t xml:space="preserve"> [material]</t>
    </r>
    <r>
      <rPr>
        <sz val="12"/>
        <color theme="1"/>
        <rFont val="Arial"/>
        <family val="2"/>
      </rPr>
      <t xml:space="preserve">, from </t>
    </r>
    <r>
      <rPr>
        <sz val="12"/>
        <color rgb="FF0000FF"/>
        <rFont val="Arial"/>
        <family val="2"/>
      </rPr>
      <t>[supply location]</t>
    </r>
  </si>
  <si>
    <r>
      <t xml:space="preserve">Placement of Paving Geotextile </t>
    </r>
    <r>
      <rPr>
        <sz val="12"/>
        <color rgb="FF0000FF"/>
        <rFont val="Arial"/>
        <family val="2"/>
      </rPr>
      <t>[nominal weight]</t>
    </r>
    <r>
      <rPr>
        <sz val="12"/>
        <color theme="1"/>
        <rFont val="Arial"/>
        <family val="2"/>
      </rPr>
      <t xml:space="preserve"> g/m²</t>
    </r>
  </si>
  <si>
    <r>
      <t xml:space="preserve">Supply of Pavement Geosynthetic Material </t>
    </r>
    <r>
      <rPr>
        <sz val="12"/>
        <color rgb="FF0000FF"/>
        <rFont val="Arial"/>
        <family val="2"/>
      </rPr>
      <t>[geogrid | geocomposite | woven geotextile]</t>
    </r>
  </si>
  <si>
    <r>
      <t>Transport of Pavement Geosynthetic Material supplied by the Principal</t>
    </r>
    <r>
      <rPr>
        <sz val="12"/>
        <color rgb="FF0000FF"/>
        <rFont val="Arial"/>
        <family val="2"/>
      </rPr>
      <t xml:space="preserve"> [geogrid | geocomposite | woven geotextile], from [supply location]</t>
    </r>
  </si>
  <si>
    <r>
      <t>Placement of Pavement Geosynthetic Material</t>
    </r>
    <r>
      <rPr>
        <sz val="12"/>
        <color rgb="FF0000FF"/>
        <rFont val="Arial"/>
        <family val="2"/>
      </rPr>
      <t xml:space="preserve"> [geogrid | geocomposite | woven geotextile]</t>
    </r>
  </si>
  <si>
    <r>
      <t>Installation of direction and information signs,</t>
    </r>
    <r>
      <rPr>
        <sz val="12"/>
        <color rgb="FF0000FF"/>
        <rFont val="Arial"/>
        <family val="2"/>
      </rPr>
      <t xml:space="preserve"> [sign number]</t>
    </r>
  </si>
  <si>
    <r>
      <t xml:space="preserve">Installation of direction and information signs, </t>
    </r>
    <r>
      <rPr>
        <sz val="12"/>
        <color rgb="FF0000FF"/>
        <rFont val="Arial"/>
        <family val="2"/>
      </rPr>
      <t>[sign size]</t>
    </r>
  </si>
  <si>
    <r>
      <t xml:space="preserve">Grid </t>
    </r>
    <r>
      <rPr>
        <sz val="12"/>
        <color rgb="FF0000FF"/>
        <rFont val="Arial"/>
        <family val="2"/>
      </rPr>
      <t>[type]</t>
    </r>
  </si>
  <si>
    <r>
      <t xml:space="preserve">Grid with vermin and dog fencing </t>
    </r>
    <r>
      <rPr>
        <sz val="12"/>
        <color rgb="FF0000FF"/>
        <rFont val="Arial"/>
        <family val="2"/>
      </rPr>
      <t>[type]</t>
    </r>
  </si>
  <si>
    <r>
      <t xml:space="preserve">Concrete traffic barrier, </t>
    </r>
    <r>
      <rPr>
        <sz val="12"/>
        <color rgb="FF0000FF"/>
        <rFont val="Arial"/>
        <family val="2"/>
      </rPr>
      <t>[type]</t>
    </r>
    <r>
      <rPr>
        <sz val="12"/>
        <color theme="1"/>
        <rFont val="Arial"/>
        <family val="2"/>
      </rPr>
      <t>,</t>
    </r>
    <r>
      <rPr>
        <sz val="12"/>
        <color rgb="FF0000FF"/>
        <rFont val="Arial"/>
        <family val="2"/>
      </rPr>
      <t xml:space="preserve"> [with | without conduit], [with | without dowels]</t>
    </r>
  </si>
  <si>
    <r>
      <t xml:space="preserve">Concrete traffic barrier at wall or pier, </t>
    </r>
    <r>
      <rPr>
        <sz val="12"/>
        <color rgb="FF0000FF"/>
        <rFont val="Arial"/>
        <family val="2"/>
      </rPr>
      <t>[type]</t>
    </r>
    <r>
      <rPr>
        <sz val="12"/>
        <color theme="1"/>
        <rFont val="Arial"/>
        <family val="2"/>
      </rPr>
      <t xml:space="preserve">, </t>
    </r>
    <r>
      <rPr>
        <sz val="12"/>
        <color rgb="FF0000FF"/>
        <rFont val="Arial"/>
        <family val="2"/>
      </rPr>
      <t>[with | without conduit], [with | without dowels]</t>
    </r>
  </si>
  <si>
    <r>
      <t>Concrete traffic barrier median terminal,</t>
    </r>
    <r>
      <rPr>
        <sz val="12"/>
        <color rgb="FF0000FF"/>
        <rFont val="Arial"/>
        <family val="2"/>
      </rPr>
      <t xml:space="preserve"> [type], [with | without conduit], [with | without dowels]</t>
    </r>
  </si>
  <si>
    <r>
      <t>Galvanised cover assembly at opening for cable pit, number</t>
    </r>
    <r>
      <rPr>
        <sz val="12"/>
        <color rgb="FF0000FF"/>
        <rFont val="Arial"/>
        <family val="2"/>
      </rPr>
      <t xml:space="preserve"> [pit number | type]</t>
    </r>
  </si>
  <si>
    <r>
      <t xml:space="preserve">Split carriageway concrete traffic barrier, </t>
    </r>
    <r>
      <rPr>
        <sz val="12"/>
        <color rgb="FF0000FF"/>
        <rFont val="Arial"/>
        <family val="2"/>
      </rPr>
      <t>[type], [with | without conduit], [with | without dowels]</t>
    </r>
  </si>
  <si>
    <r>
      <t xml:space="preserve">Steel beam guardrail, transition type </t>
    </r>
    <r>
      <rPr>
        <sz val="12"/>
        <color rgb="FF0000FF"/>
        <rFont val="Arial"/>
        <family val="2"/>
      </rPr>
      <t>[number]</t>
    </r>
  </si>
  <si>
    <r>
      <t xml:space="preserve">Supply of noise fence, </t>
    </r>
    <r>
      <rPr>
        <sz val="12"/>
        <color rgb="FF0000FF"/>
        <rFont val="Arial"/>
        <family val="2"/>
      </rPr>
      <t>[height]</t>
    </r>
    <r>
      <rPr>
        <sz val="12"/>
        <color theme="1"/>
        <rFont val="Arial"/>
        <family val="2"/>
      </rPr>
      <t xml:space="preserve"> m high</t>
    </r>
  </si>
  <si>
    <r>
      <t xml:space="preserve">Construction of noise fence, </t>
    </r>
    <r>
      <rPr>
        <sz val="12"/>
        <color rgb="FF0000FF"/>
        <rFont val="Arial"/>
        <family val="2"/>
      </rPr>
      <t xml:space="preserve">[height] </t>
    </r>
    <r>
      <rPr>
        <sz val="12"/>
        <color theme="1"/>
        <rFont val="Arial"/>
        <family val="2"/>
      </rPr>
      <t>m high</t>
    </r>
  </si>
  <si>
    <r>
      <t xml:space="preserve">Supply and construction of noise fence, </t>
    </r>
    <r>
      <rPr>
        <sz val="12"/>
        <color rgb="FF0000FF"/>
        <rFont val="Arial"/>
        <family val="2"/>
      </rPr>
      <t>[height]</t>
    </r>
    <r>
      <rPr>
        <sz val="12"/>
        <color theme="1"/>
        <rFont val="Arial"/>
        <family val="2"/>
      </rPr>
      <t xml:space="preserve"> m high</t>
    </r>
  </si>
  <si>
    <r>
      <t xml:space="preserve">Design, supply and construction of noise fence, </t>
    </r>
    <r>
      <rPr>
        <sz val="12"/>
        <color rgb="FF0000FF"/>
        <rFont val="Arial"/>
        <family val="2"/>
      </rPr>
      <t>[height]</t>
    </r>
    <r>
      <rPr>
        <sz val="12"/>
        <color theme="1"/>
        <rFont val="Arial"/>
        <family val="2"/>
      </rPr>
      <t xml:space="preserve"> m high</t>
    </r>
  </si>
  <si>
    <r>
      <t>Removal and salvage of existing noise fences,</t>
    </r>
    <r>
      <rPr>
        <sz val="12"/>
        <color rgb="FF0000FF"/>
        <rFont val="Arial"/>
        <family val="2"/>
      </rPr>
      <t xml:space="preserve"> [height]</t>
    </r>
    <r>
      <rPr>
        <sz val="12"/>
        <color theme="1"/>
        <rFont val="Arial"/>
        <family val="2"/>
      </rPr>
      <t xml:space="preserve"> m high</t>
    </r>
  </si>
  <si>
    <r>
      <t>Harvesting of site seed material</t>
    </r>
    <r>
      <rPr>
        <sz val="12"/>
        <color rgb="FF0000FF"/>
        <rFont val="Arial"/>
        <family val="2"/>
      </rPr>
      <t xml:space="preserve"> [description]</t>
    </r>
  </si>
  <si>
    <r>
      <t>Harvesting of site plant material</t>
    </r>
    <r>
      <rPr>
        <sz val="12"/>
        <color rgb="FF0000FF"/>
        <rFont val="Arial"/>
        <family val="2"/>
      </rPr>
      <t xml:space="preserve"> [description]</t>
    </r>
  </si>
  <si>
    <r>
      <t>Amelioration agent - agricultural lime, dolomite and/or gypsum (Provisional Quantity)</t>
    </r>
    <r>
      <rPr>
        <sz val="12"/>
        <color rgb="FF0000FF"/>
        <rFont val="Arial"/>
        <family val="2"/>
      </rPr>
      <t xml:space="preserve"> [agricultural lime, agricultural dolomite, agricultural gypsum]</t>
    </r>
  </si>
  <si>
    <r>
      <t>Imported mulch (Provisional Quantity, if ordered)</t>
    </r>
    <r>
      <rPr>
        <sz val="12"/>
        <color rgb="FF0000FF"/>
        <rFont val="Arial"/>
        <family val="2"/>
      </rPr>
      <t xml:space="preserve"> [description]</t>
    </r>
  </si>
  <si>
    <r>
      <t>Manual removal of weeds (Provisional Quantity, if ordered)</t>
    </r>
    <r>
      <rPr>
        <sz val="12"/>
        <color rgb="FF0000FF"/>
        <rFont val="Arial"/>
        <family val="2"/>
      </rPr>
      <t xml:space="preserve"> [description]</t>
    </r>
  </si>
  <si>
    <r>
      <t>Seed mix - Grassland mix</t>
    </r>
    <r>
      <rPr>
        <sz val="12"/>
        <color rgb="FF0000FF"/>
        <rFont val="Arial"/>
        <family val="2"/>
      </rPr>
      <t xml:space="preserve"> [mix name]</t>
    </r>
  </si>
  <si>
    <r>
      <t>Seed mix - Woodland/Forest mix</t>
    </r>
    <r>
      <rPr>
        <sz val="12"/>
        <color rgb="FF0000FF"/>
        <rFont val="Arial"/>
        <family val="2"/>
      </rPr>
      <t xml:space="preserve"> [mix name]</t>
    </r>
  </si>
  <si>
    <r>
      <t xml:space="preserve">Installation of drill seeding </t>
    </r>
    <r>
      <rPr>
        <sz val="12"/>
        <color rgb="FF0000FF"/>
        <rFont val="Arial"/>
        <family val="2"/>
      </rPr>
      <t>[mix name]</t>
    </r>
  </si>
  <si>
    <r>
      <t xml:space="preserve">Installation of broadcast seeding </t>
    </r>
    <r>
      <rPr>
        <sz val="12"/>
        <color rgb="FF0000FF"/>
        <rFont val="Arial"/>
        <family val="2"/>
      </rPr>
      <t>[mix name]</t>
    </r>
  </si>
  <si>
    <r>
      <t>Installation of hydromulch - standard</t>
    </r>
    <r>
      <rPr>
        <sz val="12"/>
        <color rgb="FF0000FF"/>
        <rFont val="Arial"/>
        <family val="2"/>
      </rPr>
      <t xml:space="preserve"> [mix name]</t>
    </r>
  </si>
  <si>
    <r>
      <t xml:space="preserve">Installation of hydromulch - bonded fibre matrix </t>
    </r>
    <r>
      <rPr>
        <sz val="12"/>
        <color rgb="FF0000FF"/>
        <rFont val="Arial"/>
        <family val="2"/>
      </rPr>
      <t>[mix name]</t>
    </r>
  </si>
  <si>
    <r>
      <t xml:space="preserve">Installation of hydro-compost </t>
    </r>
    <r>
      <rPr>
        <sz val="12"/>
        <color rgb="FF0000FF"/>
        <rFont val="Arial"/>
        <family val="2"/>
      </rPr>
      <t>[mix name]</t>
    </r>
  </si>
  <si>
    <r>
      <t>Installation of straw mulching</t>
    </r>
    <r>
      <rPr>
        <sz val="12"/>
        <color rgb="FF0000FF"/>
        <rFont val="Arial"/>
        <family val="2"/>
      </rPr>
      <t xml:space="preserve"> [mix name]</t>
    </r>
  </si>
  <si>
    <r>
      <t xml:space="preserve">Installation of organics blanket </t>
    </r>
    <r>
      <rPr>
        <sz val="12"/>
        <color rgb="FF0000FF"/>
        <rFont val="Arial"/>
        <family val="2"/>
      </rPr>
      <t>[mix name]</t>
    </r>
  </si>
  <si>
    <r>
      <t xml:space="preserve">Installation of seeded organic mesh and emulsion </t>
    </r>
    <r>
      <rPr>
        <sz val="12"/>
        <color rgb="FF0000FF"/>
        <rFont val="Arial"/>
        <family val="2"/>
      </rPr>
      <t>[mix name]</t>
    </r>
  </si>
  <si>
    <r>
      <t>Dividing line, broken 100 mm wide,</t>
    </r>
    <r>
      <rPr>
        <sz val="12"/>
        <color rgb="FF0000FF"/>
        <rFont val="Arial"/>
        <family val="2"/>
      </rPr>
      <t xml:space="preserve"> [line length] </t>
    </r>
    <r>
      <rPr>
        <sz val="12"/>
        <color theme="1"/>
        <rFont val="Arial"/>
        <family val="2"/>
      </rPr>
      <t xml:space="preserve">mm line length, </t>
    </r>
    <r>
      <rPr>
        <sz val="12"/>
        <color rgb="FF0000FF"/>
        <rFont val="Arial"/>
        <family val="2"/>
      </rPr>
      <t>[gap length]</t>
    </r>
    <r>
      <rPr>
        <sz val="12"/>
        <color theme="1"/>
        <rFont val="Arial"/>
        <family val="2"/>
      </rPr>
      <t> mm gap length, colour</t>
    </r>
    <r>
      <rPr>
        <sz val="12"/>
        <color rgb="FF0000FF"/>
        <rFont val="Arial"/>
        <family val="2"/>
      </rPr>
      <t xml:space="preserve"> [colour]</t>
    </r>
    <r>
      <rPr>
        <sz val="12"/>
        <color theme="1"/>
        <rFont val="Arial"/>
        <family val="2"/>
      </rPr>
      <t xml:space="preserve">, material </t>
    </r>
    <r>
      <rPr>
        <sz val="12"/>
        <color rgb="FF0000FF"/>
        <rFont val="Arial"/>
        <family val="2"/>
      </rPr>
      <t>[material]</t>
    </r>
  </si>
  <si>
    <r>
      <t xml:space="preserve">Dividing line, continuous 100 mm wide, </t>
    </r>
    <r>
      <rPr>
        <sz val="12"/>
        <color rgb="FF0000FF"/>
        <rFont val="Arial"/>
        <family val="2"/>
      </rPr>
      <t>[line length] </t>
    </r>
    <r>
      <rPr>
        <sz val="12"/>
        <color theme="1"/>
        <rFont val="Arial"/>
        <family val="2"/>
      </rPr>
      <t xml:space="preserve">mm line length, </t>
    </r>
    <r>
      <rPr>
        <sz val="12"/>
        <color rgb="FF0000FF"/>
        <rFont val="Arial"/>
        <family val="2"/>
      </rPr>
      <t>[gap length]</t>
    </r>
    <r>
      <rPr>
        <sz val="12"/>
        <color theme="1"/>
        <rFont val="Arial"/>
        <family val="2"/>
      </rPr>
      <t> mm gap length, colour</t>
    </r>
    <r>
      <rPr>
        <sz val="12"/>
        <color rgb="FF0000FF"/>
        <rFont val="Arial"/>
        <family val="2"/>
      </rPr>
      <t xml:space="preserve"> [colour]</t>
    </r>
    <r>
      <rPr>
        <sz val="12"/>
        <color theme="1"/>
        <rFont val="Arial"/>
        <family val="2"/>
      </rPr>
      <t>, material</t>
    </r>
    <r>
      <rPr>
        <sz val="12"/>
        <color rgb="FF0000FF"/>
        <rFont val="Arial"/>
        <family val="2"/>
      </rPr>
      <t xml:space="preserve"> [material]</t>
    </r>
  </si>
  <si>
    <r>
      <t xml:space="preserve">Barrier line, one direction, 80 mm wide each line, 80 mm lateral gap between lines, 3000 mm line length and 9000 mm gap length on broken side, colour </t>
    </r>
    <r>
      <rPr>
        <sz val="12"/>
        <color rgb="FF0000FF"/>
        <rFont val="Arial"/>
        <family val="2"/>
      </rPr>
      <t>[colour]</t>
    </r>
    <r>
      <rPr>
        <sz val="12"/>
        <color theme="1"/>
        <rFont val="Arial"/>
        <family val="2"/>
      </rPr>
      <t>, material</t>
    </r>
    <r>
      <rPr>
        <sz val="12"/>
        <color rgb="FF0000FF"/>
        <rFont val="Arial"/>
        <family val="2"/>
      </rPr>
      <t xml:space="preserve"> [material]</t>
    </r>
  </si>
  <si>
    <r>
      <t xml:space="preserve">Barrier line, both directions, 80 mm wide each line, 80 mm lateral gap between lines, colour </t>
    </r>
    <r>
      <rPr>
        <sz val="12"/>
        <color rgb="FF0000FF"/>
        <rFont val="Arial"/>
        <family val="2"/>
      </rPr>
      <t>[colour]</t>
    </r>
    <r>
      <rPr>
        <sz val="12"/>
        <color theme="1"/>
        <rFont val="Arial"/>
        <family val="2"/>
      </rPr>
      <t xml:space="preserve">, material </t>
    </r>
    <r>
      <rPr>
        <sz val="12"/>
        <color rgb="FF0000FF"/>
        <rFont val="Arial"/>
        <family val="2"/>
      </rPr>
      <t>[material]</t>
    </r>
  </si>
  <si>
    <r>
      <t>Lane line, broken, 100 mm wide,</t>
    </r>
    <r>
      <rPr>
        <sz val="12"/>
        <color rgb="FF0000FF"/>
        <rFont val="Arial"/>
        <family val="2"/>
      </rPr>
      <t xml:space="preserve"> [line length] </t>
    </r>
    <r>
      <rPr>
        <sz val="12"/>
        <color theme="1"/>
        <rFont val="Arial"/>
        <family val="2"/>
      </rPr>
      <t>mm line length,</t>
    </r>
    <r>
      <rPr>
        <sz val="12"/>
        <color rgb="FF0000FF"/>
        <rFont val="Arial"/>
        <family val="2"/>
      </rPr>
      <t xml:space="preserve"> [gap length]</t>
    </r>
    <r>
      <rPr>
        <sz val="12"/>
        <color theme="1"/>
        <rFont val="Arial"/>
        <family val="2"/>
      </rPr>
      <t xml:space="preserve"> mm gap length, colour </t>
    </r>
    <r>
      <rPr>
        <sz val="12"/>
        <color rgb="FF0000FF"/>
        <rFont val="Arial"/>
        <family val="2"/>
      </rPr>
      <t>[colour]</t>
    </r>
    <r>
      <rPr>
        <sz val="12"/>
        <color theme="1"/>
        <rFont val="Arial"/>
        <family val="2"/>
      </rPr>
      <t xml:space="preserve">, material </t>
    </r>
    <r>
      <rPr>
        <sz val="12"/>
        <color rgb="FF0000FF"/>
        <rFont val="Arial"/>
        <family val="2"/>
      </rPr>
      <t>[material]</t>
    </r>
  </si>
  <si>
    <r>
      <t xml:space="preserve">Freeway lane line, broken, 150 mm wide, </t>
    </r>
    <r>
      <rPr>
        <sz val="12"/>
        <color rgb="FF0000FF"/>
        <rFont val="Arial"/>
        <family val="2"/>
      </rPr>
      <t>[line length]</t>
    </r>
    <r>
      <rPr>
        <sz val="12"/>
        <color theme="1"/>
        <rFont val="Arial"/>
        <family val="2"/>
      </rPr>
      <t xml:space="preserve"> mm line length, </t>
    </r>
    <r>
      <rPr>
        <sz val="12"/>
        <color rgb="FF0000FF"/>
        <rFont val="Arial"/>
        <family val="2"/>
      </rPr>
      <t>[gap length] </t>
    </r>
    <r>
      <rPr>
        <sz val="12"/>
        <color theme="1"/>
        <rFont val="Arial"/>
        <family val="2"/>
      </rPr>
      <t>mm gap length, colour</t>
    </r>
    <r>
      <rPr>
        <sz val="12"/>
        <color rgb="FF0000FF"/>
        <rFont val="Arial"/>
        <family val="2"/>
      </rPr>
      <t xml:space="preserve"> [colour]</t>
    </r>
    <r>
      <rPr>
        <sz val="12"/>
        <color theme="1"/>
        <rFont val="Arial"/>
        <family val="2"/>
      </rPr>
      <t xml:space="preserve">, material </t>
    </r>
    <r>
      <rPr>
        <sz val="12"/>
        <color rgb="FF0000FF"/>
        <rFont val="Arial"/>
        <family val="2"/>
      </rPr>
      <t>[material]</t>
    </r>
  </si>
  <si>
    <r>
      <t xml:space="preserve">Edge line, 150 mm wide, colour </t>
    </r>
    <r>
      <rPr>
        <sz val="12"/>
        <color rgb="FF0000FF"/>
        <rFont val="Arial"/>
        <family val="2"/>
      </rPr>
      <t>[colour]</t>
    </r>
    <r>
      <rPr>
        <sz val="12"/>
        <color theme="1"/>
        <rFont val="Arial"/>
        <family val="2"/>
      </rPr>
      <t>, material</t>
    </r>
    <r>
      <rPr>
        <sz val="12"/>
        <color rgb="FF0000FF"/>
        <rFont val="Arial"/>
        <family val="2"/>
      </rPr>
      <t xml:space="preserve"> [material]</t>
    </r>
  </si>
  <si>
    <r>
      <t xml:space="preserve">Continuity line, 200 mm wide, colour </t>
    </r>
    <r>
      <rPr>
        <sz val="12"/>
        <color rgb="FF0000FF"/>
        <rFont val="Arial"/>
        <family val="2"/>
      </rPr>
      <t>[colour]</t>
    </r>
    <r>
      <rPr>
        <sz val="12"/>
        <color theme="1"/>
        <rFont val="Arial"/>
        <family val="2"/>
      </rPr>
      <t xml:space="preserve">, material </t>
    </r>
    <r>
      <rPr>
        <sz val="12"/>
        <color rgb="FF0000FF"/>
        <rFont val="Arial"/>
        <family val="2"/>
      </rPr>
      <t>[material]</t>
    </r>
  </si>
  <si>
    <r>
      <t>Turn line, 100 mm wide, colour</t>
    </r>
    <r>
      <rPr>
        <sz val="12"/>
        <color rgb="FF0000FF"/>
        <rFont val="Arial"/>
        <family val="2"/>
      </rPr>
      <t xml:space="preserve"> [colour]</t>
    </r>
    <r>
      <rPr>
        <sz val="12"/>
        <color theme="1"/>
        <rFont val="Arial"/>
        <family val="2"/>
      </rPr>
      <t xml:space="preserve">, material </t>
    </r>
    <r>
      <rPr>
        <sz val="12"/>
        <color rgb="FF0000FF"/>
        <rFont val="Arial"/>
        <family val="2"/>
      </rPr>
      <t>[material]</t>
    </r>
  </si>
  <si>
    <r>
      <t>Outline, 150 mm wide, colour</t>
    </r>
    <r>
      <rPr>
        <sz val="12"/>
        <color rgb="FF0000FF"/>
        <rFont val="Arial"/>
        <family val="2"/>
      </rPr>
      <t xml:space="preserve"> [colour]</t>
    </r>
    <r>
      <rPr>
        <sz val="12"/>
        <color theme="1"/>
        <rFont val="Arial"/>
        <family val="2"/>
      </rPr>
      <t>, material</t>
    </r>
    <r>
      <rPr>
        <sz val="12"/>
        <color rgb="FF0000FF"/>
        <rFont val="Arial"/>
        <family val="2"/>
      </rPr>
      <t xml:space="preserve"> [material]</t>
    </r>
  </si>
  <si>
    <r>
      <t xml:space="preserve">Audio tactile line marking – Edge line, 150 mm wide, 50 mm rib length, 250 mm gap length, 8 mm rib height, </t>
    </r>
    <r>
      <rPr>
        <sz val="12"/>
        <color rgb="FF0000FF"/>
        <rFont val="Arial"/>
        <family val="2"/>
      </rPr>
      <t>[with 1.5 m gap every 20 m for cyclists |with no gaps for cyclists]</t>
    </r>
  </si>
  <si>
    <r>
      <t>Removal of existing longitudinal line,</t>
    </r>
    <r>
      <rPr>
        <sz val="12"/>
        <color rgb="FF0000FF"/>
        <rFont val="Arial"/>
        <family val="2"/>
      </rPr>
      <t xml:space="preserve"> [width]</t>
    </r>
    <r>
      <rPr>
        <sz val="12"/>
        <color theme="1"/>
        <rFont val="Arial"/>
        <family val="2"/>
      </rPr>
      <t> mm wide, by</t>
    </r>
    <r>
      <rPr>
        <sz val="12"/>
        <color rgb="FF0000FF"/>
        <rFont val="Arial"/>
        <family val="2"/>
      </rPr>
      <t xml:space="preserve"> [method of removal]</t>
    </r>
  </si>
  <si>
    <r>
      <t>Removal of existing transverse lines or shapes, by</t>
    </r>
    <r>
      <rPr>
        <sz val="12"/>
        <color rgb="FF0000FF"/>
        <rFont val="Arial"/>
        <family val="2"/>
      </rPr>
      <t xml:space="preserve"> [method of removal]</t>
    </r>
  </si>
  <si>
    <r>
      <t>Removal of existing raised pavement markers, by</t>
    </r>
    <r>
      <rPr>
        <sz val="12"/>
        <color rgb="FF0000FF"/>
        <rFont val="Arial"/>
        <family val="2"/>
      </rPr>
      <t xml:space="preserve"> [method of removal]</t>
    </r>
  </si>
  <si>
    <r>
      <t xml:space="preserve">Supply of </t>
    </r>
    <r>
      <rPr>
        <sz val="12"/>
        <color rgb="FF0000FF"/>
        <rFont val="Arial"/>
        <family val="2"/>
      </rPr>
      <t xml:space="preserve">[diameter] </t>
    </r>
    <r>
      <rPr>
        <sz val="12"/>
        <color theme="1"/>
        <rFont val="Arial"/>
        <family val="2"/>
      </rPr>
      <t>mm,</t>
    </r>
    <r>
      <rPr>
        <sz val="12"/>
        <color rgb="FF0000FF"/>
        <rFont val="Arial"/>
        <family val="2"/>
      </rPr>
      <t xml:space="preserve"> [material], [type]</t>
    </r>
    <r>
      <rPr>
        <sz val="12"/>
        <color theme="1"/>
        <rFont val="Arial"/>
        <family val="2"/>
      </rPr>
      <t xml:space="preserve"> conduit</t>
    </r>
  </si>
  <si>
    <r>
      <t xml:space="preserve">Supply of </t>
    </r>
    <r>
      <rPr>
        <sz val="12"/>
        <color rgb="FF0000FF"/>
        <rFont val="Arial"/>
        <family val="2"/>
      </rPr>
      <t>[diameter]</t>
    </r>
    <r>
      <rPr>
        <sz val="12"/>
        <color theme="1"/>
        <rFont val="Arial"/>
        <family val="2"/>
      </rPr>
      <t xml:space="preserve"> mm</t>
    </r>
    <r>
      <rPr>
        <sz val="12"/>
        <color rgb="FF0000FF"/>
        <rFont val="Arial"/>
        <family val="2"/>
      </rPr>
      <t>, [material], [type]</t>
    </r>
    <r>
      <rPr>
        <sz val="12"/>
        <color theme="1"/>
        <rFont val="Arial"/>
        <family val="2"/>
      </rPr>
      <t xml:space="preserve"> conduit for boring or jacking</t>
    </r>
  </si>
  <si>
    <r>
      <t>Supply of</t>
    </r>
    <r>
      <rPr>
        <sz val="12"/>
        <color rgb="FF0000FF"/>
        <rFont val="Arial"/>
        <family val="2"/>
      </rPr>
      <t xml:space="preserve"> [diameter] </t>
    </r>
    <r>
      <rPr>
        <sz val="12"/>
        <color theme="1"/>
        <rFont val="Arial"/>
        <family val="2"/>
      </rPr>
      <t xml:space="preserve">mm, </t>
    </r>
    <r>
      <rPr>
        <sz val="12"/>
        <color rgb="FF0000FF"/>
        <rFont val="Arial"/>
        <family val="2"/>
      </rPr>
      <t>[angle] °, [material], [type]</t>
    </r>
    <r>
      <rPr>
        <sz val="12"/>
        <color theme="1"/>
        <rFont val="Arial"/>
        <family val="2"/>
      </rPr>
      <t xml:space="preserve"> conduit bend</t>
    </r>
  </si>
  <si>
    <r>
      <t xml:space="preserve">Installation of </t>
    </r>
    <r>
      <rPr>
        <sz val="12"/>
        <color rgb="FF0000FF"/>
        <rFont val="Arial"/>
        <family val="2"/>
      </rPr>
      <t>[No.]</t>
    </r>
    <r>
      <rPr>
        <sz val="12"/>
        <color theme="1"/>
        <rFont val="Arial"/>
        <family val="2"/>
      </rPr>
      <t xml:space="preserve"> of</t>
    </r>
    <r>
      <rPr>
        <sz val="12"/>
        <color rgb="FF0000FF"/>
        <rFont val="Arial"/>
        <family val="2"/>
      </rPr>
      <t xml:space="preserve"> [diameter] </t>
    </r>
    <r>
      <rPr>
        <sz val="12"/>
        <color theme="1"/>
        <rFont val="Arial"/>
        <family val="2"/>
      </rPr>
      <t xml:space="preserve">mm, </t>
    </r>
    <r>
      <rPr>
        <sz val="12"/>
        <color rgb="FF0000FF"/>
        <rFont val="Arial"/>
        <family val="2"/>
      </rPr>
      <t>[material], [type]</t>
    </r>
    <r>
      <rPr>
        <sz val="12"/>
        <color theme="1"/>
        <rFont val="Arial"/>
        <family val="2"/>
      </rPr>
      <t xml:space="preserve"> conduit(s), in</t>
    </r>
    <r>
      <rPr>
        <sz val="12"/>
        <color rgb="FF0000FF"/>
        <rFont val="Arial"/>
        <family val="2"/>
      </rPr>
      <t xml:space="preserve"> [surface]</t>
    </r>
  </si>
  <si>
    <r>
      <t xml:space="preserve">Installation of </t>
    </r>
    <r>
      <rPr>
        <sz val="12"/>
        <color rgb="FF0000FF"/>
        <rFont val="Arial"/>
        <family val="2"/>
      </rPr>
      <t>[No.]</t>
    </r>
    <r>
      <rPr>
        <sz val="12"/>
        <color theme="1"/>
        <rFont val="Arial"/>
        <family val="2"/>
      </rPr>
      <t xml:space="preserve"> of </t>
    </r>
    <r>
      <rPr>
        <sz val="12"/>
        <color rgb="FF0000FF"/>
        <rFont val="Arial"/>
        <family val="2"/>
      </rPr>
      <t>[diameter]</t>
    </r>
    <r>
      <rPr>
        <sz val="12"/>
        <color theme="1"/>
        <rFont val="Arial"/>
        <family val="2"/>
      </rPr>
      <t xml:space="preserve"> mm, </t>
    </r>
    <r>
      <rPr>
        <sz val="12"/>
        <color rgb="FF0000FF"/>
        <rFont val="Arial"/>
        <family val="2"/>
      </rPr>
      <t>[material], [type]</t>
    </r>
    <r>
      <rPr>
        <sz val="12"/>
        <color theme="1"/>
        <rFont val="Arial"/>
        <family val="2"/>
      </rPr>
      <t xml:space="preserve"> conduit(s) and </t>
    </r>
    <r>
      <rPr>
        <sz val="12"/>
        <color rgb="FF0000FF"/>
        <rFont val="Arial"/>
        <family val="2"/>
      </rPr>
      <t>[No.]</t>
    </r>
    <r>
      <rPr>
        <sz val="12"/>
        <color theme="1"/>
        <rFont val="Arial"/>
        <family val="2"/>
      </rPr>
      <t xml:space="preserve"> of </t>
    </r>
    <r>
      <rPr>
        <sz val="12"/>
        <color rgb="FF0000FF"/>
        <rFont val="Arial"/>
        <family val="2"/>
      </rPr>
      <t xml:space="preserve">[diameter] </t>
    </r>
    <r>
      <rPr>
        <sz val="12"/>
        <color theme="1"/>
        <rFont val="Arial"/>
        <family val="2"/>
      </rPr>
      <t xml:space="preserve">mm, </t>
    </r>
    <r>
      <rPr>
        <sz val="12"/>
        <color rgb="FF0000FF"/>
        <rFont val="Arial"/>
        <family val="2"/>
      </rPr>
      <t>[material]</t>
    </r>
    <r>
      <rPr>
        <sz val="12"/>
        <color theme="1"/>
        <rFont val="Arial"/>
        <family val="2"/>
      </rPr>
      <t xml:space="preserve">, </t>
    </r>
    <r>
      <rPr>
        <sz val="12"/>
        <color rgb="FF0000FF"/>
        <rFont val="Arial"/>
        <family val="2"/>
      </rPr>
      <t>[type]</t>
    </r>
    <r>
      <rPr>
        <sz val="12"/>
        <color theme="1"/>
        <rFont val="Arial"/>
        <family val="2"/>
      </rPr>
      <t xml:space="preserve"> conduit(s), in a shared trench, in</t>
    </r>
    <r>
      <rPr>
        <sz val="12"/>
        <color rgb="FF0000FF"/>
        <rFont val="Arial"/>
        <family val="2"/>
      </rPr>
      <t xml:space="preserve"> [surface]</t>
    </r>
  </si>
  <si>
    <r>
      <t>Installation of</t>
    </r>
    <r>
      <rPr>
        <sz val="12"/>
        <color rgb="FF0000FF"/>
        <rFont val="Arial"/>
        <family val="2"/>
      </rPr>
      <t xml:space="preserve"> [diameter]</t>
    </r>
    <r>
      <rPr>
        <sz val="12"/>
        <color theme="1"/>
        <rFont val="Arial"/>
        <family val="2"/>
      </rPr>
      <t xml:space="preserve"> mm, </t>
    </r>
    <r>
      <rPr>
        <sz val="12"/>
        <color rgb="FF0000FF"/>
        <rFont val="Arial"/>
        <family val="2"/>
      </rPr>
      <t>[material], [type</t>
    </r>
    <r>
      <rPr>
        <sz val="12"/>
        <color theme="1"/>
        <rFont val="Arial"/>
        <family val="2"/>
      </rPr>
      <t>] conduit, bored or jacked</t>
    </r>
  </si>
  <si>
    <r>
      <t xml:space="preserve">Supply and installation of </t>
    </r>
    <r>
      <rPr>
        <sz val="12"/>
        <color rgb="FF0000FF"/>
        <rFont val="Arial"/>
        <family val="2"/>
      </rPr>
      <t xml:space="preserve">[No.] </t>
    </r>
    <r>
      <rPr>
        <sz val="12"/>
        <color theme="1"/>
        <rFont val="Arial"/>
        <family val="2"/>
      </rPr>
      <t>of</t>
    </r>
    <r>
      <rPr>
        <sz val="12"/>
        <color rgb="FF0000FF"/>
        <rFont val="Arial"/>
        <family val="2"/>
      </rPr>
      <t xml:space="preserve"> [diameter]</t>
    </r>
    <r>
      <rPr>
        <sz val="12"/>
        <color theme="1"/>
        <rFont val="Arial"/>
        <family val="2"/>
      </rPr>
      <t xml:space="preserve"> mm, </t>
    </r>
    <r>
      <rPr>
        <sz val="12"/>
        <color rgb="FF0000FF"/>
        <rFont val="Arial"/>
        <family val="2"/>
      </rPr>
      <t xml:space="preserve">[material], [type] </t>
    </r>
    <r>
      <rPr>
        <sz val="12"/>
        <color theme="1"/>
        <rFont val="Arial"/>
        <family val="2"/>
      </rPr>
      <t>conduit(s), in</t>
    </r>
    <r>
      <rPr>
        <sz val="12"/>
        <color rgb="FF0000FF"/>
        <rFont val="Arial"/>
        <family val="2"/>
      </rPr>
      <t xml:space="preserve"> [surface]</t>
    </r>
  </si>
  <si>
    <r>
      <t xml:space="preserve">Supply and installation of </t>
    </r>
    <r>
      <rPr>
        <sz val="12"/>
        <color rgb="FF0000FF"/>
        <rFont val="Arial"/>
        <family val="2"/>
      </rPr>
      <t xml:space="preserve">[diameter] </t>
    </r>
    <r>
      <rPr>
        <sz val="12"/>
        <color theme="1"/>
        <rFont val="Arial"/>
        <family val="2"/>
      </rPr>
      <t>mm</t>
    </r>
    <r>
      <rPr>
        <sz val="12"/>
        <color rgb="FF0000FF"/>
        <rFont val="Arial"/>
        <family val="2"/>
      </rPr>
      <t xml:space="preserve">, [material], [type] </t>
    </r>
    <r>
      <rPr>
        <sz val="12"/>
        <color theme="1"/>
        <rFont val="Arial"/>
        <family val="2"/>
      </rPr>
      <t>conduit, bored or jacked</t>
    </r>
  </si>
  <si>
    <r>
      <t xml:space="preserve">Installation of </t>
    </r>
    <r>
      <rPr>
        <sz val="12"/>
        <color rgb="FF0000FF"/>
        <rFont val="Arial"/>
        <family val="2"/>
      </rPr>
      <t>[No.]</t>
    </r>
    <r>
      <rPr>
        <sz val="12"/>
        <color theme="1"/>
        <rFont val="Arial"/>
        <family val="2"/>
      </rPr>
      <t xml:space="preserve"> of </t>
    </r>
    <r>
      <rPr>
        <sz val="12"/>
        <color rgb="FF0000FF"/>
        <rFont val="Arial"/>
        <family val="2"/>
      </rPr>
      <t>[diameter]</t>
    </r>
    <r>
      <rPr>
        <sz val="12"/>
        <color theme="1"/>
        <rFont val="Arial"/>
        <family val="2"/>
      </rPr>
      <t xml:space="preserve"> mm, </t>
    </r>
    <r>
      <rPr>
        <sz val="12"/>
        <color rgb="FF0000FF"/>
        <rFont val="Arial"/>
        <family val="2"/>
      </rPr>
      <t>[material]</t>
    </r>
    <r>
      <rPr>
        <sz val="12"/>
        <color theme="1"/>
        <rFont val="Arial"/>
        <family val="2"/>
      </rPr>
      <t>,</t>
    </r>
    <r>
      <rPr>
        <sz val="12"/>
        <color rgb="FF0000FF"/>
        <rFont val="Arial"/>
        <family val="2"/>
      </rPr>
      <t xml:space="preserve"> [type]</t>
    </r>
    <r>
      <rPr>
        <sz val="12"/>
        <color theme="1"/>
        <rFont val="Arial"/>
        <family val="2"/>
      </rPr>
      <t xml:space="preserve"> conduit(s) in concrete structure / barrier</t>
    </r>
  </si>
  <si>
    <r>
      <t>Supply of</t>
    </r>
    <r>
      <rPr>
        <sz val="12"/>
        <color rgb="FF0000FF"/>
        <rFont val="Arial"/>
        <family val="2"/>
      </rPr>
      <t xml:space="preserve"> [diameter]</t>
    </r>
    <r>
      <rPr>
        <sz val="12"/>
        <color theme="1"/>
        <rFont val="Arial"/>
        <family val="2"/>
      </rPr>
      <t xml:space="preserve"> mm,</t>
    </r>
    <r>
      <rPr>
        <sz val="12"/>
        <color rgb="FF0000FF"/>
        <rFont val="Arial"/>
        <family val="2"/>
      </rPr>
      <t xml:space="preserve"> [material], [type]</t>
    </r>
    <r>
      <rPr>
        <sz val="12"/>
        <color theme="1"/>
        <rFont val="Arial"/>
        <family val="2"/>
      </rPr>
      <t xml:space="preserve"> conduit, suitable for mounting on a surface</t>
    </r>
  </si>
  <si>
    <r>
      <t xml:space="preserve">Supply of </t>
    </r>
    <r>
      <rPr>
        <sz val="12"/>
        <color rgb="FF0000FF"/>
        <rFont val="Arial"/>
        <family val="2"/>
      </rPr>
      <t xml:space="preserve">[diameter] </t>
    </r>
    <r>
      <rPr>
        <sz val="12"/>
        <color theme="1"/>
        <rFont val="Arial"/>
        <family val="2"/>
      </rPr>
      <t xml:space="preserve">mm, </t>
    </r>
    <r>
      <rPr>
        <sz val="12"/>
        <color rgb="FF0000FF"/>
        <rFont val="Arial"/>
        <family val="2"/>
      </rPr>
      <t>[angle] °</t>
    </r>
    <r>
      <rPr>
        <sz val="12"/>
        <color theme="1"/>
        <rFont val="Arial"/>
        <family val="2"/>
      </rPr>
      <t>,</t>
    </r>
    <r>
      <rPr>
        <sz val="12"/>
        <color rgb="FF0000FF"/>
        <rFont val="Arial"/>
        <family val="2"/>
      </rPr>
      <t xml:space="preserve"> [material], [type] </t>
    </r>
    <r>
      <rPr>
        <sz val="12"/>
        <color theme="1"/>
        <rFont val="Arial"/>
        <family val="2"/>
      </rPr>
      <t>conduit bend suitable for mounting on a surface</t>
    </r>
  </si>
  <si>
    <r>
      <t>Installation of</t>
    </r>
    <r>
      <rPr>
        <sz val="12"/>
        <color rgb="FF0000FF"/>
        <rFont val="Arial"/>
        <family val="2"/>
      </rPr>
      <t xml:space="preserve"> [No.]</t>
    </r>
    <r>
      <rPr>
        <sz val="12"/>
        <color theme="1"/>
        <rFont val="Arial"/>
        <family val="2"/>
      </rPr>
      <t xml:space="preserve"> of </t>
    </r>
    <r>
      <rPr>
        <sz val="12"/>
        <color rgb="FF0000FF"/>
        <rFont val="Arial"/>
        <family val="2"/>
      </rPr>
      <t>[diameter]</t>
    </r>
    <r>
      <rPr>
        <sz val="12"/>
        <color theme="1"/>
        <rFont val="Arial"/>
        <family val="2"/>
      </rPr>
      <t xml:space="preserve"> mm, </t>
    </r>
    <r>
      <rPr>
        <sz val="12"/>
        <color rgb="FF0000FF"/>
        <rFont val="Arial"/>
        <family val="2"/>
      </rPr>
      <t>[material], [type]</t>
    </r>
    <r>
      <rPr>
        <sz val="12"/>
        <color theme="1"/>
        <rFont val="Arial"/>
        <family val="2"/>
      </rPr>
      <t xml:space="preserve"> conduit(s), surface mounted</t>
    </r>
  </si>
  <si>
    <r>
      <t>Replacement of cable jointing pit cover</t>
    </r>
    <r>
      <rPr>
        <sz val="12"/>
        <color rgb="FF0000FF"/>
        <rFont val="Arial"/>
        <family val="2"/>
      </rPr>
      <t xml:space="preserve"> [type]</t>
    </r>
  </si>
  <si>
    <r>
      <t xml:space="preserve">Supply of cable jointing pit </t>
    </r>
    <r>
      <rPr>
        <sz val="12"/>
        <color rgb="FF0000FF"/>
        <rFont val="Arial"/>
        <family val="2"/>
      </rPr>
      <t>[type]</t>
    </r>
  </si>
  <si>
    <r>
      <t>Supply of conduit bell mouth of</t>
    </r>
    <r>
      <rPr>
        <sz val="12"/>
        <color rgb="FF0000FF"/>
        <rFont val="Arial"/>
        <family val="2"/>
      </rPr>
      <t xml:space="preserve"> [diameter to suit pit [type]</t>
    </r>
  </si>
  <si>
    <r>
      <t xml:space="preserve">Installation of cable jointing pit </t>
    </r>
    <r>
      <rPr>
        <sz val="12"/>
        <color rgb="FF0000FF"/>
        <rFont val="Arial"/>
        <family val="2"/>
      </rPr>
      <t>[type]</t>
    </r>
  </si>
  <si>
    <r>
      <t>Supply of traffic signal equipment,</t>
    </r>
    <r>
      <rPr>
        <sz val="12"/>
        <color rgb="FF0000FF"/>
        <rFont val="Arial"/>
        <family val="2"/>
      </rPr>
      <t xml:space="preserve"> [description]</t>
    </r>
  </si>
  <si>
    <r>
      <t xml:space="preserve">Installation of traffic signal equipment, </t>
    </r>
    <r>
      <rPr>
        <sz val="12"/>
        <color rgb="FF0000FF"/>
        <rFont val="Arial"/>
        <family val="2"/>
      </rPr>
      <t>[description]</t>
    </r>
  </si>
  <si>
    <r>
      <t>Supply and installation of traffic signal equipment,</t>
    </r>
    <r>
      <rPr>
        <sz val="12"/>
        <color rgb="FF0000FF"/>
        <rFont val="Arial"/>
        <family val="2"/>
      </rPr>
      <t xml:space="preserve"> [description]</t>
    </r>
  </si>
  <si>
    <r>
      <t xml:space="preserve">Supply of traffic signal post, </t>
    </r>
    <r>
      <rPr>
        <sz val="12"/>
        <color rgb="FF0000FF"/>
        <rFont val="Arial"/>
        <family val="2"/>
      </rPr>
      <t>[length]</t>
    </r>
    <r>
      <rPr>
        <sz val="12"/>
        <color theme="1"/>
        <rFont val="Arial"/>
        <family val="2"/>
      </rPr>
      <t xml:space="preserve"> metres long,</t>
    </r>
    <r>
      <rPr>
        <sz val="12"/>
        <color rgb="FF0000FF"/>
        <rFont val="Arial"/>
        <family val="2"/>
      </rPr>
      <t xml:space="preserve"> [with | without]</t>
    </r>
    <r>
      <rPr>
        <sz val="12"/>
        <color theme="1"/>
        <rFont val="Arial"/>
        <family val="2"/>
      </rPr>
      <t xml:space="preserve"> hinged baseplate</t>
    </r>
  </si>
  <si>
    <r>
      <t xml:space="preserve">Supply of traffic signal mast arm </t>
    </r>
    <r>
      <rPr>
        <sz val="12"/>
        <color rgb="FF0000FF"/>
        <rFont val="Arial"/>
        <family val="2"/>
      </rPr>
      <t xml:space="preserve">[with | without] </t>
    </r>
    <r>
      <rPr>
        <sz val="12"/>
        <color theme="1"/>
        <rFont val="Arial"/>
        <family val="2"/>
      </rPr>
      <t>road lighting luminaire spigot, with a</t>
    </r>
    <r>
      <rPr>
        <sz val="12"/>
        <color rgb="FF0000FF"/>
        <rFont val="Arial"/>
        <family val="2"/>
      </rPr>
      <t xml:space="preserve"> [length] </t>
    </r>
    <r>
      <rPr>
        <sz val="12"/>
        <color theme="1"/>
        <rFont val="Arial"/>
        <family val="2"/>
      </rPr>
      <t>metre long outreach arm</t>
    </r>
    <r>
      <rPr>
        <sz val="12"/>
        <color rgb="FF0000FF"/>
        <rFont val="Arial"/>
        <family val="2"/>
      </rPr>
      <t>, [with a [length] mm long luminaire transition piece]</t>
    </r>
  </si>
  <si>
    <r>
      <t xml:space="preserve">Supply of joint use traffic signal and road lighting pole, </t>
    </r>
    <r>
      <rPr>
        <sz val="12"/>
        <color rgb="FF0000FF"/>
        <rFont val="Arial"/>
        <family val="2"/>
      </rPr>
      <t>[length]</t>
    </r>
    <r>
      <rPr>
        <sz val="12"/>
        <color theme="1"/>
        <rFont val="Arial"/>
        <family val="2"/>
      </rPr>
      <t xml:space="preserve"> metres long</t>
    </r>
  </si>
  <si>
    <r>
      <t>Supply of push button post,</t>
    </r>
    <r>
      <rPr>
        <sz val="12"/>
        <color rgb="FF0000FF"/>
        <rFont val="Arial"/>
        <family val="2"/>
      </rPr>
      <t xml:space="preserve"> [length]</t>
    </r>
    <r>
      <rPr>
        <sz val="12"/>
        <color theme="1"/>
        <rFont val="Arial"/>
        <family val="2"/>
      </rPr>
      <t xml:space="preserve"> metres long,</t>
    </r>
    <r>
      <rPr>
        <sz val="12"/>
        <color rgb="FF0000FF"/>
        <rFont val="Arial"/>
        <family val="2"/>
      </rPr>
      <t xml:space="preserve"> [with | without] </t>
    </r>
    <r>
      <rPr>
        <sz val="12"/>
        <color theme="1"/>
        <rFont val="Arial"/>
        <family val="2"/>
      </rPr>
      <t>hinged baseplate</t>
    </r>
  </si>
  <si>
    <r>
      <t>Installation of traffic signal post,</t>
    </r>
    <r>
      <rPr>
        <sz val="12"/>
        <color rgb="FF0000FF"/>
        <rFont val="Arial"/>
        <family val="2"/>
      </rPr>
      <t xml:space="preserve"> [length]</t>
    </r>
    <r>
      <rPr>
        <sz val="12"/>
        <color theme="1"/>
        <rFont val="Arial"/>
        <family val="2"/>
      </rPr>
      <t xml:space="preserve"> metres long, </t>
    </r>
    <r>
      <rPr>
        <sz val="12"/>
        <color rgb="FF0000FF"/>
        <rFont val="Arial"/>
        <family val="2"/>
      </rPr>
      <t>[with | without]</t>
    </r>
    <r>
      <rPr>
        <sz val="12"/>
        <color theme="1"/>
        <rFont val="Arial"/>
        <family val="2"/>
      </rPr>
      <t xml:space="preserve"> hinged baseplate</t>
    </r>
  </si>
  <si>
    <r>
      <t>Installation of traffic signal mast arm</t>
    </r>
    <r>
      <rPr>
        <sz val="12"/>
        <color rgb="FF0000FF"/>
        <rFont val="Arial"/>
        <family val="2"/>
      </rPr>
      <t xml:space="preserve"> [with | without] r</t>
    </r>
    <r>
      <rPr>
        <sz val="12"/>
        <color theme="1"/>
        <rFont val="Arial"/>
        <family val="2"/>
      </rPr>
      <t xml:space="preserve">oad lighting luminaire spigot, with </t>
    </r>
    <r>
      <rPr>
        <sz val="12"/>
        <color rgb="FF0000FF"/>
        <rFont val="Arial"/>
        <family val="2"/>
      </rPr>
      <t xml:space="preserve">[length] </t>
    </r>
    <r>
      <rPr>
        <sz val="12"/>
        <color theme="1"/>
        <rFont val="Arial"/>
        <family val="2"/>
      </rPr>
      <t>metres long outreach arm</t>
    </r>
  </si>
  <si>
    <r>
      <t>Installation of joint use traffic signal and road lighting pole,</t>
    </r>
    <r>
      <rPr>
        <sz val="12"/>
        <color rgb="FF0000FF"/>
        <rFont val="Arial"/>
        <family val="2"/>
      </rPr>
      <t xml:space="preserve"> [length] </t>
    </r>
    <r>
      <rPr>
        <sz val="12"/>
        <color theme="1"/>
        <rFont val="Arial"/>
        <family val="2"/>
      </rPr>
      <t>metres long</t>
    </r>
  </si>
  <si>
    <r>
      <t xml:space="preserve">Installation of push button post, </t>
    </r>
    <r>
      <rPr>
        <sz val="12"/>
        <color rgb="FF0000FF"/>
        <rFont val="Arial"/>
        <family val="2"/>
      </rPr>
      <t xml:space="preserve">[length] </t>
    </r>
    <r>
      <rPr>
        <sz val="12"/>
        <color theme="1"/>
        <rFont val="Arial"/>
        <family val="2"/>
      </rPr>
      <t xml:space="preserve">metres long, </t>
    </r>
    <r>
      <rPr>
        <sz val="12"/>
        <color rgb="FF0000FF"/>
        <rFont val="Arial"/>
        <family val="2"/>
      </rPr>
      <t xml:space="preserve">[with | without] </t>
    </r>
    <r>
      <rPr>
        <sz val="12"/>
        <color theme="1"/>
        <rFont val="Arial"/>
        <family val="2"/>
      </rPr>
      <t>hinged baseplate</t>
    </r>
  </si>
  <si>
    <r>
      <t>Supply and installation of traffic signal post,</t>
    </r>
    <r>
      <rPr>
        <sz val="12"/>
        <color rgb="FF0000FF"/>
        <rFont val="Arial"/>
        <family val="2"/>
      </rPr>
      <t xml:space="preserve"> [length]</t>
    </r>
    <r>
      <rPr>
        <sz val="12"/>
        <color theme="1"/>
        <rFont val="Arial"/>
        <family val="2"/>
      </rPr>
      <t xml:space="preserve"> metres long,</t>
    </r>
    <r>
      <rPr>
        <sz val="12"/>
        <color rgb="FF0000FF"/>
        <rFont val="Arial"/>
        <family val="2"/>
      </rPr>
      <t xml:space="preserve"> [with | without] </t>
    </r>
    <r>
      <rPr>
        <sz val="12"/>
        <color theme="1"/>
        <rFont val="Arial"/>
        <family val="2"/>
      </rPr>
      <t>hinged baseplate</t>
    </r>
  </si>
  <si>
    <r>
      <t>Supply and installation of traffic signal mast arm</t>
    </r>
    <r>
      <rPr>
        <sz val="12"/>
        <color rgb="FF0000FF"/>
        <rFont val="Arial"/>
        <family val="2"/>
      </rPr>
      <t xml:space="preserve"> [with | without] </t>
    </r>
    <r>
      <rPr>
        <sz val="12"/>
        <color theme="1"/>
        <rFont val="Arial"/>
        <family val="2"/>
      </rPr>
      <t xml:space="preserve">road lighting luminaire spigot, with </t>
    </r>
    <r>
      <rPr>
        <sz val="12"/>
        <color rgb="FF0000FF"/>
        <rFont val="Arial"/>
        <family val="2"/>
      </rPr>
      <t xml:space="preserve">[length] </t>
    </r>
    <r>
      <rPr>
        <sz val="12"/>
        <color theme="1"/>
        <rFont val="Arial"/>
        <family val="2"/>
      </rPr>
      <t xml:space="preserve">metres long outreach arm, </t>
    </r>
    <r>
      <rPr>
        <sz val="12"/>
        <color rgb="FF0000FF"/>
        <rFont val="Arial"/>
        <family val="2"/>
      </rPr>
      <t>[with [length] mm long luminaire transition piece]</t>
    </r>
  </si>
  <si>
    <r>
      <t>Supply and installation of joint use traffic signal and road lighting pole,</t>
    </r>
    <r>
      <rPr>
        <sz val="12"/>
        <color rgb="FF0000FF"/>
        <rFont val="Arial"/>
        <family val="2"/>
      </rPr>
      <t xml:space="preserve"> [length] </t>
    </r>
    <r>
      <rPr>
        <sz val="12"/>
        <color theme="1"/>
        <rFont val="Arial"/>
        <family val="2"/>
      </rPr>
      <t>metres long</t>
    </r>
  </si>
  <si>
    <r>
      <t>Supply and installation of push button post, [length] metres long,</t>
    </r>
    <r>
      <rPr>
        <sz val="12"/>
        <color rgb="FF0000FF"/>
        <rFont val="Arial"/>
        <family val="2"/>
      </rPr>
      <t xml:space="preserve"> [with | without] </t>
    </r>
    <r>
      <rPr>
        <sz val="12"/>
        <color theme="1"/>
        <rFont val="Arial"/>
        <family val="2"/>
      </rPr>
      <t>hinged baseplate</t>
    </r>
  </si>
  <si>
    <r>
      <t>Supply of traffic signal lantern,</t>
    </r>
    <r>
      <rPr>
        <sz val="12"/>
        <color rgb="FF0000FF"/>
        <rFont val="Arial"/>
        <family val="2"/>
      </rPr>
      <t xml:space="preserve"> [LED | QH]</t>
    </r>
    <r>
      <rPr>
        <sz val="12"/>
        <color theme="1"/>
        <rFont val="Arial"/>
        <family val="2"/>
      </rPr>
      <t xml:space="preserve">, </t>
    </r>
    <r>
      <rPr>
        <sz val="12"/>
        <color rgb="FF0000FF"/>
        <rFont val="Arial"/>
        <family val="2"/>
      </rPr>
      <t xml:space="preserve">[number of aspects] </t>
    </r>
    <r>
      <rPr>
        <sz val="12"/>
        <color theme="1"/>
        <rFont val="Arial"/>
        <family val="2"/>
      </rPr>
      <t xml:space="preserve">aspect, </t>
    </r>
    <r>
      <rPr>
        <sz val="12"/>
        <color rgb="FF0000FF"/>
        <rFont val="Arial"/>
        <family val="2"/>
      </rPr>
      <t>[diameter]</t>
    </r>
    <r>
      <rPr>
        <sz val="12"/>
        <color theme="1"/>
        <rFont val="Arial"/>
        <family val="2"/>
      </rPr>
      <t xml:space="preserve"> mm aspect diameter</t>
    </r>
  </si>
  <si>
    <r>
      <t>Supply of pedestrian lantern,</t>
    </r>
    <r>
      <rPr>
        <sz val="12"/>
        <color rgb="FF0000FF"/>
        <rFont val="Arial"/>
        <family val="2"/>
      </rPr>
      <t xml:space="preserve"> [LED | QH]</t>
    </r>
  </si>
  <si>
    <r>
      <t xml:space="preserve">Supply of target board, </t>
    </r>
    <r>
      <rPr>
        <sz val="12"/>
        <color rgb="FF0000FF"/>
        <rFont val="Arial"/>
        <family val="2"/>
      </rPr>
      <t>[single | double]</t>
    </r>
  </si>
  <si>
    <r>
      <t>Installation of</t>
    </r>
    <r>
      <rPr>
        <sz val="12"/>
        <color rgb="FF0000FF"/>
        <rFont val="Arial"/>
        <family val="2"/>
      </rPr>
      <t xml:space="preserve"> [overhead mounted | ground mounted]</t>
    </r>
    <r>
      <rPr>
        <sz val="12"/>
        <color theme="1"/>
        <rFont val="Arial"/>
        <family val="2"/>
      </rPr>
      <t xml:space="preserve"> traffic signal lantern,</t>
    </r>
    <r>
      <rPr>
        <sz val="12"/>
        <color rgb="FF0000FF"/>
        <rFont val="Arial"/>
        <family val="2"/>
      </rPr>
      <t xml:space="preserve"> [number of aspects] </t>
    </r>
    <r>
      <rPr>
        <sz val="12"/>
        <color theme="1"/>
        <rFont val="Arial"/>
        <family val="2"/>
      </rPr>
      <t>aspect,</t>
    </r>
    <r>
      <rPr>
        <sz val="12"/>
        <color rgb="FF0000FF"/>
        <rFont val="Arial"/>
        <family val="2"/>
      </rPr>
      <t xml:space="preserve"> [diameter] </t>
    </r>
    <r>
      <rPr>
        <sz val="12"/>
        <color theme="1"/>
        <rFont val="Arial"/>
        <family val="2"/>
      </rPr>
      <t>mm aspect diameter</t>
    </r>
  </si>
  <si>
    <r>
      <t xml:space="preserve">Installation of target board, </t>
    </r>
    <r>
      <rPr>
        <sz val="12"/>
        <color rgb="FF0000FF"/>
        <rFont val="Arial"/>
        <family val="2"/>
      </rPr>
      <t>[single | double]</t>
    </r>
  </si>
  <si>
    <r>
      <t xml:space="preserve">Supply and installation of </t>
    </r>
    <r>
      <rPr>
        <sz val="12"/>
        <color rgb="FF0000FF"/>
        <rFont val="Arial"/>
        <family val="2"/>
      </rPr>
      <t>[overhead mounted | ground mounted]</t>
    </r>
    <r>
      <rPr>
        <sz val="12"/>
        <color theme="1"/>
        <rFont val="Arial"/>
        <family val="2"/>
      </rPr>
      <t xml:space="preserve"> traffic signal lantern,</t>
    </r>
    <r>
      <rPr>
        <sz val="12"/>
        <color rgb="FF0000FF"/>
        <rFont val="Arial"/>
        <family val="2"/>
      </rPr>
      <t xml:space="preserve"> [LED | QH]</t>
    </r>
    <r>
      <rPr>
        <sz val="12"/>
        <color theme="1"/>
        <rFont val="Arial"/>
        <family val="2"/>
      </rPr>
      <t xml:space="preserve">, </t>
    </r>
    <r>
      <rPr>
        <sz val="12"/>
        <color rgb="FF0000FF"/>
        <rFont val="Arial"/>
        <family val="2"/>
      </rPr>
      <t xml:space="preserve">[number of aspects] </t>
    </r>
    <r>
      <rPr>
        <sz val="12"/>
        <color theme="1"/>
        <rFont val="Arial"/>
        <family val="2"/>
      </rPr>
      <t xml:space="preserve">aspect, </t>
    </r>
    <r>
      <rPr>
        <sz val="12"/>
        <color rgb="FF0000FF"/>
        <rFont val="Arial"/>
        <family val="2"/>
      </rPr>
      <t>[diameter]</t>
    </r>
    <r>
      <rPr>
        <sz val="12"/>
        <color theme="1"/>
        <rFont val="Arial"/>
        <family val="2"/>
      </rPr>
      <t xml:space="preserve"> mm aspect diameter, and</t>
    </r>
    <r>
      <rPr>
        <sz val="12"/>
        <color rgb="FF0000FF"/>
        <rFont val="Arial"/>
        <family val="2"/>
      </rPr>
      <t xml:space="preserve"> [single | double] </t>
    </r>
    <r>
      <rPr>
        <sz val="12"/>
        <color theme="1"/>
        <rFont val="Arial"/>
        <family val="2"/>
      </rPr>
      <t>target board</t>
    </r>
  </si>
  <si>
    <r>
      <t>Supply and installation of pedestrian lantern,</t>
    </r>
    <r>
      <rPr>
        <sz val="12"/>
        <color rgb="FF0000FF"/>
        <rFont val="Arial"/>
        <family val="2"/>
      </rPr>
      <t xml:space="preserve"> [LED | QH]</t>
    </r>
  </si>
  <si>
    <r>
      <t xml:space="preserve">Supply of traffic signal pedestrian push button, </t>
    </r>
    <r>
      <rPr>
        <sz val="12"/>
        <color rgb="FF0000FF"/>
        <rFont val="Arial"/>
        <family val="2"/>
      </rPr>
      <t>[standard | audio-tactile]</t>
    </r>
  </si>
  <si>
    <r>
      <t>Installation of traffic signal pedestrian push button,</t>
    </r>
    <r>
      <rPr>
        <sz val="12"/>
        <color rgb="FF0000FF"/>
        <rFont val="Arial"/>
        <family val="2"/>
      </rPr>
      <t xml:space="preserve"> [standard | audio-tactile]</t>
    </r>
  </si>
  <si>
    <r>
      <t>Supply and installation of traffic signal pedestrian push button,</t>
    </r>
    <r>
      <rPr>
        <sz val="12"/>
        <color rgb="FF0000FF"/>
        <rFont val="Arial"/>
        <family val="2"/>
      </rPr>
      <t xml:space="preserve"> [standard | audio-tactile]</t>
    </r>
  </si>
  <si>
    <r>
      <t>Supply and installation of vehicle detector loops,</t>
    </r>
    <r>
      <rPr>
        <sz val="12"/>
        <color rgb="FF0000FF"/>
        <rFont val="Arial"/>
        <family val="2"/>
      </rPr>
      <t xml:space="preserve"> [description]</t>
    </r>
  </si>
  <si>
    <r>
      <t xml:space="preserve">Installation of traffic signal controller, </t>
    </r>
    <r>
      <rPr>
        <sz val="12"/>
        <color rgb="FF0000FF"/>
        <rFont val="Arial"/>
        <family val="2"/>
      </rPr>
      <t>[description of traffic signal site]</t>
    </r>
  </si>
  <si>
    <r>
      <t>Supply and installation of traffic signal controller,</t>
    </r>
    <r>
      <rPr>
        <sz val="12"/>
        <color rgb="FF0000FF"/>
        <rFont val="Arial"/>
        <family val="2"/>
      </rPr>
      <t xml:space="preserve"> [description of traffic signal site]</t>
    </r>
  </si>
  <si>
    <r>
      <t xml:space="preserve">Modification to existing traffic signal controller, </t>
    </r>
    <r>
      <rPr>
        <sz val="12"/>
        <color rgb="FF0000FF"/>
        <rFont val="Arial"/>
        <family val="2"/>
      </rPr>
      <t>[description of traffic signal site], [location]</t>
    </r>
  </si>
  <si>
    <r>
      <t xml:space="preserve">Removal of traffic signal equipment for salvage, </t>
    </r>
    <r>
      <rPr>
        <sz val="12"/>
        <color rgb="FF0000FF"/>
        <rFont val="Arial"/>
        <family val="2"/>
      </rPr>
      <t>[description]</t>
    </r>
  </si>
  <si>
    <r>
      <t>Removal of traffic signal equipment for disposal,</t>
    </r>
    <r>
      <rPr>
        <sz val="12"/>
        <color rgb="FF0000FF"/>
        <rFont val="Arial"/>
        <family val="2"/>
      </rPr>
      <t xml:space="preserve"> [description]</t>
    </r>
  </si>
  <si>
    <r>
      <t>Supply of</t>
    </r>
    <r>
      <rPr>
        <sz val="12"/>
        <color rgb="FF0000FF"/>
        <rFont val="Arial"/>
        <family val="2"/>
      </rPr>
      <t xml:space="preserve"> [fixed base | slip base | energy absorbing]</t>
    </r>
    <r>
      <rPr>
        <sz val="12"/>
        <color theme="1"/>
        <rFont val="Arial"/>
        <family val="2"/>
      </rPr>
      <t xml:space="preserve"> road pole, </t>
    </r>
    <r>
      <rPr>
        <sz val="12"/>
        <color rgb="FF0000FF"/>
        <rFont val="Arial"/>
        <family val="2"/>
      </rPr>
      <t xml:space="preserve">[height] </t>
    </r>
    <r>
      <rPr>
        <sz val="12"/>
        <color theme="1"/>
        <rFont val="Arial"/>
        <family val="2"/>
      </rPr>
      <t>mm vertical height</t>
    </r>
  </si>
  <si>
    <r>
      <t>Supply of</t>
    </r>
    <r>
      <rPr>
        <sz val="12"/>
        <color rgb="FF0000FF"/>
        <rFont val="Arial"/>
        <family val="2"/>
      </rPr>
      <t xml:space="preserve"> [single | double]</t>
    </r>
    <r>
      <rPr>
        <sz val="12"/>
        <color theme="1"/>
        <rFont val="Arial"/>
        <family val="2"/>
      </rPr>
      <t xml:space="preserve"> road lighting outreach arm, </t>
    </r>
    <r>
      <rPr>
        <sz val="12"/>
        <color rgb="FF0000FF"/>
        <rFont val="Arial"/>
        <family val="2"/>
      </rPr>
      <t xml:space="preserve">[length] </t>
    </r>
    <r>
      <rPr>
        <sz val="12"/>
        <color theme="1"/>
        <rFont val="Arial"/>
        <family val="2"/>
      </rPr>
      <t>mm long</t>
    </r>
  </si>
  <si>
    <r>
      <t xml:space="preserve">Supply of road lighting luminaire headframe, </t>
    </r>
    <r>
      <rPr>
        <sz val="12"/>
        <color rgb="FF0000FF"/>
        <rFont val="Arial"/>
        <family val="2"/>
      </rPr>
      <t xml:space="preserve">[number of spigots] </t>
    </r>
    <r>
      <rPr>
        <sz val="12"/>
        <color theme="1"/>
        <rFont val="Arial"/>
        <family val="2"/>
      </rPr>
      <t>way headframe</t>
    </r>
  </si>
  <si>
    <r>
      <t>Supply of pedestrian crossing floodlight bracket,</t>
    </r>
    <r>
      <rPr>
        <sz val="12"/>
        <color rgb="FF0000FF"/>
        <rFont val="Arial"/>
        <family val="2"/>
      </rPr>
      <t xml:space="preserve"> [length]</t>
    </r>
    <r>
      <rPr>
        <sz val="12"/>
        <color theme="1"/>
        <rFont val="Arial"/>
        <family val="2"/>
      </rPr>
      <t xml:space="preserve"> mm long</t>
    </r>
  </si>
  <si>
    <r>
      <t>Supply of underbridge road lighting bracket,</t>
    </r>
    <r>
      <rPr>
        <sz val="12"/>
        <color rgb="FF0000FF"/>
        <rFont val="Arial"/>
        <family val="2"/>
      </rPr>
      <t xml:space="preserve"> [height]</t>
    </r>
    <r>
      <rPr>
        <sz val="12"/>
        <color theme="1"/>
        <rFont val="Arial"/>
        <family val="2"/>
      </rPr>
      <t xml:space="preserve"> mm high</t>
    </r>
  </si>
  <si>
    <r>
      <t xml:space="preserve">Supply of wall mounted road lighting bracket, </t>
    </r>
    <r>
      <rPr>
        <sz val="12"/>
        <color rgb="FF0000FF"/>
        <rFont val="Arial"/>
        <family val="2"/>
      </rPr>
      <t>[length]</t>
    </r>
    <r>
      <rPr>
        <sz val="12"/>
        <color theme="1"/>
        <rFont val="Arial"/>
        <family val="2"/>
      </rPr>
      <t xml:space="preserve"> mm long</t>
    </r>
  </si>
  <si>
    <r>
      <t xml:space="preserve">Supply of road lighting luminaire, </t>
    </r>
    <r>
      <rPr>
        <sz val="12"/>
        <color rgb="FF0000FF"/>
        <rFont val="Arial"/>
        <family val="2"/>
      </rPr>
      <t>[name of manufacturer]</t>
    </r>
    <r>
      <rPr>
        <sz val="12"/>
        <color theme="1"/>
        <rFont val="Arial"/>
        <family val="2"/>
      </rPr>
      <t>,</t>
    </r>
    <r>
      <rPr>
        <sz val="12"/>
        <color rgb="FF0000FF"/>
        <rFont val="Arial"/>
        <family val="2"/>
      </rPr>
      <t xml:space="preserve"> [type of luminaire]</t>
    </r>
  </si>
  <si>
    <r>
      <t xml:space="preserve">Supply of pedestrian crossing floodlight, </t>
    </r>
    <r>
      <rPr>
        <sz val="12"/>
        <color rgb="FF0000FF"/>
        <rFont val="Arial"/>
        <family val="2"/>
      </rPr>
      <t xml:space="preserve">[with | without] </t>
    </r>
    <r>
      <rPr>
        <sz val="12"/>
        <color theme="1"/>
        <rFont val="Arial"/>
        <family val="2"/>
      </rPr>
      <t xml:space="preserve">louvre, </t>
    </r>
    <r>
      <rPr>
        <sz val="12"/>
        <color rgb="FF0000FF"/>
        <rFont val="Arial"/>
        <family val="2"/>
      </rPr>
      <t>[name of manufacturer], [type of luminaire]</t>
    </r>
  </si>
  <si>
    <r>
      <t>Installation of</t>
    </r>
    <r>
      <rPr>
        <sz val="12"/>
        <color rgb="FF0000FF"/>
        <rFont val="Arial"/>
        <family val="2"/>
      </rPr>
      <t xml:space="preserve"> [fixed base | slip base | energy absorbing]</t>
    </r>
    <r>
      <rPr>
        <sz val="12"/>
        <color theme="1"/>
        <rFont val="Arial"/>
        <family val="2"/>
      </rPr>
      <t xml:space="preserve"> road lighting pole</t>
    </r>
  </si>
  <si>
    <r>
      <t xml:space="preserve">Supply and installation of </t>
    </r>
    <r>
      <rPr>
        <sz val="12"/>
        <color rgb="FF0000FF"/>
        <rFont val="Arial"/>
        <family val="2"/>
      </rPr>
      <t>[base plate mounted | slip base | energy absorbing]</t>
    </r>
    <r>
      <rPr>
        <sz val="12"/>
        <color theme="1"/>
        <rFont val="Arial"/>
        <family val="2"/>
      </rPr>
      <t xml:space="preserve"> high mast road lighting pole,</t>
    </r>
    <r>
      <rPr>
        <sz val="12"/>
        <color rgb="FF0000FF"/>
        <rFont val="Arial"/>
        <family val="2"/>
      </rPr>
      <t xml:space="preserve"> [height] </t>
    </r>
    <r>
      <rPr>
        <sz val="12"/>
        <color theme="1"/>
        <rFont val="Arial"/>
        <family val="2"/>
      </rPr>
      <t>mm vertical height,</t>
    </r>
    <r>
      <rPr>
        <sz val="12"/>
        <color rgb="FF0000FF"/>
        <rFont val="Arial"/>
        <family val="2"/>
      </rPr>
      <t xml:space="preserve"> [number of spigots] </t>
    </r>
    <r>
      <rPr>
        <sz val="12"/>
        <color theme="1"/>
        <rFont val="Arial"/>
        <family val="2"/>
      </rPr>
      <t>way headframe,</t>
    </r>
    <r>
      <rPr>
        <sz val="12"/>
        <color rgb="FF0000FF"/>
        <rFont val="Arial"/>
        <family val="2"/>
      </rPr>
      <t xml:space="preserve"> [with underground cabling and fused junction box in pit | with aerial supply | with loop in loop out cabling]</t>
    </r>
  </si>
  <si>
    <r>
      <t>Supply and installation of underbridge road lighting bracket,</t>
    </r>
    <r>
      <rPr>
        <sz val="12"/>
        <color rgb="FF0000FF"/>
        <rFont val="Arial"/>
        <family val="2"/>
      </rPr>
      <t xml:space="preserve"> [height]</t>
    </r>
    <r>
      <rPr>
        <sz val="12"/>
        <color theme="1"/>
        <rFont val="Arial"/>
        <family val="2"/>
      </rPr>
      <t xml:space="preserve"> mm high</t>
    </r>
  </si>
  <si>
    <r>
      <t xml:space="preserve">Supply and installation of wall mounted road lighting bracket, </t>
    </r>
    <r>
      <rPr>
        <sz val="12"/>
        <color rgb="FF0000FF"/>
        <rFont val="Arial"/>
        <family val="2"/>
      </rPr>
      <t>[length]</t>
    </r>
    <r>
      <rPr>
        <sz val="12"/>
        <color theme="1"/>
        <rFont val="Arial"/>
        <family val="2"/>
      </rPr>
      <t xml:space="preserve"> mm long</t>
    </r>
  </si>
  <si>
    <r>
      <t>Removal of road lighting equipment for salvage,</t>
    </r>
    <r>
      <rPr>
        <sz val="12"/>
        <color rgb="FF0000FF"/>
        <rFont val="Arial"/>
        <family val="2"/>
      </rPr>
      <t xml:space="preserve"> [description]</t>
    </r>
  </si>
  <si>
    <r>
      <t xml:space="preserve">Removal of road lighting equipment for disposal, </t>
    </r>
    <r>
      <rPr>
        <sz val="12"/>
        <color rgb="FF0000FF"/>
        <rFont val="Arial"/>
        <family val="2"/>
      </rPr>
      <t>[description]</t>
    </r>
  </si>
  <si>
    <r>
      <t>Supply of Standalone Solar (PV) Powered Lighting, with</t>
    </r>
    <r>
      <rPr>
        <sz val="12"/>
        <color rgb="FF0000FF"/>
        <rFont val="Arial"/>
        <family val="2"/>
      </rPr>
      <t xml:space="preserve"> [fixed base | slip base | impact absorbent]</t>
    </r>
    <r>
      <rPr>
        <sz val="12"/>
        <color theme="1"/>
        <rFont val="Arial"/>
        <family val="2"/>
      </rPr>
      <t xml:space="preserve"> road pole, </t>
    </r>
    <r>
      <rPr>
        <sz val="12"/>
        <color rgb="FF0000FF"/>
        <rFont val="Arial"/>
        <family val="2"/>
      </rPr>
      <t xml:space="preserve">[height] </t>
    </r>
    <r>
      <rPr>
        <sz val="12"/>
        <color theme="1"/>
        <rFont val="Arial"/>
        <family val="2"/>
      </rPr>
      <t>mm vertical height,</t>
    </r>
    <r>
      <rPr>
        <sz val="12"/>
        <color rgb="FF0000FF"/>
        <rFont val="Arial"/>
        <family val="2"/>
      </rPr>
      <t xml:space="preserve"> [with | without] </t>
    </r>
    <r>
      <rPr>
        <sz val="12"/>
        <color theme="1"/>
        <rFont val="Arial"/>
        <family val="2"/>
      </rPr>
      <t>road lighting outreach arm. Details of outreach arm, where applicable, single</t>
    </r>
    <r>
      <rPr>
        <sz val="12"/>
        <color rgb="FF0000FF"/>
        <rFont val="Arial"/>
        <family val="2"/>
      </rPr>
      <t xml:space="preserve"> [length]</t>
    </r>
    <r>
      <rPr>
        <sz val="12"/>
        <color theme="1"/>
        <rFont val="Arial"/>
        <family val="2"/>
      </rPr>
      <t xml:space="preserve"> mm long</t>
    </r>
  </si>
  <si>
    <r>
      <t xml:space="preserve">Installation of Standalone Solar (PV) Powered Lighting, with </t>
    </r>
    <r>
      <rPr>
        <sz val="12"/>
        <color rgb="FF0000FF"/>
        <rFont val="Arial"/>
        <family val="2"/>
      </rPr>
      <t xml:space="preserve">[fixed base | slip base | impact absorbent] </t>
    </r>
    <r>
      <rPr>
        <sz val="12"/>
        <color theme="1"/>
        <rFont val="Arial"/>
        <family val="2"/>
      </rPr>
      <t>road pole,</t>
    </r>
    <r>
      <rPr>
        <sz val="12"/>
        <color rgb="FF0000FF"/>
        <rFont val="Arial"/>
        <family val="2"/>
      </rPr>
      <t xml:space="preserve"> [height] </t>
    </r>
    <r>
      <rPr>
        <sz val="12"/>
        <color theme="1"/>
        <rFont val="Arial"/>
        <family val="2"/>
      </rPr>
      <t xml:space="preserve">mm vertical height, </t>
    </r>
    <r>
      <rPr>
        <sz val="12"/>
        <color rgb="FF0000FF"/>
        <rFont val="Arial"/>
        <family val="2"/>
      </rPr>
      <t xml:space="preserve">[with | without] </t>
    </r>
    <r>
      <rPr>
        <sz val="12"/>
        <color theme="1"/>
        <rFont val="Arial"/>
        <family val="2"/>
      </rPr>
      <t>road lighting outreach arm. Details of outreach arm, where applicable, single</t>
    </r>
    <r>
      <rPr>
        <sz val="12"/>
        <color rgb="FF0000FF"/>
        <rFont val="Arial"/>
        <family val="2"/>
      </rPr>
      <t xml:space="preserve"> [length]</t>
    </r>
    <r>
      <rPr>
        <sz val="12"/>
        <color theme="1"/>
        <rFont val="Arial"/>
        <family val="2"/>
      </rPr>
      <t xml:space="preserve"> mm long</t>
    </r>
  </si>
  <si>
    <r>
      <t>Supply and Installation of Standalone Solar (PV) Powered Lighting, with</t>
    </r>
    <r>
      <rPr>
        <sz val="12"/>
        <color rgb="FF0000FF"/>
        <rFont val="Arial"/>
        <family val="2"/>
      </rPr>
      <t xml:space="preserve"> [fixed base | slip base | impact absorbent]</t>
    </r>
    <r>
      <rPr>
        <sz val="12"/>
        <color theme="1"/>
        <rFont val="Arial"/>
        <family val="2"/>
      </rPr>
      <t xml:space="preserve"> road pole, </t>
    </r>
    <r>
      <rPr>
        <sz val="12"/>
        <color rgb="FF0000FF"/>
        <rFont val="Arial"/>
        <family val="2"/>
      </rPr>
      <t xml:space="preserve">[height] </t>
    </r>
    <r>
      <rPr>
        <sz val="12"/>
        <color theme="1"/>
        <rFont val="Arial"/>
        <family val="2"/>
      </rPr>
      <t xml:space="preserve">mm vertical height, </t>
    </r>
    <r>
      <rPr>
        <sz val="12"/>
        <color rgb="FF0000FF"/>
        <rFont val="Arial"/>
        <family val="2"/>
      </rPr>
      <t>[with | without]</t>
    </r>
    <r>
      <rPr>
        <sz val="12"/>
        <color theme="1"/>
        <rFont val="Arial"/>
        <family val="2"/>
      </rPr>
      <t xml:space="preserve"> road lighting outreach arm. Details of outreach arm, where applicable, single </t>
    </r>
    <r>
      <rPr>
        <sz val="12"/>
        <color rgb="FF0000FF"/>
        <rFont val="Arial"/>
        <family val="2"/>
      </rPr>
      <t>[length]</t>
    </r>
    <r>
      <rPr>
        <sz val="12"/>
        <color theme="1"/>
        <rFont val="Arial"/>
        <family val="2"/>
      </rPr>
      <t xml:space="preserve"> mm long</t>
    </r>
  </si>
  <si>
    <r>
      <t>Supply of</t>
    </r>
    <r>
      <rPr>
        <sz val="12"/>
        <color rgb="FF0000FF"/>
        <rFont val="Arial"/>
        <family val="2"/>
      </rPr>
      <t xml:space="preserve"> [Solar Panels | PV Charger/Controller | Batteries | Luminaire]</t>
    </r>
  </si>
  <si>
    <r>
      <t xml:space="preserve">Installation of </t>
    </r>
    <r>
      <rPr>
        <sz val="12"/>
        <color rgb="FF0000FF"/>
        <rFont val="Arial"/>
        <family val="2"/>
      </rPr>
      <t>[Solar Panels | PV Charger/Controller | Batteries | Luminaire]</t>
    </r>
  </si>
  <si>
    <r>
      <t xml:space="preserve">Supply and Installation of </t>
    </r>
    <r>
      <rPr>
        <sz val="12"/>
        <color rgb="FF0000FF"/>
        <rFont val="Arial"/>
        <family val="2"/>
      </rPr>
      <t>[Solar Panels | PV Charger/Controller | Batteries | Luminaire]</t>
    </r>
  </si>
  <si>
    <r>
      <t>Removal of Standalone Solar (PV) Powered Lighting equipment for salvage,</t>
    </r>
    <r>
      <rPr>
        <sz val="12"/>
        <color rgb="FF0000FF"/>
        <rFont val="Arial"/>
        <family val="2"/>
      </rPr>
      <t xml:space="preserve"> [description]</t>
    </r>
  </si>
  <si>
    <r>
      <t>Removal of Standalone Solar Powered Lighting equipment for disposal,</t>
    </r>
    <r>
      <rPr>
        <sz val="12"/>
        <color rgb="FF0000FF"/>
        <rFont val="Arial"/>
        <family val="2"/>
      </rPr>
      <t xml:space="preserve"> [description]</t>
    </r>
  </si>
  <si>
    <r>
      <t>Supply of</t>
    </r>
    <r>
      <rPr>
        <sz val="12"/>
        <color rgb="FF0000FF"/>
        <rFont val="Arial"/>
        <family val="2"/>
      </rPr>
      <t xml:space="preserve"> [Monochrome | Multicolour] [Type A | Type B | Type C VMS or EVMS]</t>
    </r>
    <r>
      <rPr>
        <sz val="12"/>
        <color theme="1"/>
        <rFont val="Arial"/>
        <family val="2"/>
      </rPr>
      <t xml:space="preserve"> and</t>
    </r>
    <r>
      <rPr>
        <sz val="12"/>
        <color rgb="FF0000FF"/>
        <rFont val="Arial"/>
        <family val="2"/>
      </rPr>
      <t xml:space="preserve"> [cantilever | T mount] </t>
    </r>
    <r>
      <rPr>
        <sz val="12"/>
        <color theme="1"/>
        <rFont val="Arial"/>
        <family val="2"/>
      </rPr>
      <t>support structure</t>
    </r>
    <r>
      <rPr>
        <sz val="12"/>
        <color rgb="FF0000FF"/>
        <rFont val="Arial"/>
        <family val="2"/>
      </rPr>
      <t xml:space="preserve"> [with | without] </t>
    </r>
    <r>
      <rPr>
        <sz val="12"/>
        <color theme="1"/>
        <rFont val="Arial"/>
        <family val="2"/>
      </rPr>
      <t xml:space="preserve">walk-on gantry </t>
    </r>
    <r>
      <rPr>
        <sz val="12"/>
        <color rgb="FF0000FF"/>
        <rFont val="Arial"/>
        <family val="2"/>
      </rPr>
      <t>[incorporating an enclosure fixed to support structure to house VMS or EVMS controller</t>
    </r>
    <r>
      <rPr>
        <sz val="12"/>
        <color theme="1"/>
        <rFont val="Arial"/>
        <family val="2"/>
      </rPr>
      <t>] with</t>
    </r>
    <r>
      <rPr>
        <sz val="12"/>
        <color rgb="FF0000FF"/>
        <rFont val="Arial"/>
        <family val="2"/>
      </rPr>
      <t xml:space="preserve"> [VMS or EVMS]</t>
    </r>
    <r>
      <rPr>
        <sz val="12"/>
        <color theme="1"/>
        <rFont val="Arial"/>
        <family val="2"/>
      </rPr>
      <t xml:space="preserve"> Controller</t>
    </r>
  </si>
  <si>
    <r>
      <t>Supply and Installation of</t>
    </r>
    <r>
      <rPr>
        <sz val="12"/>
        <color rgb="FF0000FF"/>
        <rFont val="Arial"/>
        <family val="2"/>
      </rPr>
      <t xml:space="preserve"> [Monochrome | Multicolour] [Type A | Type B | Type C VMS or EVMS] </t>
    </r>
    <r>
      <rPr>
        <sz val="12"/>
        <color theme="1"/>
        <rFont val="Arial"/>
        <family val="2"/>
      </rPr>
      <t>and</t>
    </r>
    <r>
      <rPr>
        <sz val="12"/>
        <color rgb="FF0000FF"/>
        <rFont val="Arial"/>
        <family val="2"/>
      </rPr>
      <t xml:space="preserve"> [cantilever | T mount]</t>
    </r>
    <r>
      <rPr>
        <sz val="12"/>
        <color theme="1"/>
        <rFont val="Arial"/>
        <family val="2"/>
      </rPr>
      <t xml:space="preserve"> support structure </t>
    </r>
    <r>
      <rPr>
        <sz val="12"/>
        <color rgb="FF0000FF"/>
        <rFont val="Arial"/>
        <family val="2"/>
      </rPr>
      <t xml:space="preserve">[with | without] </t>
    </r>
    <r>
      <rPr>
        <sz val="12"/>
        <color theme="1"/>
        <rFont val="Arial"/>
        <family val="2"/>
      </rPr>
      <t xml:space="preserve">walk-on gantry </t>
    </r>
    <r>
      <rPr>
        <sz val="12"/>
        <color rgb="FF0000FF"/>
        <rFont val="Arial"/>
        <family val="2"/>
      </rPr>
      <t>[incorporating an enclosure fixed to support structure to house VMS or EVMS controller]</t>
    </r>
    <r>
      <rPr>
        <sz val="12"/>
        <color theme="1"/>
        <rFont val="Arial"/>
        <family val="2"/>
      </rPr>
      <t xml:space="preserve"> with</t>
    </r>
    <r>
      <rPr>
        <sz val="12"/>
        <color rgb="FF0000FF"/>
        <rFont val="Arial"/>
        <family val="2"/>
      </rPr>
      <t xml:space="preserve"> [VMS or EVMS] </t>
    </r>
    <r>
      <rPr>
        <sz val="12"/>
        <color theme="1"/>
        <rFont val="Arial"/>
        <family val="2"/>
      </rPr>
      <t>Controller</t>
    </r>
  </si>
  <si>
    <r>
      <t xml:space="preserve">Installation of </t>
    </r>
    <r>
      <rPr>
        <sz val="12"/>
        <color rgb="FF0000FF"/>
        <rFont val="Arial"/>
        <family val="2"/>
      </rPr>
      <t xml:space="preserve">[Monochrome | Multicolour] [Type A | Type B | Type C VMS or EVMS] </t>
    </r>
    <r>
      <rPr>
        <sz val="12"/>
        <color theme="1"/>
        <rFont val="Arial"/>
        <family val="2"/>
      </rPr>
      <t xml:space="preserve">and </t>
    </r>
    <r>
      <rPr>
        <sz val="12"/>
        <color rgb="FF0000FF"/>
        <rFont val="Arial"/>
        <family val="2"/>
      </rPr>
      <t xml:space="preserve">[cantilever | T mount] </t>
    </r>
    <r>
      <rPr>
        <sz val="12"/>
        <color theme="1"/>
        <rFont val="Arial"/>
        <family val="2"/>
      </rPr>
      <t xml:space="preserve">support structure </t>
    </r>
    <r>
      <rPr>
        <sz val="12"/>
        <color rgb="FF0000FF"/>
        <rFont val="Arial"/>
        <family val="2"/>
      </rPr>
      <t xml:space="preserve">[with | without] </t>
    </r>
    <r>
      <rPr>
        <sz val="12"/>
        <color theme="1"/>
        <rFont val="Arial"/>
        <family val="2"/>
      </rPr>
      <t>walk-on gantry</t>
    </r>
    <r>
      <rPr>
        <sz val="12"/>
        <color rgb="FF0000FF"/>
        <rFont val="Arial"/>
        <family val="2"/>
      </rPr>
      <t xml:space="preserve"> [incorporating an enclosure fixed to support structure to house VMS or EVMS controller] </t>
    </r>
    <r>
      <rPr>
        <sz val="12"/>
        <color theme="1"/>
        <rFont val="Arial"/>
        <family val="2"/>
      </rPr>
      <t>with</t>
    </r>
    <r>
      <rPr>
        <sz val="12"/>
        <color rgb="FF0000FF"/>
        <rFont val="Arial"/>
        <family val="2"/>
      </rPr>
      <t xml:space="preserve"> [VMS or EVMS] </t>
    </r>
    <r>
      <rPr>
        <sz val="12"/>
        <color theme="1"/>
        <rFont val="Arial"/>
        <family val="2"/>
      </rPr>
      <t>Controller</t>
    </r>
  </si>
  <si>
    <r>
      <t>Installation of</t>
    </r>
    <r>
      <rPr>
        <sz val="12"/>
        <color rgb="FF0000FF"/>
        <rFont val="Arial"/>
        <family val="2"/>
      </rPr>
      <t xml:space="preserve"> [VMS or EVMS]</t>
    </r>
    <r>
      <rPr>
        <sz val="12"/>
        <color theme="1"/>
        <rFont val="Arial"/>
        <family val="2"/>
      </rPr>
      <t xml:space="preserve"> footing and including Anchor Cage for a PAD foundation</t>
    </r>
    <r>
      <rPr>
        <sz val="12"/>
        <color rgb="FF0000FF"/>
        <rFont val="Arial"/>
        <family val="2"/>
      </rPr>
      <t xml:space="preserve"> [insert dimensions or referenced drawing]</t>
    </r>
  </si>
  <si>
    <r>
      <t xml:space="preserve">Installation of </t>
    </r>
    <r>
      <rPr>
        <sz val="12"/>
        <color rgb="FF0000FF"/>
        <rFont val="Arial"/>
        <family val="2"/>
      </rPr>
      <t>[VMS or EVMS]</t>
    </r>
    <r>
      <rPr>
        <sz val="12"/>
        <color theme="1"/>
        <rFont val="Arial"/>
        <family val="2"/>
      </rPr>
      <t xml:space="preserve"> footing and including Anchor Cage for a bored Piled Foundation </t>
    </r>
    <r>
      <rPr>
        <sz val="12"/>
        <color rgb="FF0000FF"/>
        <rFont val="Arial"/>
        <family val="2"/>
      </rPr>
      <t>[incorporating [no. of Piles] at a diameter of [in mm] at a depth of [in m] or referenced drawing]</t>
    </r>
  </si>
  <si>
    <r>
      <t xml:space="preserve">Foundation Design for </t>
    </r>
    <r>
      <rPr>
        <sz val="12"/>
        <color rgb="FF0000FF"/>
        <rFont val="Arial"/>
        <family val="2"/>
      </rPr>
      <t xml:space="preserve">[Type A | Type B | Type C VMS or EVMS] on a [cantilever | T mount] </t>
    </r>
    <r>
      <rPr>
        <sz val="12"/>
        <color theme="1"/>
        <rFont val="Arial"/>
        <family val="2"/>
      </rPr>
      <t xml:space="preserve">support structure </t>
    </r>
    <r>
      <rPr>
        <sz val="12"/>
        <color rgb="FF0000FF"/>
        <rFont val="Arial"/>
        <family val="2"/>
      </rPr>
      <t>[incorporating an enclosure fixed to support structure to house VMS or EVMS controller]</t>
    </r>
    <r>
      <rPr>
        <sz val="12"/>
        <color theme="1"/>
        <rFont val="Arial"/>
        <family val="2"/>
      </rPr>
      <t xml:space="preserve"> on a</t>
    </r>
    <r>
      <rPr>
        <sz val="12"/>
        <color rgb="FF0000FF"/>
        <rFont val="Arial"/>
        <family val="2"/>
      </rPr>
      <t xml:space="preserve"> [PAD or bored Pile Foundation]</t>
    </r>
  </si>
  <si>
    <r>
      <t xml:space="preserve">Provision of </t>
    </r>
    <r>
      <rPr>
        <sz val="12"/>
        <color rgb="FF0000FF"/>
        <rFont val="Arial"/>
        <family val="2"/>
      </rPr>
      <t xml:space="preserve">[VMS | EVMS] </t>
    </r>
    <r>
      <rPr>
        <sz val="12"/>
        <color theme="1"/>
        <rFont val="Arial"/>
        <family val="2"/>
      </rPr>
      <t xml:space="preserve">Spares </t>
    </r>
    <r>
      <rPr>
        <sz val="12"/>
        <color rgb="FF0000FF"/>
        <rFont val="Arial"/>
        <family val="2"/>
      </rPr>
      <t>[as listed in the contract documents or on drawing reference]</t>
    </r>
  </si>
  <si>
    <r>
      <t>Removal of</t>
    </r>
    <r>
      <rPr>
        <sz val="12"/>
        <color rgb="FF0000FF"/>
        <rFont val="Arial"/>
        <family val="2"/>
      </rPr>
      <t xml:space="preserve"> [VMS | EVMS]</t>
    </r>
    <r>
      <rPr>
        <sz val="12"/>
        <color theme="1"/>
        <rFont val="Arial"/>
        <family val="2"/>
      </rPr>
      <t xml:space="preserve"> equipment for re-use</t>
    </r>
  </si>
  <si>
    <r>
      <t xml:space="preserve">Removal of </t>
    </r>
    <r>
      <rPr>
        <sz val="12"/>
        <color rgb="FF0000FF"/>
        <rFont val="Arial"/>
        <family val="2"/>
      </rPr>
      <t xml:space="preserve">[VMS | EVMS] </t>
    </r>
    <r>
      <rPr>
        <sz val="12"/>
        <color theme="1"/>
        <rFont val="Arial"/>
        <family val="2"/>
      </rPr>
      <t>equipment for disposal</t>
    </r>
  </si>
  <si>
    <r>
      <t>Supply of Vehicle Loop Detector Equipment incorporating</t>
    </r>
    <r>
      <rPr>
        <sz val="12"/>
        <color rgb="FF0000FF"/>
        <rFont val="Arial"/>
        <family val="2"/>
      </rPr>
      <t xml:space="preserve"> [1 | 2 | 3 | 4 | 5 | 6 | 7 | 8]</t>
    </r>
    <r>
      <rPr>
        <sz val="12"/>
        <color theme="1"/>
        <rFont val="Arial"/>
        <family val="2"/>
      </rPr>
      <t xml:space="preserve"> channel cards</t>
    </r>
  </si>
  <si>
    <r>
      <t>Supply and Installation of Vehicle Loop Detector Equipment incorporating</t>
    </r>
    <r>
      <rPr>
        <sz val="12"/>
        <color rgb="FF0000FF"/>
        <rFont val="Arial"/>
        <family val="2"/>
      </rPr>
      <t xml:space="preserve"> [1 | 2 | 3 | 4 | 5 | 6 | 7 | 8] </t>
    </r>
    <r>
      <rPr>
        <sz val="12"/>
        <color theme="1"/>
        <rFont val="Arial"/>
        <family val="2"/>
      </rPr>
      <t>channel cards</t>
    </r>
  </si>
  <si>
    <r>
      <t xml:space="preserve">Installation of Vehicle Loop Detector Equipment incorporating </t>
    </r>
    <r>
      <rPr>
        <sz val="12"/>
        <color rgb="FF0000FF"/>
        <rFont val="Arial"/>
        <family val="2"/>
      </rPr>
      <t>[1 | 2 | 3 | 4 | 5 | 6 | 7 | 8]</t>
    </r>
    <r>
      <rPr>
        <sz val="12"/>
        <color theme="1"/>
        <rFont val="Arial"/>
        <family val="2"/>
      </rPr>
      <t xml:space="preserve"> channel cards</t>
    </r>
  </si>
  <si>
    <r>
      <t>Provision of Vehicle Detection Spares</t>
    </r>
    <r>
      <rPr>
        <sz val="12"/>
        <color rgb="FF0000FF"/>
        <rFont val="Arial"/>
        <family val="2"/>
      </rPr>
      <t xml:space="preserve"> [as listed in the contract documents or on drawing reference]</t>
    </r>
  </si>
  <si>
    <r>
      <t>Foundation Design for</t>
    </r>
    <r>
      <rPr>
        <sz val="12"/>
        <color rgb="FF0000FF"/>
        <rFont val="Arial"/>
        <family val="2"/>
      </rPr>
      <t xml:space="preserve"> [Type A | Type B | Type C] </t>
    </r>
    <r>
      <rPr>
        <sz val="12"/>
        <color theme="1"/>
        <rFont val="Arial"/>
        <family val="2"/>
      </rPr>
      <t xml:space="preserve">VSL / LC on a post-mounted support structure </t>
    </r>
    <r>
      <rPr>
        <sz val="12"/>
        <color rgb="FF0000FF"/>
        <rFont val="Arial"/>
        <family val="2"/>
      </rPr>
      <t xml:space="preserve">[with | without] </t>
    </r>
    <r>
      <rPr>
        <sz val="12"/>
        <color theme="1"/>
        <rFont val="Arial"/>
        <family val="2"/>
      </rPr>
      <t xml:space="preserve">an enclosure fixed to support structure to house VSL / LC controller on a </t>
    </r>
    <r>
      <rPr>
        <sz val="12"/>
        <color rgb="FF0000FF"/>
        <rFont val="Arial"/>
        <family val="2"/>
      </rPr>
      <t>[PAD or bored Pile Foundation]</t>
    </r>
  </si>
  <si>
    <r>
      <t xml:space="preserve">Installation of </t>
    </r>
    <r>
      <rPr>
        <sz val="12"/>
        <color rgb="FF0000FF"/>
        <rFont val="Arial"/>
        <family val="2"/>
      </rPr>
      <t xml:space="preserve">[Type A | Type B | Type C] </t>
    </r>
    <r>
      <rPr>
        <sz val="12"/>
        <color theme="1"/>
        <rFont val="Arial"/>
        <family val="2"/>
      </rPr>
      <t>VSL/LC footing and including Anchor Cage for a Pad / Piled / Planted foundation</t>
    </r>
    <r>
      <rPr>
        <sz val="12"/>
        <color rgb="FF0000FF"/>
        <rFont val="Arial"/>
        <family val="2"/>
      </rPr>
      <t xml:space="preserve"> [insert dimensions and/or referenced drawing]</t>
    </r>
  </si>
  <si>
    <r>
      <t xml:space="preserve">Supply of post-mounted support structure, </t>
    </r>
    <r>
      <rPr>
        <sz val="12"/>
        <color rgb="FF0000FF"/>
        <rFont val="Arial"/>
        <family val="2"/>
      </rPr>
      <t>[length]</t>
    </r>
    <r>
      <rPr>
        <sz val="12"/>
        <color theme="1"/>
        <rFont val="Arial"/>
        <family val="2"/>
      </rPr>
      <t xml:space="preserve"> metres long, </t>
    </r>
    <r>
      <rPr>
        <sz val="12"/>
        <color rgb="FF0000FF"/>
        <rFont val="Arial"/>
        <family val="2"/>
      </rPr>
      <t xml:space="preserve">[with | without] </t>
    </r>
    <r>
      <rPr>
        <sz val="12"/>
        <color theme="1"/>
        <rFont val="Arial"/>
        <family val="2"/>
      </rPr>
      <t>cabinet brackets and</t>
    </r>
    <r>
      <rPr>
        <sz val="12"/>
        <color rgb="FF0000FF"/>
        <rFont val="Arial"/>
        <family val="2"/>
      </rPr>
      <t xml:space="preserve"> [with | without] </t>
    </r>
    <r>
      <rPr>
        <sz val="12"/>
        <color theme="1"/>
        <rFont val="Arial"/>
        <family val="2"/>
      </rPr>
      <t xml:space="preserve">an enclosure fixed to support structure to house VSL / LC controller for installation of </t>
    </r>
    <r>
      <rPr>
        <sz val="12"/>
        <color rgb="FF0000FF"/>
        <rFont val="Arial"/>
        <family val="2"/>
      </rPr>
      <t xml:space="preserve">[Type A | Type B | Type C] </t>
    </r>
    <r>
      <rPr>
        <sz val="12"/>
        <color theme="1"/>
        <rFont val="Arial"/>
        <family val="2"/>
      </rPr>
      <t>VSL / LC</t>
    </r>
  </si>
  <si>
    <r>
      <t xml:space="preserve">Supply of </t>
    </r>
    <r>
      <rPr>
        <sz val="12"/>
        <color rgb="FF0000FF"/>
        <rFont val="Arial"/>
        <family val="2"/>
      </rPr>
      <t xml:space="preserve">[tunnel | gantry] </t>
    </r>
    <r>
      <rPr>
        <sz val="12"/>
        <color theme="1"/>
        <rFont val="Arial"/>
        <family val="2"/>
      </rPr>
      <t>mounting bracket,</t>
    </r>
    <r>
      <rPr>
        <sz val="12"/>
        <color rgb="FF0000FF"/>
        <rFont val="Arial"/>
        <family val="2"/>
      </rPr>
      <t xml:space="preserve"> [length] </t>
    </r>
    <r>
      <rPr>
        <sz val="12"/>
        <color theme="1"/>
        <rFont val="Arial"/>
        <family val="2"/>
      </rPr>
      <t>metres long</t>
    </r>
    <r>
      <rPr>
        <sz val="12"/>
        <color rgb="FF0000FF"/>
        <rFont val="Arial"/>
        <family val="2"/>
      </rPr>
      <t xml:space="preserve"> [with | without]</t>
    </r>
    <r>
      <rPr>
        <sz val="12"/>
        <color theme="1"/>
        <rFont val="Arial"/>
        <family val="2"/>
      </rPr>
      <t xml:space="preserve"> an enclosure to mount VSL / LC controller </t>
    </r>
    <r>
      <rPr>
        <sz val="12"/>
        <color rgb="FF0000FF"/>
        <rFont val="Arial"/>
        <family val="2"/>
      </rPr>
      <t xml:space="preserve">[fixed to bridge structure or similar as detailed on referenced drawing] </t>
    </r>
    <r>
      <rPr>
        <sz val="12"/>
        <color theme="1"/>
        <rFont val="Arial"/>
        <family val="2"/>
      </rPr>
      <t>for installation of</t>
    </r>
    <r>
      <rPr>
        <sz val="12"/>
        <color rgb="FF0000FF"/>
        <rFont val="Arial"/>
        <family val="2"/>
      </rPr>
      <t xml:space="preserve"> [Type A | Type B | Type C]</t>
    </r>
    <r>
      <rPr>
        <sz val="12"/>
        <color theme="1"/>
        <rFont val="Arial"/>
        <family val="2"/>
      </rPr>
      <t xml:space="preserve"> VSL / LC</t>
    </r>
  </si>
  <si>
    <r>
      <t xml:space="preserve">Installation of post-mounted mounting structure for </t>
    </r>
    <r>
      <rPr>
        <sz val="12"/>
        <color rgb="FF0000FF"/>
        <rFont val="Arial"/>
        <family val="2"/>
      </rPr>
      <t>[Type A | Type B | Type C]</t>
    </r>
    <r>
      <rPr>
        <sz val="12"/>
        <color theme="1"/>
        <rFont val="Arial"/>
        <family val="2"/>
      </rPr>
      <t xml:space="preserve"> VSL/LC</t>
    </r>
    <r>
      <rPr>
        <sz val="12"/>
        <color rgb="FF0000FF"/>
        <rFont val="Arial"/>
        <family val="2"/>
      </rPr>
      <t xml:space="preserve"> [with | without]</t>
    </r>
    <r>
      <rPr>
        <sz val="12"/>
        <color theme="1"/>
        <rFont val="Arial"/>
        <family val="2"/>
      </rPr>
      <t xml:space="preserve"> an enclosure fixed to support structure to house VSL / LC controller</t>
    </r>
  </si>
  <si>
    <r>
      <t>Installation of</t>
    </r>
    <r>
      <rPr>
        <sz val="12"/>
        <color rgb="FF0000FF"/>
        <rFont val="Arial"/>
        <family val="2"/>
      </rPr>
      <t xml:space="preserve"> [tunnel | gantry]</t>
    </r>
    <r>
      <rPr>
        <sz val="12"/>
        <color theme="1"/>
        <rFont val="Arial"/>
        <family val="2"/>
      </rPr>
      <t xml:space="preserve"> mounted mounting bracket for</t>
    </r>
    <r>
      <rPr>
        <sz val="12"/>
        <color rgb="FF0000FF"/>
        <rFont val="Arial"/>
        <family val="2"/>
      </rPr>
      <t xml:space="preserve"> [Type A | Type B | Type C] </t>
    </r>
    <r>
      <rPr>
        <sz val="12"/>
        <color theme="1"/>
        <rFont val="Arial"/>
        <family val="2"/>
      </rPr>
      <t>VSL / LC</t>
    </r>
    <r>
      <rPr>
        <sz val="12"/>
        <color rgb="FF0000FF"/>
        <rFont val="Arial"/>
        <family val="2"/>
      </rPr>
      <t xml:space="preserve"> [with | without] </t>
    </r>
    <r>
      <rPr>
        <sz val="12"/>
        <color theme="1"/>
        <rFont val="Arial"/>
        <family val="2"/>
      </rPr>
      <t xml:space="preserve">an enclosure to mount VSL / LC controller </t>
    </r>
    <r>
      <rPr>
        <sz val="12"/>
        <color rgb="FF0000FF"/>
        <rFont val="Arial"/>
        <family val="2"/>
      </rPr>
      <t>[fixed to bridge structure or similar as detailed on referenced drawing]</t>
    </r>
  </si>
  <si>
    <r>
      <t>Supply and installation of post-mounted support structure, for</t>
    </r>
    <r>
      <rPr>
        <sz val="12"/>
        <color rgb="FF0000FF"/>
        <rFont val="Arial"/>
        <family val="2"/>
      </rPr>
      <t xml:space="preserve"> [Type A | Type B | Type C] </t>
    </r>
    <r>
      <rPr>
        <sz val="12"/>
        <color theme="1"/>
        <rFont val="Arial"/>
        <family val="2"/>
      </rPr>
      <t xml:space="preserve">VSL / LC </t>
    </r>
    <r>
      <rPr>
        <sz val="12"/>
        <color rgb="FF0000FF"/>
        <rFont val="Arial"/>
        <family val="2"/>
      </rPr>
      <t>[length]</t>
    </r>
    <r>
      <rPr>
        <sz val="12"/>
        <color theme="1"/>
        <rFont val="Arial"/>
        <family val="2"/>
      </rPr>
      <t xml:space="preserve"> metres long, </t>
    </r>
    <r>
      <rPr>
        <sz val="12"/>
        <color rgb="FF0000FF"/>
        <rFont val="Arial"/>
        <family val="2"/>
      </rPr>
      <t>[with | without]</t>
    </r>
    <r>
      <rPr>
        <sz val="12"/>
        <color theme="1"/>
        <rFont val="Arial"/>
        <family val="2"/>
      </rPr>
      <t xml:space="preserve"> mounting brackets and</t>
    </r>
    <r>
      <rPr>
        <sz val="12"/>
        <color rgb="FF0000FF"/>
        <rFont val="Arial"/>
        <family val="2"/>
      </rPr>
      <t xml:space="preserve"> [with | without]</t>
    </r>
    <r>
      <rPr>
        <sz val="12"/>
        <color theme="1"/>
        <rFont val="Arial"/>
        <family val="2"/>
      </rPr>
      <t xml:space="preserve"> an enclosure fixed to support structure to house VSL / LC controller</t>
    </r>
  </si>
  <si>
    <r>
      <t xml:space="preserve">Supply and installation of </t>
    </r>
    <r>
      <rPr>
        <sz val="12"/>
        <color rgb="FF0000FF"/>
        <rFont val="Arial"/>
        <family val="2"/>
      </rPr>
      <t xml:space="preserve">[tunnel | gantry] </t>
    </r>
    <r>
      <rPr>
        <sz val="12"/>
        <color theme="1"/>
        <rFont val="Arial"/>
        <family val="2"/>
      </rPr>
      <t>mounted bracket for</t>
    </r>
    <r>
      <rPr>
        <sz val="12"/>
        <color rgb="FF0000FF"/>
        <rFont val="Arial"/>
        <family val="2"/>
      </rPr>
      <t xml:space="preserve"> [Type A | Type B | Type C]</t>
    </r>
    <r>
      <rPr>
        <sz val="12"/>
        <color theme="1"/>
        <rFont val="Arial"/>
        <family val="2"/>
      </rPr>
      <t xml:space="preserve"> VSL / LC, </t>
    </r>
    <r>
      <rPr>
        <sz val="12"/>
        <color rgb="FF0000FF"/>
        <rFont val="Arial"/>
        <family val="2"/>
      </rPr>
      <t>[length]</t>
    </r>
    <r>
      <rPr>
        <sz val="12"/>
        <color theme="1"/>
        <rFont val="Arial"/>
        <family val="2"/>
      </rPr>
      <t xml:space="preserve"> metres long</t>
    </r>
    <r>
      <rPr>
        <sz val="12"/>
        <color rgb="FF0000FF"/>
        <rFont val="Arial"/>
        <family val="2"/>
      </rPr>
      <t xml:space="preserve"> [with | without] </t>
    </r>
    <r>
      <rPr>
        <sz val="12"/>
        <color theme="1"/>
        <rFont val="Arial"/>
        <family val="2"/>
      </rPr>
      <t xml:space="preserve">an enclosure to mount VSL / LC controller </t>
    </r>
    <r>
      <rPr>
        <sz val="12"/>
        <color rgb="FF0000FF"/>
        <rFont val="Arial"/>
        <family val="2"/>
      </rPr>
      <t>[fixed to bridge structure or similar as detailed on referenced drawing]</t>
    </r>
  </si>
  <si>
    <r>
      <t xml:space="preserve">Supply of </t>
    </r>
    <r>
      <rPr>
        <sz val="12"/>
        <color rgb="FF0000FF"/>
        <rFont val="Arial"/>
        <family val="2"/>
      </rPr>
      <t xml:space="preserve">[Type A | Type B | Type C] </t>
    </r>
    <r>
      <rPr>
        <sz val="12"/>
        <color theme="1"/>
        <rFont val="Arial"/>
        <family val="2"/>
      </rPr>
      <t xml:space="preserve">VSL / LC </t>
    </r>
    <r>
      <rPr>
        <sz val="12"/>
        <color rgb="FF0000FF"/>
        <rFont val="Arial"/>
        <family val="2"/>
      </rPr>
      <t xml:space="preserve">[with | without] </t>
    </r>
    <r>
      <rPr>
        <sz val="12"/>
        <color theme="1"/>
        <rFont val="Arial"/>
        <family val="2"/>
      </rPr>
      <t>VSL / LC Controller</t>
    </r>
  </si>
  <si>
    <r>
      <t xml:space="preserve">Installation of </t>
    </r>
    <r>
      <rPr>
        <sz val="12"/>
        <color rgb="FF0000FF"/>
        <rFont val="Arial"/>
        <family val="2"/>
      </rPr>
      <t>[Type A | Type B | Type C]</t>
    </r>
    <r>
      <rPr>
        <sz val="12"/>
        <color theme="1"/>
        <rFont val="Arial"/>
        <family val="2"/>
      </rPr>
      <t xml:space="preserve"> VSL / LC and</t>
    </r>
    <r>
      <rPr>
        <sz val="12"/>
        <color rgb="FF0000FF"/>
        <rFont val="Arial"/>
        <family val="2"/>
      </rPr>
      <t xml:space="preserve"> [with | without]</t>
    </r>
    <r>
      <rPr>
        <sz val="12"/>
        <color theme="1"/>
        <rFont val="Arial"/>
        <family val="2"/>
      </rPr>
      <t xml:space="preserve"> VSL / LC Controller install in an enclosure </t>
    </r>
    <r>
      <rPr>
        <sz val="12"/>
        <color rgb="FF0000FF"/>
        <rFont val="Arial"/>
        <family val="2"/>
      </rPr>
      <t>[fixed to support structure] [and | or] [fixed to bridge structure or similar as detailed on referenced drawing]</t>
    </r>
  </si>
  <si>
    <r>
      <t xml:space="preserve">Supply and Installation of </t>
    </r>
    <r>
      <rPr>
        <sz val="12"/>
        <color rgb="FF0000FF"/>
        <rFont val="Arial"/>
        <family val="2"/>
      </rPr>
      <t xml:space="preserve">[Type A | Type B | Type C] </t>
    </r>
    <r>
      <rPr>
        <sz val="12"/>
        <color theme="1"/>
        <rFont val="Arial"/>
        <family val="2"/>
      </rPr>
      <t xml:space="preserve">VSL/LC </t>
    </r>
    <r>
      <rPr>
        <sz val="12"/>
        <color rgb="FF0000FF"/>
        <rFont val="Arial"/>
        <family val="2"/>
      </rPr>
      <t>[with | without]</t>
    </r>
    <r>
      <rPr>
        <sz val="12"/>
        <color theme="1"/>
        <rFont val="Arial"/>
        <family val="2"/>
      </rPr>
      <t xml:space="preserve"> VSL/LC Controller install in an enclosure [fixed to support structure] [and | or] [fixed to bridge structure or similar as detailed on referenced drawing]</t>
    </r>
  </si>
  <si>
    <r>
      <t xml:space="preserve">Provision of </t>
    </r>
    <r>
      <rPr>
        <sz val="12"/>
        <color rgb="FF0000FF"/>
        <rFont val="Arial"/>
        <family val="2"/>
      </rPr>
      <t xml:space="preserve">[VSL / LC] </t>
    </r>
    <r>
      <rPr>
        <sz val="12"/>
        <color theme="1"/>
        <rFont val="Arial"/>
        <family val="2"/>
      </rPr>
      <t>spares</t>
    </r>
    <r>
      <rPr>
        <sz val="12"/>
        <color rgb="FF0000FF"/>
        <rFont val="Arial"/>
        <family val="2"/>
      </rPr>
      <t xml:space="preserve"> [as listed in the contract documents or on drawing reference]</t>
    </r>
  </si>
  <si>
    <r>
      <t xml:space="preserve">Supply, Installation, jointing and termination of underground power cable, </t>
    </r>
    <r>
      <rPr>
        <sz val="12"/>
        <color rgb="FF0000FF"/>
        <rFont val="Arial"/>
        <family val="2"/>
      </rPr>
      <t>[conductor size sq mm]</t>
    </r>
    <r>
      <rPr>
        <sz val="12"/>
        <color theme="1"/>
        <rFont val="Arial"/>
        <family val="2"/>
      </rPr>
      <t xml:space="preserve">, </t>
    </r>
    <r>
      <rPr>
        <sz val="12"/>
        <color rgb="FF0000FF"/>
        <rFont val="Arial"/>
        <family val="2"/>
      </rPr>
      <t xml:space="preserve">[number of cores] </t>
    </r>
    <r>
      <rPr>
        <sz val="12"/>
        <color theme="1"/>
        <rFont val="Arial"/>
        <family val="2"/>
      </rPr>
      <t>cores,</t>
    </r>
    <r>
      <rPr>
        <sz val="12"/>
        <color rgb="FF0000FF"/>
        <rFont val="Arial"/>
        <family val="2"/>
      </rPr>
      <t xml:space="preserve"> [core insulation], [sheath insulation], [conductor material]</t>
    </r>
  </si>
  <si>
    <r>
      <t>Disconnection of mains supply and removal of URD pillar, switchboard and ancillary equipment</t>
    </r>
    <r>
      <rPr>
        <sz val="12"/>
        <color rgb="FF0000FF"/>
        <rFont val="Arial"/>
        <family val="2"/>
      </rPr>
      <t xml:space="preserve"> [Energex / Ergon POS or TMR Switchboard]</t>
    </r>
  </si>
  <si>
    <r>
      <t>Disconnection and removal from conduit of underground power cable,</t>
    </r>
    <r>
      <rPr>
        <sz val="12"/>
        <color rgb="FF0000FF"/>
        <rFont val="Arial"/>
        <family val="2"/>
      </rPr>
      <t xml:space="preserve"> [conductor size sq mm], [number of cores]</t>
    </r>
    <r>
      <rPr>
        <sz val="12"/>
        <color theme="1"/>
        <rFont val="Arial"/>
        <family val="2"/>
      </rPr>
      <t xml:space="preserve"> cores for disposal</t>
    </r>
  </si>
  <si>
    <r>
      <t xml:space="preserve">Supply and install </t>
    </r>
    <r>
      <rPr>
        <sz val="12"/>
        <color rgb="FF0000FF"/>
        <rFont val="Arial"/>
        <family val="2"/>
      </rPr>
      <t>[qty]</t>
    </r>
    <r>
      <rPr>
        <sz val="12"/>
        <color theme="1"/>
        <rFont val="Arial"/>
        <family val="2"/>
      </rPr>
      <t xml:space="preserve"> metres steel beam guard rail, w beam  </t>
    </r>
  </si>
  <si>
    <r>
      <t xml:space="preserve">Supply and install </t>
    </r>
    <r>
      <rPr>
        <sz val="12"/>
        <color rgb="FF0000FF"/>
        <rFont val="Arial"/>
        <family val="2"/>
      </rPr>
      <t>[qty]</t>
    </r>
    <r>
      <rPr>
        <sz val="12"/>
        <color theme="1"/>
        <rFont val="Arial"/>
        <family val="2"/>
      </rPr>
      <t xml:space="preserve"> metres steel beam guard rail, thrie beam  </t>
    </r>
  </si>
  <si>
    <r>
      <t xml:space="preserve">Supply and install steel beam guardrail, terminal type </t>
    </r>
    <r>
      <rPr>
        <sz val="12"/>
        <color rgb="FF0000FF"/>
        <rFont val="Arial"/>
        <family val="2"/>
      </rPr>
      <t>[number]</t>
    </r>
  </si>
  <si>
    <r>
      <t xml:space="preserve">Supply and install steel beam guardrail, transition type </t>
    </r>
    <r>
      <rPr>
        <sz val="12"/>
        <color rgb="FF0000FF"/>
        <rFont val="Arial"/>
        <family val="2"/>
      </rPr>
      <t>[number]</t>
    </r>
  </si>
  <si>
    <r>
      <t>Supply of Vehicle Activated Sign pole,</t>
    </r>
    <r>
      <rPr>
        <sz val="12"/>
        <color rgb="FF0000FF"/>
        <rFont val="Arial"/>
        <family val="2"/>
      </rPr>
      <t xml:space="preserve"> [length]</t>
    </r>
    <r>
      <rPr>
        <sz val="12"/>
        <color theme="1"/>
        <rFont val="Arial"/>
        <family val="2"/>
      </rPr>
      <t xml:space="preserve"> metres long, </t>
    </r>
    <r>
      <rPr>
        <sz val="12"/>
        <color rgb="FF0000FF"/>
        <rFont val="Arial"/>
        <family val="2"/>
      </rPr>
      <t xml:space="preserve">[with | without] </t>
    </r>
    <r>
      <rPr>
        <sz val="12"/>
        <color theme="1"/>
        <rFont val="Arial"/>
        <family val="2"/>
      </rPr>
      <t>pole mounted cabinet brackets</t>
    </r>
  </si>
  <si>
    <r>
      <t>Supply and installation of</t>
    </r>
    <r>
      <rPr>
        <sz val="12"/>
        <color rgb="FF0000FF"/>
        <rFont val="Arial"/>
        <family val="2"/>
      </rPr>
      <t xml:space="preserve"> [hinged]</t>
    </r>
    <r>
      <rPr>
        <sz val="12"/>
        <color theme="1"/>
        <rFont val="Arial"/>
        <family val="2"/>
      </rPr>
      <t xml:space="preserve"> pole,</t>
    </r>
    <r>
      <rPr>
        <sz val="12"/>
        <color rgb="FF0000FF"/>
        <rFont val="Arial"/>
        <family val="2"/>
      </rPr>
      <t xml:space="preserve"> [length] </t>
    </r>
    <r>
      <rPr>
        <sz val="12"/>
        <color theme="1"/>
        <rFont val="Arial"/>
        <family val="2"/>
      </rPr>
      <t>metres long</t>
    </r>
  </si>
  <si>
    <r>
      <t>Supply of</t>
    </r>
    <r>
      <rPr>
        <sz val="12"/>
        <color rgb="FF0000FF"/>
        <rFont val="Arial"/>
        <family val="2"/>
      </rPr>
      <t xml:space="preserve"> [Type 1 | Type 2a | Type 2b | Type 2c | Type 2d | Type 2e | Type 2f | Type 2g | Type 2h | Type 2i | Type 2j | Type 2k] </t>
    </r>
    <r>
      <rPr>
        <sz val="12"/>
        <color theme="1"/>
        <rFont val="Arial"/>
        <family val="2"/>
      </rPr>
      <t xml:space="preserve">sign and ancillary components </t>
    </r>
  </si>
  <si>
    <r>
      <t xml:space="preserve">Installation of </t>
    </r>
    <r>
      <rPr>
        <sz val="12"/>
        <color rgb="FF0000FF"/>
        <rFont val="Arial"/>
        <family val="2"/>
      </rPr>
      <t xml:space="preserve">[Type 1 | Type 2a | Type 2b | Type 2c | Type 2d | Type 2e | Type 2f | Type 2g | Type 2h | Type 2i | Type 2j | Type 2k] </t>
    </r>
    <r>
      <rPr>
        <sz val="12"/>
        <color theme="1"/>
        <rFont val="Arial"/>
        <family val="2"/>
      </rPr>
      <t>sign and ancillary components</t>
    </r>
  </si>
  <si>
    <r>
      <t>Supply and Installation of</t>
    </r>
    <r>
      <rPr>
        <sz val="12"/>
        <color rgb="FF0000FF"/>
        <rFont val="Arial"/>
        <family val="2"/>
      </rPr>
      <t xml:space="preserve"> [Type 1 | Type 2a | Type 2b | Type 2c | Type 2d | Type 2e | Type 2f | Type 2g | Type 2h | Type 2i | Type 2j | Type 2k] </t>
    </r>
    <r>
      <rPr>
        <sz val="12"/>
        <color theme="1"/>
        <rFont val="Arial"/>
        <family val="2"/>
      </rPr>
      <t>sign and ancillary components</t>
    </r>
  </si>
  <si>
    <r>
      <t>Removal of Vehicle Activated Sign pole,</t>
    </r>
    <r>
      <rPr>
        <sz val="12"/>
        <color rgb="FF0000FF"/>
        <rFont val="Arial"/>
        <family val="2"/>
      </rPr>
      <t xml:space="preserve"> [including | not including]</t>
    </r>
    <r>
      <rPr>
        <sz val="12"/>
        <color theme="1"/>
        <rFont val="Arial"/>
        <family val="2"/>
      </rPr>
      <t xml:space="preserve"> sign and batteries and solar system, </t>
    </r>
    <r>
      <rPr>
        <sz val="12"/>
        <color rgb="FF0000FF"/>
        <rFont val="Arial"/>
        <family val="2"/>
      </rPr>
      <t>[for salvage | for disposal]</t>
    </r>
  </si>
  <si>
    <r>
      <t xml:space="preserve">Supply, installation and connection of Help Phone with mains supply and direct connection into the Transport and Main Roads communications network </t>
    </r>
    <r>
      <rPr>
        <sz val="12"/>
        <color rgb="FF0000FF"/>
        <rFont val="Arial"/>
        <family val="2"/>
      </rPr>
      <t>[list locations]</t>
    </r>
  </si>
  <si>
    <r>
      <t>Supply, installation and connection of Help Phone with solar power and telecommunications service provider</t>
    </r>
    <r>
      <rPr>
        <sz val="12"/>
        <color rgb="FF0000FF"/>
        <rFont val="Arial"/>
        <family val="2"/>
      </rPr>
      <t xml:space="preserve"> [wireless | wired] </t>
    </r>
    <r>
      <rPr>
        <sz val="12"/>
        <color theme="1"/>
        <rFont val="Arial"/>
        <family val="2"/>
      </rPr>
      <t xml:space="preserve">connection </t>
    </r>
    <r>
      <rPr>
        <sz val="12"/>
        <color rgb="FF0000FF"/>
        <rFont val="Arial"/>
        <family val="2"/>
      </rPr>
      <t>[list locations] [type]</t>
    </r>
    <r>
      <rPr>
        <sz val="12"/>
        <color theme="1"/>
        <rFont val="Arial"/>
        <family val="2"/>
      </rPr>
      <t>, excluding the SIM card</t>
    </r>
  </si>
  <si>
    <r>
      <t xml:space="preserve">Supply and install </t>
    </r>
    <r>
      <rPr>
        <sz val="12"/>
        <color rgb="FF0000FF"/>
        <rFont val="Arial"/>
        <family val="2"/>
      </rPr>
      <t>[qty]</t>
    </r>
    <r>
      <rPr>
        <sz val="12"/>
        <color theme="1"/>
        <rFont val="Arial"/>
        <family val="2"/>
      </rPr>
      <t xml:space="preserve"> metres Guard rail (D-1474)  </t>
    </r>
  </si>
  <si>
    <r>
      <t xml:space="preserve">Supply of Electronic School Zone Sign pole, </t>
    </r>
    <r>
      <rPr>
        <sz val="12"/>
        <color rgb="FF0000FF"/>
        <rFont val="Arial"/>
        <family val="2"/>
      </rPr>
      <t>[length]</t>
    </r>
    <r>
      <rPr>
        <sz val="12"/>
        <color theme="1"/>
        <rFont val="Arial"/>
        <family val="2"/>
      </rPr>
      <t xml:space="preserve"> metres long,</t>
    </r>
    <r>
      <rPr>
        <sz val="12"/>
        <color rgb="FF0000FF"/>
        <rFont val="Arial"/>
        <family val="2"/>
      </rPr>
      <t xml:space="preserve"> [with | without]</t>
    </r>
    <r>
      <rPr>
        <sz val="12"/>
        <color theme="1"/>
        <rFont val="Arial"/>
        <family val="2"/>
      </rPr>
      <t xml:space="preserve"> pole mounted cabinet brackets</t>
    </r>
  </si>
  <si>
    <r>
      <t>Supply and installation of</t>
    </r>
    <r>
      <rPr>
        <sz val="12"/>
        <color rgb="FF0000FF"/>
        <rFont val="Arial"/>
        <family val="2"/>
      </rPr>
      <t xml:space="preserve"> [hinged]</t>
    </r>
    <r>
      <rPr>
        <sz val="12"/>
        <color theme="1"/>
        <rFont val="Arial"/>
        <family val="2"/>
      </rPr>
      <t xml:space="preserve"> pole, </t>
    </r>
    <r>
      <rPr>
        <sz val="12"/>
        <color rgb="FF0000FF"/>
        <rFont val="Arial"/>
        <family val="2"/>
      </rPr>
      <t>[length]</t>
    </r>
    <r>
      <rPr>
        <sz val="12"/>
        <color theme="1"/>
        <rFont val="Arial"/>
        <family val="2"/>
      </rPr>
      <t xml:space="preserve"> metres long</t>
    </r>
  </si>
  <si>
    <r>
      <t>Supply of</t>
    </r>
    <r>
      <rPr>
        <sz val="12"/>
        <color rgb="FF0000FF"/>
        <rFont val="Arial"/>
        <family val="2"/>
      </rPr>
      <t xml:space="preserve"> [Type 1 | Type 2 | Type 3]</t>
    </r>
    <r>
      <rPr>
        <sz val="12"/>
        <color theme="1"/>
        <rFont val="Arial"/>
        <family val="2"/>
      </rPr>
      <t xml:space="preserve"> sign and ancillary components</t>
    </r>
  </si>
  <si>
    <r>
      <t>Installation of</t>
    </r>
    <r>
      <rPr>
        <sz val="12"/>
        <color rgb="FF0000FF"/>
        <rFont val="Arial"/>
        <family val="2"/>
      </rPr>
      <t xml:space="preserve"> [Type 1 | Type 2 | Type 3] </t>
    </r>
    <r>
      <rPr>
        <sz val="12"/>
        <color theme="1"/>
        <rFont val="Arial"/>
        <family val="2"/>
      </rPr>
      <t>sign and ancillary components</t>
    </r>
  </si>
  <si>
    <r>
      <t xml:space="preserve">Supply and installation of </t>
    </r>
    <r>
      <rPr>
        <sz val="12"/>
        <color rgb="FF0000FF"/>
        <rFont val="Arial"/>
        <family val="2"/>
      </rPr>
      <t xml:space="preserve">[Type 1 | Type 2 | Type 3] </t>
    </r>
    <r>
      <rPr>
        <sz val="12"/>
        <color theme="1"/>
        <rFont val="Arial"/>
        <family val="2"/>
      </rPr>
      <t>sign and ancillary components</t>
    </r>
  </si>
  <si>
    <r>
      <t>Removal of Electronic School Zone Sign pole,</t>
    </r>
    <r>
      <rPr>
        <sz val="12"/>
        <color rgb="FF0000FF"/>
        <rFont val="Arial"/>
        <family val="2"/>
      </rPr>
      <t xml:space="preserve"> [including | not including]</t>
    </r>
    <r>
      <rPr>
        <sz val="12"/>
        <color theme="1"/>
        <rFont val="Arial"/>
        <family val="2"/>
      </rPr>
      <t xml:space="preserve"> sign and batteries and solar system, </t>
    </r>
    <r>
      <rPr>
        <sz val="12"/>
        <color rgb="FF0000FF"/>
        <rFont val="Arial"/>
        <family val="2"/>
      </rPr>
      <t>[for salvage | for disposal]</t>
    </r>
  </si>
  <si>
    <r>
      <t>Removal of</t>
    </r>
    <r>
      <rPr>
        <sz val="12"/>
        <color rgb="FF0000FF"/>
        <rFont val="Arial"/>
        <family val="2"/>
      </rPr>
      <t xml:space="preserve"> [qty]</t>
    </r>
    <r>
      <rPr>
        <sz val="12"/>
        <color theme="1"/>
        <rFont val="Arial"/>
        <family val="2"/>
      </rPr>
      <t xml:space="preserve"> metres Guard rail (D-1474)</t>
    </r>
  </si>
  <si>
    <r>
      <t>Supply of cabinet</t>
    </r>
    <r>
      <rPr>
        <sz val="12"/>
        <color rgb="FF0000FF"/>
        <rFont val="Arial"/>
        <family val="2"/>
      </rPr>
      <t xml:space="preserve"> [with | without]</t>
    </r>
    <r>
      <rPr>
        <sz val="12"/>
        <color theme="1"/>
        <rFont val="Arial"/>
        <family val="2"/>
      </rPr>
      <t xml:space="preserve"> top-hat extension</t>
    </r>
  </si>
  <si>
    <r>
      <t xml:space="preserve">Installation of cabinet </t>
    </r>
    <r>
      <rPr>
        <sz val="12"/>
        <color rgb="FF0000FF"/>
        <rFont val="Arial"/>
        <family val="2"/>
      </rPr>
      <t>[with | without]</t>
    </r>
    <r>
      <rPr>
        <sz val="12"/>
        <color theme="1"/>
        <rFont val="Arial"/>
        <family val="2"/>
      </rPr>
      <t xml:space="preserve"> top-hat extension</t>
    </r>
  </si>
  <si>
    <r>
      <t xml:space="preserve">Supply of imaging equipment hinge pole, </t>
    </r>
    <r>
      <rPr>
        <sz val="12"/>
        <color rgb="FF0000FF"/>
        <rFont val="Arial"/>
        <family val="2"/>
      </rPr>
      <t>[length]</t>
    </r>
    <r>
      <rPr>
        <sz val="12"/>
        <color theme="1"/>
        <rFont val="Arial"/>
        <family val="2"/>
      </rPr>
      <t xml:space="preserve"> metres long, </t>
    </r>
    <r>
      <rPr>
        <sz val="12"/>
        <color rgb="FF0000FF"/>
        <rFont val="Arial"/>
        <family val="2"/>
      </rPr>
      <t xml:space="preserve">[with | without] </t>
    </r>
    <r>
      <rPr>
        <sz val="12"/>
        <color theme="1"/>
        <rFont val="Arial"/>
        <family val="2"/>
      </rPr>
      <t>pole mounted cabinet brackets and cabinet</t>
    </r>
  </si>
  <si>
    <r>
      <t>Installation of imaging equipment hinge pole,</t>
    </r>
    <r>
      <rPr>
        <sz val="12"/>
        <color rgb="FF0000FF"/>
        <rFont val="Arial"/>
        <family val="2"/>
      </rPr>
      <t xml:space="preserve"> [length]</t>
    </r>
    <r>
      <rPr>
        <sz val="12"/>
        <color theme="1"/>
        <rFont val="Arial"/>
        <family val="2"/>
      </rPr>
      <t xml:space="preserve"> metres long, </t>
    </r>
    <r>
      <rPr>
        <sz val="12"/>
        <color rgb="FF0000FF"/>
        <rFont val="Arial"/>
        <family val="2"/>
      </rPr>
      <t xml:space="preserve">[with | without] </t>
    </r>
    <r>
      <rPr>
        <sz val="12"/>
        <color theme="1"/>
        <rFont val="Arial"/>
        <family val="2"/>
      </rPr>
      <t>pole mounted cabinet brackets and cabinet</t>
    </r>
  </si>
  <si>
    <r>
      <t>Supply and installation of imaging equipment hinge pole,</t>
    </r>
    <r>
      <rPr>
        <sz val="12"/>
        <color rgb="FF0000FF"/>
        <rFont val="Arial"/>
        <family val="2"/>
      </rPr>
      <t xml:space="preserve"> [length] </t>
    </r>
    <r>
      <rPr>
        <sz val="12"/>
        <color theme="1"/>
        <rFont val="Arial"/>
        <family val="2"/>
      </rPr>
      <t xml:space="preserve">metres long, </t>
    </r>
    <r>
      <rPr>
        <sz val="12"/>
        <color rgb="FF0000FF"/>
        <rFont val="Arial"/>
        <family val="2"/>
      </rPr>
      <t xml:space="preserve">[with | without] </t>
    </r>
    <r>
      <rPr>
        <sz val="12"/>
        <color theme="1"/>
        <rFont val="Arial"/>
        <family val="2"/>
      </rPr>
      <t>pole mounted cabinet brackets and cabinet</t>
    </r>
  </si>
  <si>
    <r>
      <t xml:space="preserve">Supply of </t>
    </r>
    <r>
      <rPr>
        <sz val="12"/>
        <color rgb="FF0000FF"/>
        <rFont val="Arial"/>
        <family val="2"/>
      </rPr>
      <t xml:space="preserve">[building | tunnel | gantry] </t>
    </r>
    <r>
      <rPr>
        <sz val="12"/>
        <color theme="1"/>
        <rFont val="Arial"/>
        <family val="2"/>
      </rPr>
      <t xml:space="preserve">mounted imaging equipment bracket, </t>
    </r>
    <r>
      <rPr>
        <sz val="12"/>
        <color rgb="FF0000FF"/>
        <rFont val="Arial"/>
        <family val="2"/>
      </rPr>
      <t>[length]</t>
    </r>
    <r>
      <rPr>
        <sz val="12"/>
        <color theme="1"/>
        <rFont val="Arial"/>
        <family val="2"/>
      </rPr>
      <t xml:space="preserve"> metres long </t>
    </r>
    <r>
      <rPr>
        <sz val="12"/>
        <color rgb="FF0000FF"/>
        <rFont val="Arial"/>
        <family val="2"/>
      </rPr>
      <t xml:space="preserve">[with | without] </t>
    </r>
    <r>
      <rPr>
        <sz val="12"/>
        <color theme="1"/>
        <rFont val="Arial"/>
        <family val="2"/>
      </rPr>
      <t xml:space="preserve">cabinet and cabinet </t>
    </r>
    <r>
      <rPr>
        <sz val="12"/>
        <color rgb="FF0000FF"/>
        <rFont val="Arial"/>
        <family val="2"/>
      </rPr>
      <t>[to be fixed into structure or similar as detailed on reference drawings]</t>
    </r>
  </si>
  <si>
    <r>
      <t xml:space="preserve">Installation of </t>
    </r>
    <r>
      <rPr>
        <sz val="12"/>
        <color rgb="FF0000FF"/>
        <rFont val="Arial"/>
        <family val="2"/>
      </rPr>
      <t>[building | tunnel | gantry]</t>
    </r>
    <r>
      <rPr>
        <sz val="12"/>
        <color theme="1"/>
        <rFont val="Arial"/>
        <family val="2"/>
      </rPr>
      <t xml:space="preserve"> mounted imaging equipment bracket long </t>
    </r>
    <r>
      <rPr>
        <sz val="12"/>
        <color rgb="FF0000FF"/>
        <rFont val="Arial"/>
        <family val="2"/>
      </rPr>
      <t xml:space="preserve">[with | without] </t>
    </r>
    <r>
      <rPr>
        <sz val="12"/>
        <color theme="1"/>
        <rFont val="Arial"/>
        <family val="2"/>
      </rPr>
      <t xml:space="preserve">cabinet brackets and cabinet </t>
    </r>
    <r>
      <rPr>
        <sz val="12"/>
        <color rgb="FF0000FF"/>
        <rFont val="Arial"/>
        <family val="2"/>
      </rPr>
      <t>[to be fixed into structure or similar as detailed on reference drawings]</t>
    </r>
  </si>
  <si>
    <r>
      <t>Supply and installation of</t>
    </r>
    <r>
      <rPr>
        <sz val="12"/>
        <color rgb="FF0000FF"/>
        <rFont val="Arial"/>
        <family val="2"/>
      </rPr>
      <t xml:space="preserve"> [building | tunnel | gantry]</t>
    </r>
    <r>
      <rPr>
        <sz val="12"/>
        <color theme="1"/>
        <rFont val="Arial"/>
        <family val="2"/>
      </rPr>
      <t xml:space="preserve"> mounted imaging equipment bracket</t>
    </r>
    <r>
      <rPr>
        <sz val="12"/>
        <color rgb="FF0000FF"/>
        <rFont val="Arial"/>
        <family val="2"/>
      </rPr>
      <t xml:space="preserve">, [length] </t>
    </r>
    <r>
      <rPr>
        <sz val="12"/>
        <color theme="1"/>
        <rFont val="Arial"/>
        <family val="2"/>
      </rPr>
      <t>metres long</t>
    </r>
    <r>
      <rPr>
        <sz val="12"/>
        <color rgb="FF0000FF"/>
        <rFont val="Arial"/>
        <family val="2"/>
      </rPr>
      <t xml:space="preserve"> [with | without]</t>
    </r>
    <r>
      <rPr>
        <sz val="12"/>
        <color theme="1"/>
        <rFont val="Arial"/>
        <family val="2"/>
      </rPr>
      <t xml:space="preserve"> cabinet brackets and cabinet </t>
    </r>
    <r>
      <rPr>
        <sz val="12"/>
        <color rgb="FF0000FF"/>
        <rFont val="Arial"/>
        <family val="2"/>
      </rPr>
      <t>[to be fixed into structure or similar as detailed on reference drawings]</t>
    </r>
  </si>
  <si>
    <r>
      <t>Removal of existing imaging equipment</t>
    </r>
    <r>
      <rPr>
        <sz val="12"/>
        <color rgb="FF0000FF"/>
        <rFont val="Arial"/>
        <family val="2"/>
      </rPr>
      <t xml:space="preserve"> [with | without] [pole l pole adaptor l encoder]</t>
    </r>
    <r>
      <rPr>
        <sz val="12"/>
        <color theme="1"/>
        <rFont val="Arial"/>
        <family val="2"/>
      </rPr>
      <t xml:space="preserve"> for disposal</t>
    </r>
  </si>
  <si>
    <r>
      <t xml:space="preserve">Removal of existing imaging equipment </t>
    </r>
    <r>
      <rPr>
        <sz val="12"/>
        <color rgb="FF0000FF"/>
        <rFont val="Arial"/>
        <family val="2"/>
      </rPr>
      <t>[with | without] [pole l pole adaptor l encoder]</t>
    </r>
    <r>
      <rPr>
        <sz val="12"/>
        <color theme="1"/>
        <rFont val="Arial"/>
        <family val="2"/>
      </rPr>
      <t xml:space="preserve"> for reuse</t>
    </r>
  </si>
  <si>
    <r>
      <t>Supply of</t>
    </r>
    <r>
      <rPr>
        <sz val="12"/>
        <color rgb="FF0000FF"/>
        <rFont val="Arial"/>
        <family val="2"/>
      </rPr>
      <t xml:space="preserve"> [single | double] </t>
    </r>
    <r>
      <rPr>
        <sz val="12"/>
        <color theme="1"/>
        <rFont val="Arial"/>
        <family val="2"/>
      </rPr>
      <t>field cabinet plinth base</t>
    </r>
  </si>
  <si>
    <r>
      <t>Installation of</t>
    </r>
    <r>
      <rPr>
        <sz val="12"/>
        <color rgb="FF0000FF"/>
        <rFont val="Arial"/>
        <family val="2"/>
      </rPr>
      <t xml:space="preserve"> [single | double]</t>
    </r>
    <r>
      <rPr>
        <sz val="12"/>
        <color theme="1"/>
        <rFont val="Arial"/>
        <family val="2"/>
      </rPr>
      <t xml:space="preserve"> field cabinet plinth base</t>
    </r>
  </si>
  <si>
    <r>
      <t>Supply and installation of</t>
    </r>
    <r>
      <rPr>
        <sz val="12"/>
        <color rgb="FF0000FF"/>
        <rFont val="Arial"/>
        <family val="2"/>
      </rPr>
      <t xml:space="preserve"> [single | double] </t>
    </r>
    <r>
      <rPr>
        <sz val="12"/>
        <color theme="1"/>
        <rFont val="Arial"/>
        <family val="2"/>
      </rPr>
      <t>field cabinet plinth</t>
    </r>
  </si>
  <si>
    <r>
      <t xml:space="preserve">Supply of field cabinet mounting </t>
    </r>
    <r>
      <rPr>
        <sz val="12"/>
        <color rgb="FF0000FF"/>
        <rFont val="Arial"/>
        <family val="2"/>
      </rPr>
      <t>[pole | post]</t>
    </r>
  </si>
  <si>
    <r>
      <t xml:space="preserve">Installation of field cabinet mounting </t>
    </r>
    <r>
      <rPr>
        <sz val="12"/>
        <color rgb="FF0000FF"/>
        <rFont val="Arial"/>
        <family val="2"/>
      </rPr>
      <t>[pole | post]</t>
    </r>
  </si>
  <si>
    <r>
      <t>Supply and installation of field cabinet mounting</t>
    </r>
    <r>
      <rPr>
        <sz val="12"/>
        <color rgb="FF0000FF"/>
        <rFont val="Arial"/>
        <family val="2"/>
      </rPr>
      <t xml:space="preserve"> [pole | post]</t>
    </r>
  </si>
  <si>
    <r>
      <t xml:space="preserve">Supply of </t>
    </r>
    <r>
      <rPr>
        <sz val="12"/>
        <color rgb="FF0000FF"/>
        <rFont val="Arial"/>
        <family val="2"/>
      </rPr>
      <t>[single plinth | double plinth | pole mount | top mount] [metered | unmetered]</t>
    </r>
    <r>
      <rPr>
        <sz val="12"/>
        <color theme="1"/>
        <rFont val="Arial"/>
        <family val="2"/>
      </rPr>
      <t xml:space="preserve"> field cabinet</t>
    </r>
  </si>
  <si>
    <r>
      <t>Installation of</t>
    </r>
    <r>
      <rPr>
        <sz val="12"/>
        <color rgb="FF0000FF"/>
        <rFont val="Arial"/>
        <family val="2"/>
      </rPr>
      <t xml:space="preserve"> [single plinth | double plinth | pole mount | top mount] [metered | unmetered] </t>
    </r>
    <r>
      <rPr>
        <sz val="12"/>
        <color theme="1"/>
        <rFont val="Arial"/>
        <family val="2"/>
      </rPr>
      <t>field cabinet</t>
    </r>
  </si>
  <si>
    <r>
      <t>Supply and installation of</t>
    </r>
    <r>
      <rPr>
        <sz val="12"/>
        <color rgb="FF0000FF"/>
        <rFont val="Arial"/>
        <family val="2"/>
      </rPr>
      <t xml:space="preserve"> [single plinth | double plinth | pole mount | top mount] [metered | unmetered] </t>
    </r>
    <r>
      <rPr>
        <sz val="12"/>
        <color theme="1"/>
        <rFont val="Arial"/>
        <family val="2"/>
      </rPr>
      <t>field cabinet</t>
    </r>
  </si>
  <si>
    <r>
      <t xml:space="preserve">Supply of field cabinet </t>
    </r>
    <r>
      <rPr>
        <sz val="12"/>
        <color rgb="FF0000FF"/>
        <rFont val="Arial"/>
        <family val="2"/>
      </rPr>
      <t>[fan | filter | shelf]</t>
    </r>
  </si>
  <si>
    <r>
      <t>Installation of  field cabinet</t>
    </r>
    <r>
      <rPr>
        <sz val="12"/>
        <color rgb="FF0000FF"/>
        <rFont val="Arial"/>
        <family val="2"/>
      </rPr>
      <t xml:space="preserve"> [fan | filter | shelf]</t>
    </r>
  </si>
  <si>
    <r>
      <t xml:space="preserve">Supply and Installation of  field cabinet </t>
    </r>
    <r>
      <rPr>
        <sz val="12"/>
        <color rgb="FF0000FF"/>
        <rFont val="Arial"/>
        <family val="2"/>
      </rPr>
      <t>[fan | filter | shelf]</t>
    </r>
  </si>
  <si>
    <r>
      <t>Removal of</t>
    </r>
    <r>
      <rPr>
        <sz val="12"/>
        <color rgb="FF0000FF"/>
        <rFont val="Arial"/>
        <family val="2"/>
      </rPr>
      <t xml:space="preserve"> [single plinth | double plinth | pole mounted | top mounted]</t>
    </r>
    <r>
      <rPr>
        <sz val="12"/>
        <color theme="1"/>
        <rFont val="Arial"/>
        <family val="2"/>
      </rPr>
      <t xml:space="preserve"> field cabinet,</t>
    </r>
    <r>
      <rPr>
        <sz val="12"/>
        <color rgb="FF0000FF"/>
        <rFont val="Arial"/>
        <family val="2"/>
      </rPr>
      <t xml:space="preserve"> [for salvage | for disposal]</t>
    </r>
  </si>
  <si>
    <r>
      <t>Installation of CMS footing including Anchor Cage for a PAD foundation</t>
    </r>
    <r>
      <rPr>
        <sz val="12"/>
        <color rgb="FF0000FF"/>
        <rFont val="Arial"/>
        <family val="2"/>
      </rPr>
      <t xml:space="preserve"> [insert dimensions or referenced drawing]</t>
    </r>
  </si>
  <si>
    <r>
      <t>Installation of CMS footing including Anchor Cage for a bored Piled Foundation incorporating</t>
    </r>
    <r>
      <rPr>
        <sz val="12"/>
        <color rgb="FF0000FF"/>
        <rFont val="Arial"/>
        <family val="2"/>
      </rPr>
      <t xml:space="preserve"> [no. of Piles]</t>
    </r>
    <r>
      <rPr>
        <sz val="12"/>
        <color theme="1"/>
        <rFont val="Arial"/>
        <family val="2"/>
      </rPr>
      <t xml:space="preserve"> at a diameter of</t>
    </r>
    <r>
      <rPr>
        <sz val="12"/>
        <color rgb="FF0000FF"/>
        <rFont val="Arial"/>
        <family val="2"/>
      </rPr>
      <t xml:space="preserve"> [in mm] </t>
    </r>
    <r>
      <rPr>
        <sz val="12"/>
        <color theme="1"/>
        <rFont val="Arial"/>
        <family val="2"/>
      </rPr>
      <t>at a depth of</t>
    </r>
    <r>
      <rPr>
        <sz val="12"/>
        <color rgb="FF0000FF"/>
        <rFont val="Arial"/>
        <family val="2"/>
      </rPr>
      <t xml:space="preserve"> [in m]</t>
    </r>
    <r>
      <rPr>
        <sz val="12"/>
        <color theme="1"/>
        <rFont val="Arial"/>
        <family val="2"/>
      </rPr>
      <t xml:space="preserve"> or as per referenced drawing</t>
    </r>
  </si>
  <si>
    <r>
      <t xml:space="preserve">Foundation Design for CMS on a mounting structure incorporating an affixed enclosure on a </t>
    </r>
    <r>
      <rPr>
        <sz val="12"/>
        <color rgb="FF0000FF"/>
        <rFont val="Arial"/>
        <family val="2"/>
      </rPr>
      <t>[PAD or bored Pile Foundation]</t>
    </r>
  </si>
  <si>
    <r>
      <t xml:space="preserve">Provision of CMS spares </t>
    </r>
    <r>
      <rPr>
        <sz val="12"/>
        <color rgb="FF0000FF"/>
        <rFont val="Arial"/>
        <family val="2"/>
      </rPr>
      <t>[as listed in the contract documents or on drawing reference]</t>
    </r>
  </si>
  <si>
    <r>
      <t>Supply of mains connection equipment including the supply of mains connection cable,</t>
    </r>
    <r>
      <rPr>
        <sz val="12"/>
        <color rgb="FF0000FF"/>
        <rFont val="Arial"/>
        <family val="2"/>
      </rPr>
      <t xml:space="preserve"> [length], [usage], [conducter size],</t>
    </r>
    <r>
      <rPr>
        <sz val="12"/>
        <color theme="1"/>
        <rFont val="Arial"/>
        <family val="2"/>
      </rPr>
      <t xml:space="preserve"> </t>
    </r>
    <r>
      <rPr>
        <sz val="12"/>
        <color rgb="FF0000FF"/>
        <rFont val="Arial"/>
        <family val="2"/>
      </rPr>
      <t>[number of cores]</t>
    </r>
    <r>
      <rPr>
        <sz val="12"/>
        <color theme="1"/>
        <rFont val="Arial"/>
        <family val="2"/>
      </rPr>
      <t xml:space="preserve"> cores, </t>
    </r>
    <r>
      <rPr>
        <sz val="12"/>
        <color rgb="FF0000FF"/>
        <rFont val="Arial"/>
        <family val="2"/>
      </rPr>
      <t>[core insulation],</t>
    </r>
    <r>
      <rPr>
        <sz val="12"/>
        <color theme="1"/>
        <rFont val="Arial"/>
        <family val="2"/>
      </rPr>
      <t xml:space="preserve"> </t>
    </r>
    <r>
      <rPr>
        <sz val="12"/>
        <color rgb="FF0000FF"/>
        <rFont val="Arial"/>
        <family val="2"/>
      </rPr>
      <t>[sheath insulation]</t>
    </r>
    <r>
      <rPr>
        <sz val="12"/>
        <color theme="1"/>
        <rFont val="Arial"/>
        <family val="2"/>
      </rPr>
      <t>,</t>
    </r>
    <r>
      <rPr>
        <sz val="12"/>
        <color rgb="FF0000FF"/>
        <rFont val="Arial"/>
        <family val="2"/>
      </rPr>
      <t xml:space="preserve"> [conductor material]</t>
    </r>
  </si>
  <si>
    <r>
      <t xml:space="preserve">Supply and installation of </t>
    </r>
    <r>
      <rPr>
        <sz val="12"/>
        <color rgb="FF0000FF"/>
        <rFont val="Arial"/>
        <family val="2"/>
      </rPr>
      <t>[Fix | Vehicle | Trailer | Concrete block]</t>
    </r>
    <r>
      <rPr>
        <sz val="12"/>
        <color theme="1"/>
        <rFont val="Arial"/>
        <family val="2"/>
      </rPr>
      <t xml:space="preserve"> mounted eTCS</t>
    </r>
    <r>
      <rPr>
        <sz val="12"/>
        <color rgb="FF0000FF"/>
        <rFont val="Arial"/>
        <family val="2"/>
      </rPr>
      <t xml:space="preserve"> [with | without] </t>
    </r>
    <r>
      <rPr>
        <sz val="12"/>
        <color theme="1"/>
        <rFont val="Arial"/>
        <family val="2"/>
      </rPr>
      <t xml:space="preserve">solar panels, </t>
    </r>
    <r>
      <rPr>
        <sz val="12"/>
        <color rgb="FF0000FF"/>
        <rFont val="Arial"/>
        <family val="2"/>
      </rPr>
      <t xml:space="preserve">[with | without] </t>
    </r>
    <r>
      <rPr>
        <sz val="12"/>
        <color theme="1"/>
        <rFont val="Arial"/>
        <family val="2"/>
      </rPr>
      <t>battery bank</t>
    </r>
  </si>
  <si>
    <r>
      <t xml:space="preserve">Supply and installation of a 10 metre connecting cable between the </t>
    </r>
    <r>
      <rPr>
        <sz val="12"/>
        <color rgb="FF0000FF"/>
        <rFont val="Arial"/>
        <family val="2"/>
      </rPr>
      <t>[Trailer | Concrete Block]</t>
    </r>
    <r>
      <rPr>
        <sz val="12"/>
        <color theme="1"/>
        <rFont val="Arial"/>
        <family val="2"/>
      </rPr>
      <t xml:space="preserve"> and the</t>
    </r>
    <r>
      <rPr>
        <sz val="12"/>
        <color rgb="FF0000FF"/>
        <rFont val="Arial"/>
        <family val="2"/>
      </rPr>
      <t xml:space="preserve"> [LED Sign display | Solar Panel Array with Battery Bank Enclosure]</t>
    </r>
    <r>
      <rPr>
        <sz val="12"/>
        <color theme="1"/>
        <rFont val="Arial"/>
        <family val="2"/>
      </rPr>
      <t xml:space="preserve"> extension</t>
    </r>
  </si>
  <si>
    <r>
      <t xml:space="preserve">Supply, installation and configuration of Configuration Software on a </t>
    </r>
    <r>
      <rPr>
        <sz val="12"/>
        <color rgb="FF0000FF"/>
        <rFont val="Arial"/>
        <family val="2"/>
      </rPr>
      <t>[Laptop | Other Compatible Device]</t>
    </r>
  </si>
  <si>
    <r>
      <t>Supply and configuration of a</t>
    </r>
    <r>
      <rPr>
        <sz val="12"/>
        <color rgb="FF0000FF"/>
        <rFont val="Arial"/>
        <family val="2"/>
      </rPr>
      <t xml:space="preserve"> [3G | 4G]</t>
    </r>
    <r>
      <rPr>
        <sz val="12"/>
        <color theme="1"/>
        <rFont val="Arial"/>
        <family val="2"/>
      </rPr>
      <t xml:space="preserve"> mobile phone service to allow communications between a eTCS Site Controller and</t>
    </r>
    <r>
      <rPr>
        <sz val="12"/>
        <color rgb="FF0000FF"/>
        <rFont val="Arial"/>
        <family val="2"/>
      </rPr>
      <t xml:space="preserve"> [eTCS Software | Mobile Phone Alerts]</t>
    </r>
  </si>
  <si>
    <r>
      <t>Supply of Field Processor with</t>
    </r>
    <r>
      <rPr>
        <sz val="12"/>
        <color rgb="FF0000FF"/>
        <rFont val="Arial"/>
        <family val="2"/>
      </rPr>
      <t xml:space="preserve"> [4 | 8]</t>
    </r>
    <r>
      <rPr>
        <sz val="12"/>
        <color theme="1"/>
        <rFont val="Arial"/>
        <family val="2"/>
      </rPr>
      <t xml:space="preserve"> serial communications ports.</t>
    </r>
  </si>
  <si>
    <r>
      <t>Recovery of Field Processor with</t>
    </r>
    <r>
      <rPr>
        <sz val="12"/>
        <color rgb="FF0000FF"/>
        <rFont val="Arial"/>
        <family val="2"/>
      </rPr>
      <t xml:space="preserve"> [4 | 8]</t>
    </r>
    <r>
      <rPr>
        <sz val="12"/>
        <color theme="1"/>
        <rFont val="Arial"/>
        <family val="2"/>
      </rPr>
      <t xml:space="preserve"> serial communications ports for re-use</t>
    </r>
  </si>
  <si>
    <r>
      <t>Installation of Field Processor with</t>
    </r>
    <r>
      <rPr>
        <sz val="12"/>
        <color rgb="FF0000FF"/>
        <rFont val="Arial"/>
        <family val="2"/>
      </rPr>
      <t xml:space="preserve"> [4 | 8]</t>
    </r>
    <r>
      <rPr>
        <sz val="12"/>
        <color theme="1"/>
        <rFont val="Arial"/>
        <family val="2"/>
      </rPr>
      <t xml:space="preserve"> serial communications ports</t>
    </r>
  </si>
  <si>
    <r>
      <t xml:space="preserve">Supply and installation of Field Processor with </t>
    </r>
    <r>
      <rPr>
        <sz val="12"/>
        <color rgb="FF0000FF"/>
        <rFont val="Arial"/>
        <family val="2"/>
      </rPr>
      <t>[4 | 8]</t>
    </r>
    <r>
      <rPr>
        <sz val="12"/>
        <color theme="1"/>
        <rFont val="Arial"/>
        <family val="2"/>
      </rPr>
      <t xml:space="preserve"> serial communications ports</t>
    </r>
  </si>
  <si>
    <r>
      <t>Provision of Field Processor</t>
    </r>
    <r>
      <rPr>
        <sz val="12"/>
        <color rgb="FF0000FF"/>
        <rFont val="Arial"/>
        <family val="2"/>
      </rPr>
      <t xml:space="preserve"> [EIA/RS RS232 | EIA/RS RS422 | USB]</t>
    </r>
    <r>
      <rPr>
        <sz val="12"/>
        <color theme="1"/>
        <rFont val="Arial"/>
        <family val="2"/>
      </rPr>
      <t xml:space="preserve"> cable</t>
    </r>
  </si>
  <si>
    <r>
      <t xml:space="preserve">Supply of </t>
    </r>
    <r>
      <rPr>
        <sz val="12"/>
        <color rgb="FF0000FF"/>
        <rFont val="Arial"/>
        <family val="2"/>
      </rPr>
      <t>[tilt | fixed]</t>
    </r>
    <r>
      <rPr>
        <sz val="12"/>
        <color theme="1"/>
        <rFont val="Arial"/>
        <family val="2"/>
      </rPr>
      <t xml:space="preserve"> pole support structure with approved</t>
    </r>
    <r>
      <rPr>
        <sz val="12"/>
        <color rgb="FF0000FF"/>
        <rFont val="Arial"/>
        <family val="2"/>
      </rPr>
      <t xml:space="preserve"> [fixed | relocatable] </t>
    </r>
    <r>
      <rPr>
        <sz val="12"/>
        <color theme="1"/>
        <rFont val="Arial"/>
        <family val="2"/>
      </rPr>
      <t>footing assembly as detailed on referenced approved drawings</t>
    </r>
  </si>
  <si>
    <r>
      <t xml:space="preserve">Installation of </t>
    </r>
    <r>
      <rPr>
        <sz val="12"/>
        <color rgb="FF0000FF"/>
        <rFont val="Arial"/>
        <family val="2"/>
      </rPr>
      <t>[tilt | fixed]</t>
    </r>
    <r>
      <rPr>
        <sz val="12"/>
        <color theme="1"/>
        <rFont val="Arial"/>
        <family val="2"/>
      </rPr>
      <t xml:space="preserve"> pole support structure with approved</t>
    </r>
    <r>
      <rPr>
        <sz val="12"/>
        <color rgb="FF0000FF"/>
        <rFont val="Arial"/>
        <family val="2"/>
      </rPr>
      <t xml:space="preserve"> [fixed | relocatable] </t>
    </r>
    <r>
      <rPr>
        <sz val="12"/>
        <color theme="1"/>
        <rFont val="Arial"/>
        <family val="2"/>
      </rPr>
      <t>footing assembly as detailed on referenced approved drawings</t>
    </r>
  </si>
  <si>
    <r>
      <t xml:space="preserve">Supply and Installation of </t>
    </r>
    <r>
      <rPr>
        <sz val="12"/>
        <color rgb="FF0000FF"/>
        <rFont val="Arial"/>
        <family val="2"/>
      </rPr>
      <t xml:space="preserve">[tilt | fixed] </t>
    </r>
    <r>
      <rPr>
        <sz val="12"/>
        <color theme="1"/>
        <rFont val="Arial"/>
        <family val="2"/>
      </rPr>
      <t xml:space="preserve">pole support structure with approved </t>
    </r>
    <r>
      <rPr>
        <sz val="12"/>
        <color rgb="FF0000FF"/>
        <rFont val="Arial"/>
        <family val="2"/>
      </rPr>
      <t xml:space="preserve">[fixed | relocatable] </t>
    </r>
    <r>
      <rPr>
        <sz val="12"/>
        <color theme="1"/>
        <rFont val="Arial"/>
        <family val="2"/>
      </rPr>
      <t>footing assembly as detailed on referenced approved drawings</t>
    </r>
  </si>
  <si>
    <r>
      <t xml:space="preserve">Supply of </t>
    </r>
    <r>
      <rPr>
        <sz val="12"/>
        <color rgb="FF0000FF"/>
        <rFont val="Arial"/>
        <family val="2"/>
      </rPr>
      <t xml:space="preserve">[Radar | Ultrasonic | Conductive probe | Gas bubbler] </t>
    </r>
    <r>
      <rPr>
        <sz val="12"/>
        <color theme="1"/>
        <rFont val="Arial"/>
        <family val="2"/>
      </rPr>
      <t>Flood Level sensor, or other approved types</t>
    </r>
  </si>
  <si>
    <r>
      <t>Installation of</t>
    </r>
    <r>
      <rPr>
        <sz val="12"/>
        <color rgb="FF0000FF"/>
        <rFont val="Arial"/>
        <family val="2"/>
      </rPr>
      <t xml:space="preserve"> [Radar | Ultrasonic | Conductive probe | Gas bubbler] </t>
    </r>
    <r>
      <rPr>
        <sz val="12"/>
        <color theme="1"/>
        <rFont val="Arial"/>
        <family val="2"/>
      </rPr>
      <t>Flood Level sensor, or other approved types</t>
    </r>
  </si>
  <si>
    <r>
      <t xml:space="preserve">Supply and installation of </t>
    </r>
    <r>
      <rPr>
        <sz val="12"/>
        <color rgb="FF0000FF"/>
        <rFont val="Arial"/>
        <family val="2"/>
      </rPr>
      <t>[Radar | Ultrasonic | Conductive probe | Gas bubbler]</t>
    </r>
    <r>
      <rPr>
        <sz val="12"/>
        <color theme="1"/>
        <rFont val="Arial"/>
        <family val="2"/>
      </rPr>
      <t xml:space="preserve"> Flood Level sensor, or other approved types</t>
    </r>
  </si>
  <si>
    <r>
      <t>Supply of copper patch lead,</t>
    </r>
    <r>
      <rPr>
        <sz val="12"/>
        <color rgb="FF0000FF"/>
        <rFont val="Arial"/>
        <family val="2"/>
      </rPr>
      <t xml:space="preserve"> [length of cable]</t>
    </r>
    <r>
      <rPr>
        <sz val="12"/>
        <color theme="1"/>
        <rFont val="Arial"/>
        <family val="2"/>
      </rPr>
      <t xml:space="preserve"> metres,</t>
    </r>
    <r>
      <rPr>
        <sz val="12"/>
        <color rgb="FF0000FF"/>
        <rFont val="Arial"/>
        <family val="2"/>
      </rPr>
      <t xml:space="preserve"> [end connector Type 1] </t>
    </r>
    <r>
      <rPr>
        <sz val="12"/>
        <color theme="1"/>
        <rFont val="Arial"/>
        <family val="2"/>
      </rPr>
      <t>type,</t>
    </r>
    <r>
      <rPr>
        <sz val="12"/>
        <color rgb="FF0000FF"/>
        <rFont val="Arial"/>
        <family val="2"/>
      </rPr>
      <t xml:space="preserve"> [end connector Type 2] </t>
    </r>
    <r>
      <rPr>
        <sz val="12"/>
        <color theme="1"/>
        <rFont val="Arial"/>
        <family val="2"/>
      </rPr>
      <t>type</t>
    </r>
  </si>
  <si>
    <r>
      <t xml:space="preserve">Installation of copper patch lead, </t>
    </r>
    <r>
      <rPr>
        <sz val="12"/>
        <color rgb="FF0000FF"/>
        <rFont val="Arial"/>
        <family val="2"/>
      </rPr>
      <t>[length of cable]</t>
    </r>
    <r>
      <rPr>
        <sz val="12"/>
        <color theme="1"/>
        <rFont val="Arial"/>
        <family val="2"/>
      </rPr>
      <t xml:space="preserve"> metres, </t>
    </r>
    <r>
      <rPr>
        <sz val="12"/>
        <color rgb="FF0000FF"/>
        <rFont val="Arial"/>
        <family val="2"/>
      </rPr>
      <t>[end connector Type 1]</t>
    </r>
    <r>
      <rPr>
        <sz val="12"/>
        <color theme="1"/>
        <rFont val="Arial"/>
        <family val="2"/>
      </rPr>
      <t xml:space="preserve"> type, </t>
    </r>
    <r>
      <rPr>
        <sz val="12"/>
        <color rgb="FF0000FF"/>
        <rFont val="Arial"/>
        <family val="2"/>
      </rPr>
      <t>[end connector Type 2]</t>
    </r>
    <r>
      <rPr>
        <sz val="12"/>
        <color theme="1"/>
        <rFont val="Arial"/>
        <family val="2"/>
      </rPr>
      <t xml:space="preserve"> type</t>
    </r>
  </si>
  <si>
    <r>
      <t xml:space="preserve">Supply and installation of copper patch lead, </t>
    </r>
    <r>
      <rPr>
        <sz val="12"/>
        <color rgb="FF0000FF"/>
        <rFont val="Arial"/>
        <family val="2"/>
      </rPr>
      <t>[length of cable]</t>
    </r>
    <r>
      <rPr>
        <sz val="12"/>
        <color theme="1"/>
        <rFont val="Arial"/>
        <family val="2"/>
      </rPr>
      <t xml:space="preserve"> metres, </t>
    </r>
    <r>
      <rPr>
        <sz val="12"/>
        <color rgb="FF0000FF"/>
        <rFont val="Arial"/>
        <family val="2"/>
      </rPr>
      <t>[end connector Type 1]</t>
    </r>
    <r>
      <rPr>
        <sz val="12"/>
        <color theme="1"/>
        <rFont val="Arial"/>
        <family val="2"/>
      </rPr>
      <t xml:space="preserve"> type, </t>
    </r>
    <r>
      <rPr>
        <sz val="12"/>
        <color rgb="FF0000FF"/>
        <rFont val="Arial"/>
        <family val="2"/>
      </rPr>
      <t>[end connector Type 2]</t>
    </r>
    <r>
      <rPr>
        <sz val="12"/>
        <color theme="1"/>
        <rFont val="Arial"/>
        <family val="2"/>
      </rPr>
      <t xml:space="preserve"> type </t>
    </r>
  </si>
  <si>
    <r>
      <t xml:space="preserve">Supply of Single-Mode Optical Fibre (SMOF) patch lead, </t>
    </r>
    <r>
      <rPr>
        <sz val="12"/>
        <color rgb="FF0000FF"/>
        <rFont val="Arial"/>
        <family val="2"/>
      </rPr>
      <t>[length of cable]</t>
    </r>
    <r>
      <rPr>
        <sz val="12"/>
        <color theme="1"/>
        <rFont val="Arial"/>
        <family val="2"/>
      </rPr>
      <t xml:space="preserve"> metres, </t>
    </r>
    <r>
      <rPr>
        <sz val="12"/>
        <color rgb="FF0000FF"/>
        <rFont val="Arial"/>
        <family val="2"/>
      </rPr>
      <t>[end connector Type 1]</t>
    </r>
    <r>
      <rPr>
        <sz val="12"/>
        <color theme="1"/>
        <rFont val="Arial"/>
        <family val="2"/>
      </rPr>
      <t xml:space="preserve"> type,</t>
    </r>
    <r>
      <rPr>
        <sz val="12"/>
        <color rgb="FF0000FF"/>
        <rFont val="Arial"/>
        <family val="2"/>
      </rPr>
      <t xml:space="preserve"> [end connector Type 2]</t>
    </r>
    <r>
      <rPr>
        <sz val="12"/>
        <color theme="1"/>
        <rFont val="Arial"/>
        <family val="2"/>
      </rPr>
      <t xml:space="preserve"> type and </t>
    </r>
    <r>
      <rPr>
        <sz val="12"/>
        <color rgb="FF0000FF"/>
        <rFont val="Arial"/>
        <family val="2"/>
      </rPr>
      <t>[Simplex | Duplex]</t>
    </r>
    <r>
      <rPr>
        <sz val="12"/>
        <color theme="1"/>
        <rFont val="Arial"/>
        <family val="2"/>
      </rPr>
      <t xml:space="preserve"> cores</t>
    </r>
  </si>
  <si>
    <r>
      <t xml:space="preserve">Installation of Single-Mode Optical Fibre (SMOF) patch lead, </t>
    </r>
    <r>
      <rPr>
        <sz val="12"/>
        <color rgb="FF0000FF"/>
        <rFont val="Arial"/>
        <family val="2"/>
      </rPr>
      <t xml:space="preserve">[length of cable] </t>
    </r>
    <r>
      <rPr>
        <sz val="12"/>
        <color theme="1"/>
        <rFont val="Arial"/>
        <family val="2"/>
      </rPr>
      <t xml:space="preserve">metres, </t>
    </r>
    <r>
      <rPr>
        <sz val="12"/>
        <color rgb="FF0000FF"/>
        <rFont val="Arial"/>
        <family val="2"/>
      </rPr>
      <t xml:space="preserve">[end connector Type 1] </t>
    </r>
    <r>
      <rPr>
        <sz val="12"/>
        <color theme="1"/>
        <rFont val="Arial"/>
        <family val="2"/>
      </rPr>
      <t>type,</t>
    </r>
    <r>
      <rPr>
        <sz val="12"/>
        <color rgb="FF0000FF"/>
        <rFont val="Arial"/>
        <family val="2"/>
      </rPr>
      <t xml:space="preserve"> [end connector Type 2] </t>
    </r>
    <r>
      <rPr>
        <sz val="12"/>
        <color theme="1"/>
        <rFont val="Arial"/>
        <family val="2"/>
      </rPr>
      <t>type and</t>
    </r>
    <r>
      <rPr>
        <sz val="12"/>
        <color rgb="FF0000FF"/>
        <rFont val="Arial"/>
        <family val="2"/>
      </rPr>
      <t xml:space="preserve"> [number of cores] </t>
    </r>
    <r>
      <rPr>
        <sz val="12"/>
        <color theme="1"/>
        <rFont val="Arial"/>
        <family val="2"/>
      </rPr>
      <t>cores</t>
    </r>
  </si>
  <si>
    <r>
      <t>Supply and installation of Single-Mode Optical Fibre (SMOF) patch lead,</t>
    </r>
    <r>
      <rPr>
        <sz val="12"/>
        <color rgb="FF0000FF"/>
        <rFont val="Arial"/>
        <family val="2"/>
      </rPr>
      <t xml:space="preserve"> [length of cable] </t>
    </r>
    <r>
      <rPr>
        <sz val="12"/>
        <color theme="1"/>
        <rFont val="Arial"/>
        <family val="2"/>
      </rPr>
      <t>metres,</t>
    </r>
    <r>
      <rPr>
        <sz val="12"/>
        <color rgb="FF0000FF"/>
        <rFont val="Arial"/>
        <family val="2"/>
      </rPr>
      <t xml:space="preserve"> [end connector Type 1] </t>
    </r>
    <r>
      <rPr>
        <sz val="12"/>
        <color theme="1"/>
        <rFont val="Arial"/>
        <family val="2"/>
      </rPr>
      <t>type,</t>
    </r>
    <r>
      <rPr>
        <sz val="12"/>
        <color rgb="FF0000FF"/>
        <rFont val="Arial"/>
        <family val="2"/>
      </rPr>
      <t xml:space="preserve"> [end connector Type 2]</t>
    </r>
    <r>
      <rPr>
        <sz val="12"/>
        <color theme="1"/>
        <rFont val="Arial"/>
        <family val="2"/>
      </rPr>
      <t xml:space="preserve"> type and</t>
    </r>
    <r>
      <rPr>
        <sz val="12"/>
        <color rgb="FF0000FF"/>
        <rFont val="Arial"/>
        <family val="2"/>
      </rPr>
      <t xml:space="preserve"> [Simplex | Duplex] </t>
    </r>
    <r>
      <rPr>
        <sz val="12"/>
        <color theme="1"/>
        <rFont val="Arial"/>
        <family val="2"/>
      </rPr>
      <t>cores</t>
    </r>
  </si>
  <si>
    <r>
      <t xml:space="preserve">Supply of Fibre Optic Break Out Terminal (FOBOT), </t>
    </r>
    <r>
      <rPr>
        <sz val="12"/>
        <color rgb="FF0000FF"/>
        <rFont val="Arial"/>
        <family val="2"/>
      </rPr>
      <t>[rack units]</t>
    </r>
    <r>
      <rPr>
        <sz val="12"/>
        <color theme="1"/>
        <rFont val="Arial"/>
        <family val="2"/>
      </rPr>
      <t xml:space="preserve"> units, </t>
    </r>
    <r>
      <rPr>
        <sz val="12"/>
        <color rgb="FF0000FF"/>
        <rFont val="Arial"/>
        <family val="2"/>
      </rPr>
      <t xml:space="preserve">[type] </t>
    </r>
    <r>
      <rPr>
        <sz val="12"/>
        <color theme="1"/>
        <rFont val="Arial"/>
        <family val="2"/>
      </rPr>
      <t xml:space="preserve">and </t>
    </r>
    <r>
      <rPr>
        <sz val="12"/>
        <color rgb="FF0000FF"/>
        <rFont val="Arial"/>
        <family val="2"/>
      </rPr>
      <t>[number of cable pigtails | sockets]</t>
    </r>
    <r>
      <rPr>
        <sz val="12"/>
        <color theme="1"/>
        <rFont val="Arial"/>
        <family val="2"/>
      </rPr>
      <t xml:space="preserve"> pigtails / sockets</t>
    </r>
  </si>
  <si>
    <r>
      <t xml:space="preserve">Installation of Fibre Optic Break Out Terminal (FOBOT), </t>
    </r>
    <r>
      <rPr>
        <sz val="12"/>
        <color rgb="FF0000FF"/>
        <rFont val="Arial"/>
        <family val="2"/>
      </rPr>
      <t>[rack units]</t>
    </r>
    <r>
      <rPr>
        <sz val="12"/>
        <color theme="1"/>
        <rFont val="Arial"/>
        <family val="2"/>
      </rPr>
      <t xml:space="preserve"> units, </t>
    </r>
    <r>
      <rPr>
        <sz val="12"/>
        <color rgb="FF0000FF"/>
        <rFont val="Arial"/>
        <family val="2"/>
      </rPr>
      <t>[type]</t>
    </r>
    <r>
      <rPr>
        <sz val="12"/>
        <color theme="1"/>
        <rFont val="Arial"/>
        <family val="2"/>
      </rPr>
      <t xml:space="preserve"> and</t>
    </r>
    <r>
      <rPr>
        <sz val="12"/>
        <color rgb="FF0000FF"/>
        <rFont val="Arial"/>
        <family val="2"/>
      </rPr>
      <t xml:space="preserve"> [number of cable pigtails | sockets] </t>
    </r>
    <r>
      <rPr>
        <sz val="12"/>
        <color theme="1"/>
        <rFont val="Arial"/>
        <family val="2"/>
      </rPr>
      <t>pigtails / sockets</t>
    </r>
  </si>
  <si>
    <r>
      <t>Supply and installation of Fibre Optic Break Out Terminal (FOBOT),</t>
    </r>
    <r>
      <rPr>
        <sz val="12"/>
        <color rgb="FF0000FF"/>
        <rFont val="Arial"/>
        <family val="2"/>
      </rPr>
      <t xml:space="preserve"> [rack units] </t>
    </r>
    <r>
      <rPr>
        <sz val="12"/>
        <color theme="1"/>
        <rFont val="Arial"/>
        <family val="2"/>
      </rPr>
      <t>units,</t>
    </r>
    <r>
      <rPr>
        <sz val="12"/>
        <color rgb="FF0000FF"/>
        <rFont val="Arial"/>
        <family val="2"/>
      </rPr>
      <t xml:space="preserve"> [type] </t>
    </r>
    <r>
      <rPr>
        <sz val="12"/>
        <color theme="1"/>
        <rFont val="Arial"/>
        <family val="2"/>
      </rPr>
      <t xml:space="preserve">and </t>
    </r>
    <r>
      <rPr>
        <sz val="12"/>
        <color rgb="FF0000FF"/>
        <rFont val="Arial"/>
        <family val="2"/>
      </rPr>
      <t xml:space="preserve">[number of cable pigtails | sockets] </t>
    </r>
    <r>
      <rPr>
        <sz val="12"/>
        <color theme="1"/>
        <rFont val="Arial"/>
        <family val="2"/>
      </rPr>
      <t>pigtails / sockets</t>
    </r>
  </si>
  <si>
    <r>
      <t xml:space="preserve">Supply of underground rated Fibre Optic Splicing Closure (FOSC) for the fusion splicing of </t>
    </r>
    <r>
      <rPr>
        <sz val="12"/>
        <color rgb="FF0000FF"/>
        <rFont val="Arial"/>
        <family val="2"/>
      </rPr>
      <t>[number of cores]</t>
    </r>
    <r>
      <rPr>
        <sz val="12"/>
        <color theme="1"/>
        <rFont val="Arial"/>
        <family val="2"/>
      </rPr>
      <t xml:space="preserve"> fibre optic cable segments</t>
    </r>
  </si>
  <si>
    <r>
      <t>Installation of underground rated Fibre Optic Splicing Closure (FOSC) for the fusion splicing of</t>
    </r>
    <r>
      <rPr>
        <sz val="12"/>
        <color rgb="FF0000FF"/>
        <rFont val="Arial"/>
        <family val="2"/>
      </rPr>
      <t xml:space="preserve"> [number of cores]</t>
    </r>
    <r>
      <rPr>
        <sz val="12"/>
        <color theme="1"/>
        <rFont val="Arial"/>
        <family val="2"/>
      </rPr>
      <t xml:space="preserve"> fibre optic cable segments</t>
    </r>
  </si>
  <si>
    <r>
      <t>Supply and installation of underground rated Fibre Optic Splicing Closure (FOSC) for the fusion splicing of</t>
    </r>
    <r>
      <rPr>
        <sz val="12"/>
        <color rgb="FF0000FF"/>
        <rFont val="Arial"/>
        <family val="2"/>
      </rPr>
      <t xml:space="preserve"> [number of cores]</t>
    </r>
    <r>
      <rPr>
        <sz val="12"/>
        <color theme="1"/>
        <rFont val="Arial"/>
        <family val="2"/>
      </rPr>
      <t xml:space="preserve"> fibre optic cable segments</t>
    </r>
  </si>
  <si>
    <r>
      <t>Disconnection and removal of an existing</t>
    </r>
    <r>
      <rPr>
        <sz val="12"/>
        <color rgb="FF0000FF"/>
        <rFont val="Arial"/>
        <family val="2"/>
      </rPr>
      <t xml:space="preserve"> [rack units]</t>
    </r>
    <r>
      <rPr>
        <sz val="12"/>
        <color theme="1"/>
        <rFont val="Arial"/>
        <family val="2"/>
      </rPr>
      <t xml:space="preserve"> rack unit FOBOT with </t>
    </r>
    <r>
      <rPr>
        <sz val="12"/>
        <color rgb="FF0000FF"/>
        <rFont val="Arial"/>
        <family val="2"/>
      </rPr>
      <t xml:space="preserve">[number of pigtails] </t>
    </r>
    <r>
      <rPr>
        <sz val="12"/>
        <color theme="1"/>
        <rFont val="Arial"/>
        <family val="2"/>
      </rPr>
      <t>pigtails from a cabinet</t>
    </r>
  </si>
  <si>
    <r>
      <t>Supply only of ITS ICT Networking hardware -</t>
    </r>
    <r>
      <rPr>
        <sz val="12"/>
        <color rgb="FF0000FF"/>
        <rFont val="Arial"/>
        <family val="2"/>
      </rPr>
      <t xml:space="preserve"> [Layer 2 Managed Network Switch | Layer 3 Managed Network Switch | Modem / router / firewall | Media converter | Optical Fibre Patch Panel | Other]</t>
    </r>
  </si>
  <si>
    <r>
      <t>Installation only of ITS ICT Networking hardware -</t>
    </r>
    <r>
      <rPr>
        <sz val="12"/>
        <color rgb="FF0000FF"/>
        <rFont val="Arial"/>
        <family val="2"/>
      </rPr>
      <t xml:space="preserve"> [Layer 2 Managed Network Switch | Layer 3 Managed Network Switch | Modem / router / firewall | Media converter | Optical Fibre Patch Panel | Other]</t>
    </r>
  </si>
  <si>
    <r>
      <t>Supply and installation of ITS ICT Networking hardware -</t>
    </r>
    <r>
      <rPr>
        <sz val="12"/>
        <color rgb="FF0000FF"/>
        <rFont val="Arial"/>
        <family val="2"/>
      </rPr>
      <t xml:space="preserve"> [Layer 2 Managed Network Switch | Layer 3 Managed Network Switch | Modem / router / firewall | Media converter | Optical Fibre Patch Panel | Other]</t>
    </r>
  </si>
  <si>
    <r>
      <t>Supply of aerial road lighting cable,</t>
    </r>
    <r>
      <rPr>
        <sz val="12"/>
        <color rgb="FF0000FF"/>
        <rFont val="Arial"/>
        <family val="2"/>
      </rPr>
      <t xml:space="preserve"> [conductor size], [number of cores]</t>
    </r>
    <r>
      <rPr>
        <sz val="12"/>
        <color theme="1"/>
        <rFont val="Arial"/>
        <family val="2"/>
      </rPr>
      <t xml:space="preserve"> cores, </t>
    </r>
    <r>
      <rPr>
        <sz val="12"/>
        <color rgb="FF0000FF"/>
        <rFont val="Arial"/>
        <family val="2"/>
      </rPr>
      <t>[core insulation], [sheath insulation], [conductor material]</t>
    </r>
  </si>
  <si>
    <r>
      <t xml:space="preserve">Supply of traffic signal cable, </t>
    </r>
    <r>
      <rPr>
        <sz val="12"/>
        <color rgb="FF0000FF"/>
        <rFont val="Arial"/>
        <family val="2"/>
      </rPr>
      <t xml:space="preserve">[conductor size], [number of cores] </t>
    </r>
    <r>
      <rPr>
        <sz val="12"/>
        <color theme="1"/>
        <rFont val="Arial"/>
        <family val="2"/>
      </rPr>
      <t>cores,</t>
    </r>
    <r>
      <rPr>
        <sz val="12"/>
        <color rgb="FF0000FF"/>
        <rFont val="Arial"/>
        <family val="2"/>
      </rPr>
      <t xml:space="preserve"> [core insulation], [sheath insulation], [conductor material]</t>
    </r>
  </si>
  <si>
    <r>
      <t>Supply of cable,</t>
    </r>
    <r>
      <rPr>
        <sz val="12"/>
        <color rgb="FF0000FF"/>
        <rFont val="Arial"/>
        <family val="2"/>
      </rPr>
      <t xml:space="preserve"> [usage], [conductor size], [number of cores] </t>
    </r>
    <r>
      <rPr>
        <sz val="12"/>
        <color theme="1"/>
        <rFont val="Arial"/>
        <family val="2"/>
      </rPr>
      <t xml:space="preserve">cores, </t>
    </r>
    <r>
      <rPr>
        <sz val="12"/>
        <color rgb="FF0000FF"/>
        <rFont val="Arial"/>
        <family val="2"/>
      </rPr>
      <t>[core insulation], [sheath insulation], [conductor material]</t>
    </r>
  </si>
  <si>
    <r>
      <t>Supply of aerial cable connector,</t>
    </r>
    <r>
      <rPr>
        <sz val="12"/>
        <color rgb="FF0000FF"/>
        <rFont val="Arial"/>
        <family val="2"/>
      </rPr>
      <t xml:space="preserve"> [type]</t>
    </r>
  </si>
  <si>
    <r>
      <t>Installation, jointing and termination of traffic signal cable,</t>
    </r>
    <r>
      <rPr>
        <sz val="12"/>
        <color rgb="FF0000FF"/>
        <rFont val="Arial"/>
        <family val="2"/>
      </rPr>
      <t xml:space="preserve"> [cores]</t>
    </r>
  </si>
  <si>
    <r>
      <t>Installation, jointing and termination of loop detector cable,</t>
    </r>
    <r>
      <rPr>
        <sz val="12"/>
        <color rgb="FF0000FF"/>
        <rFont val="Arial"/>
        <family val="2"/>
      </rPr>
      <t xml:space="preserve"> [cores]</t>
    </r>
  </si>
  <si>
    <r>
      <t xml:space="preserve">Installation, jointing and termination of cable, </t>
    </r>
    <r>
      <rPr>
        <sz val="12"/>
        <color rgb="FF0000FF"/>
        <rFont val="Arial"/>
        <family val="2"/>
      </rPr>
      <t>[usage], [cores]</t>
    </r>
  </si>
  <si>
    <r>
      <t xml:space="preserve">Installation, jointing and termination of aerial road lighting cable, </t>
    </r>
    <r>
      <rPr>
        <sz val="12"/>
        <color rgb="FF0000FF"/>
        <rFont val="Arial"/>
        <family val="2"/>
      </rPr>
      <t>[cores]</t>
    </r>
  </si>
  <si>
    <r>
      <t xml:space="preserve">Supply of loop detector cable, </t>
    </r>
    <r>
      <rPr>
        <sz val="12"/>
        <color rgb="FF0000FF"/>
        <rFont val="Arial"/>
        <family val="2"/>
      </rPr>
      <t>[conductor size], [number of cores]</t>
    </r>
    <r>
      <rPr>
        <sz val="12"/>
        <color theme="1"/>
        <rFont val="Arial"/>
        <family val="2"/>
      </rPr>
      <t xml:space="preserve"> cores, </t>
    </r>
    <r>
      <rPr>
        <sz val="12"/>
        <color rgb="FF0000FF"/>
        <rFont val="Arial"/>
        <family val="2"/>
      </rPr>
      <t>[core insulation], [sheath insulation], [conductor material]</t>
    </r>
  </si>
  <si>
    <r>
      <t xml:space="preserve">Supply of cable, </t>
    </r>
    <r>
      <rPr>
        <sz val="12"/>
        <color rgb="FF0000FF"/>
        <rFont val="Arial"/>
        <family val="2"/>
      </rPr>
      <t xml:space="preserve">[usage], [conductor size], [number of cores] </t>
    </r>
    <r>
      <rPr>
        <sz val="12"/>
        <color theme="1"/>
        <rFont val="Arial"/>
        <family val="2"/>
      </rPr>
      <t>cores,</t>
    </r>
    <r>
      <rPr>
        <sz val="12"/>
        <color rgb="FF0000FF"/>
        <rFont val="Arial"/>
        <family val="2"/>
      </rPr>
      <t xml:space="preserve"> [core insulation], [sheath insulation], [conductor material]</t>
    </r>
  </si>
  <si>
    <r>
      <t>Supply of cable joint,</t>
    </r>
    <r>
      <rPr>
        <sz val="12"/>
        <color rgb="FF0000FF"/>
        <rFont val="Arial"/>
        <family val="2"/>
      </rPr>
      <t xml:space="preserve"> [fused | unfused]</t>
    </r>
  </si>
  <si>
    <r>
      <t xml:space="preserve">Installation, jointing and termination of loop detector cable, </t>
    </r>
    <r>
      <rPr>
        <sz val="12"/>
        <color rgb="FF0000FF"/>
        <rFont val="Arial"/>
        <family val="2"/>
      </rPr>
      <t>[cores]</t>
    </r>
  </si>
  <si>
    <r>
      <t>Supply of</t>
    </r>
    <r>
      <rPr>
        <sz val="12"/>
        <color rgb="FF0000FF"/>
        <rFont val="Arial"/>
        <family val="2"/>
      </rPr>
      <t xml:space="preserve"> [rectangular | square] </t>
    </r>
    <r>
      <rPr>
        <sz val="12"/>
        <color theme="1"/>
        <rFont val="Arial"/>
        <family val="2"/>
      </rPr>
      <t xml:space="preserve">preformed loops </t>
    </r>
    <r>
      <rPr>
        <sz val="12"/>
        <color rgb="FF0000FF"/>
        <rFont val="Arial"/>
        <family val="2"/>
      </rPr>
      <t>[dimensions], [no. of turns | inductance range] in [concrete | asphalt]</t>
    </r>
    <r>
      <rPr>
        <sz val="12"/>
        <color theme="1"/>
        <rFont val="Arial"/>
        <family val="2"/>
      </rPr>
      <t xml:space="preserve"> pavement</t>
    </r>
  </si>
  <si>
    <r>
      <t xml:space="preserve">Supply and installation of </t>
    </r>
    <r>
      <rPr>
        <sz val="12"/>
        <color rgb="FF0000FF"/>
        <rFont val="Arial"/>
        <family val="2"/>
      </rPr>
      <t>[rectangular | square]</t>
    </r>
    <r>
      <rPr>
        <sz val="12"/>
        <color theme="1"/>
        <rFont val="Arial"/>
        <family val="2"/>
      </rPr>
      <t xml:space="preserve"> preformed loops</t>
    </r>
    <r>
      <rPr>
        <sz val="12"/>
        <color rgb="FF0000FF"/>
        <rFont val="Arial"/>
        <family val="2"/>
      </rPr>
      <t xml:space="preserve"> [dimensions], [no. of turns | inductance range] in [concrete | asphalt] </t>
    </r>
    <r>
      <rPr>
        <sz val="12"/>
        <color theme="1"/>
        <rFont val="Arial"/>
        <family val="2"/>
      </rPr>
      <t>pavement</t>
    </r>
  </si>
  <si>
    <r>
      <t>Installation of</t>
    </r>
    <r>
      <rPr>
        <sz val="12"/>
        <color rgb="FF0000FF"/>
        <rFont val="Arial"/>
        <family val="2"/>
      </rPr>
      <t xml:space="preserve"> [rectangular | square]</t>
    </r>
    <r>
      <rPr>
        <sz val="12"/>
        <color theme="1"/>
        <rFont val="Arial"/>
        <family val="2"/>
      </rPr>
      <t xml:space="preserve"> preformed loops </t>
    </r>
    <r>
      <rPr>
        <sz val="12"/>
        <color rgb="FF0000FF"/>
        <rFont val="Arial"/>
        <family val="2"/>
      </rPr>
      <t>[dimensions], [no. of turns | inductance range]</t>
    </r>
    <r>
      <rPr>
        <sz val="12"/>
        <color theme="1"/>
        <rFont val="Arial"/>
        <family val="2"/>
      </rPr>
      <t xml:space="preserve"> in</t>
    </r>
    <r>
      <rPr>
        <sz val="12"/>
        <color rgb="FF0000FF"/>
        <rFont val="Arial"/>
        <family val="2"/>
      </rPr>
      <t xml:space="preserve"> [concrete | asphalt]</t>
    </r>
    <r>
      <rPr>
        <sz val="12"/>
        <color theme="1"/>
        <rFont val="Arial"/>
        <family val="2"/>
      </rPr>
      <t xml:space="preserve"> pavement</t>
    </r>
  </si>
  <si>
    <r>
      <t>Supply and installation of Trailer mounted Type</t>
    </r>
    <r>
      <rPr>
        <sz val="12"/>
        <color rgb="FF0000FF"/>
        <rFont val="Arial"/>
        <family val="2"/>
      </rPr>
      <t xml:space="preserve"> [A | B | C | D]</t>
    </r>
    <r>
      <rPr>
        <sz val="12"/>
        <color theme="1"/>
        <rFont val="Arial"/>
        <family val="2"/>
      </rPr>
      <t xml:space="preserve"> TVSL Sign including but not limited to</t>
    </r>
    <r>
      <rPr>
        <sz val="12"/>
        <color rgb="FF0000FF"/>
        <rFont val="Arial"/>
        <family val="2"/>
      </rPr>
      <t xml:space="preserve"> [with | without] </t>
    </r>
    <r>
      <rPr>
        <sz val="12"/>
        <color theme="1"/>
        <rFont val="Arial"/>
        <family val="2"/>
      </rPr>
      <t>solar panels,</t>
    </r>
    <r>
      <rPr>
        <sz val="12"/>
        <color rgb="FF0000FF"/>
        <rFont val="Arial"/>
        <family val="2"/>
      </rPr>
      <t xml:space="preserve"> [with | without]</t>
    </r>
    <r>
      <rPr>
        <sz val="12"/>
        <color theme="1"/>
        <rFont val="Arial"/>
        <family val="2"/>
      </rPr>
      <t xml:space="preserve"> battery bank, site controller,</t>
    </r>
    <r>
      <rPr>
        <sz val="12"/>
        <color rgb="FF0000FF"/>
        <rFont val="Arial"/>
        <family val="2"/>
      </rPr>
      <t xml:space="preserve"> [with | without] </t>
    </r>
    <r>
      <rPr>
        <sz val="12"/>
        <color theme="1"/>
        <rFont val="Arial"/>
        <family val="2"/>
      </rPr>
      <t xml:space="preserve">LED sign display, </t>
    </r>
    <r>
      <rPr>
        <sz val="12"/>
        <color rgb="FF0000FF"/>
        <rFont val="Arial"/>
        <family val="2"/>
      </rPr>
      <t xml:space="preserve">[with | without] </t>
    </r>
    <r>
      <rPr>
        <sz val="12"/>
        <color theme="1"/>
        <rFont val="Arial"/>
        <family val="2"/>
      </rPr>
      <t>flashing yellow alert light,</t>
    </r>
    <r>
      <rPr>
        <sz val="12"/>
        <color rgb="FF0000FF"/>
        <rFont val="Arial"/>
        <family val="2"/>
      </rPr>
      <t xml:space="preserve"> [with | without]</t>
    </r>
    <r>
      <rPr>
        <sz val="12"/>
        <color theme="1"/>
        <rFont val="Arial"/>
        <family val="2"/>
      </rPr>
      <t xml:space="preserve"> gyroscopic sensor, </t>
    </r>
    <r>
      <rPr>
        <sz val="12"/>
        <color rgb="FF0000FF"/>
        <rFont val="Arial"/>
        <family val="2"/>
      </rPr>
      <t xml:space="preserve">[with | without] </t>
    </r>
    <r>
      <rPr>
        <sz val="12"/>
        <color theme="1"/>
        <rFont val="Arial"/>
        <family val="2"/>
      </rPr>
      <t>directional compass, wheels &amp; tyres, stabilisers and</t>
    </r>
    <r>
      <rPr>
        <sz val="12"/>
        <color rgb="FF0000FF"/>
        <rFont val="Arial"/>
        <family val="2"/>
      </rPr>
      <t xml:space="preserve"> [with | without] </t>
    </r>
    <r>
      <rPr>
        <sz val="12"/>
        <color theme="1"/>
        <rFont val="Arial"/>
        <family val="2"/>
      </rPr>
      <t>storage compartments</t>
    </r>
  </si>
  <si>
    <r>
      <t>Supply and installation of concrete block mounted Type</t>
    </r>
    <r>
      <rPr>
        <sz val="12"/>
        <color rgb="FF0000FF"/>
        <rFont val="Arial"/>
        <family val="2"/>
      </rPr>
      <t xml:space="preserve"> [A | B | C | D]</t>
    </r>
    <r>
      <rPr>
        <sz val="12"/>
        <color theme="1"/>
        <rFont val="Arial"/>
        <family val="2"/>
      </rPr>
      <t xml:space="preserve"> TVSL sign including but not limited to </t>
    </r>
    <r>
      <rPr>
        <sz val="12"/>
        <color rgb="FF0000FF"/>
        <rFont val="Arial"/>
        <family val="2"/>
      </rPr>
      <t>[with | without]</t>
    </r>
    <r>
      <rPr>
        <sz val="12"/>
        <color theme="1"/>
        <rFont val="Arial"/>
        <family val="2"/>
      </rPr>
      <t xml:space="preserve"> solar panels, </t>
    </r>
    <r>
      <rPr>
        <sz val="12"/>
        <color rgb="FF0000FF"/>
        <rFont val="Arial"/>
        <family val="2"/>
      </rPr>
      <t xml:space="preserve">[with | without] </t>
    </r>
    <r>
      <rPr>
        <sz val="12"/>
        <color theme="1"/>
        <rFont val="Arial"/>
        <family val="2"/>
      </rPr>
      <t xml:space="preserve">battery bank, site controller, </t>
    </r>
    <r>
      <rPr>
        <sz val="12"/>
        <color rgb="FF0000FF"/>
        <rFont val="Arial"/>
        <family val="2"/>
      </rPr>
      <t xml:space="preserve">[with | without] </t>
    </r>
    <r>
      <rPr>
        <sz val="12"/>
        <color theme="1"/>
        <rFont val="Arial"/>
        <family val="2"/>
      </rPr>
      <t xml:space="preserve">LED sign display, </t>
    </r>
    <r>
      <rPr>
        <sz val="12"/>
        <color rgb="FF0000FF"/>
        <rFont val="Arial"/>
        <family val="2"/>
      </rPr>
      <t>[with | without]</t>
    </r>
    <r>
      <rPr>
        <sz val="12"/>
        <color theme="1"/>
        <rFont val="Arial"/>
        <family val="2"/>
      </rPr>
      <t xml:space="preserve"> flashing yellow alert light,</t>
    </r>
    <r>
      <rPr>
        <sz val="12"/>
        <color rgb="FF0000FF"/>
        <rFont val="Arial"/>
        <family val="2"/>
      </rPr>
      <t xml:space="preserve"> [with | without]</t>
    </r>
    <r>
      <rPr>
        <sz val="12"/>
        <color theme="1"/>
        <rFont val="Arial"/>
        <family val="2"/>
      </rPr>
      <t xml:space="preserve"> GPS sensor, movement sensors and</t>
    </r>
    <r>
      <rPr>
        <sz val="12"/>
        <color rgb="FF0000FF"/>
        <rFont val="Arial"/>
        <family val="2"/>
      </rPr>
      <t xml:space="preserve"> [with | without]</t>
    </r>
    <r>
      <rPr>
        <sz val="12"/>
        <color theme="1"/>
        <rFont val="Arial"/>
        <family val="2"/>
      </rPr>
      <t xml:space="preserve"> storage compartments</t>
    </r>
  </si>
  <si>
    <r>
      <t>Supply and installation of a Type</t>
    </r>
    <r>
      <rPr>
        <sz val="12"/>
        <color rgb="FF0000FF"/>
        <rFont val="Arial"/>
        <family val="2"/>
      </rPr>
      <t xml:space="preserve"> [A | B | C | D]</t>
    </r>
    <r>
      <rPr>
        <sz val="12"/>
        <color theme="1"/>
        <rFont val="Arial"/>
        <family val="2"/>
      </rPr>
      <t xml:space="preserve"> TVSL LED Sign display extension with flashing yellow alert light on a post-mounted support structure and foundation</t>
    </r>
  </si>
  <si>
    <r>
      <t>Supply and Installation of a 10 metre connecting cable between the TVSL</t>
    </r>
    <r>
      <rPr>
        <sz val="12"/>
        <color rgb="FF0000FF"/>
        <rFont val="Arial"/>
        <family val="2"/>
      </rPr>
      <t xml:space="preserve"> [trailer | concrete block]</t>
    </r>
    <r>
      <rPr>
        <sz val="12"/>
        <color theme="1"/>
        <rFont val="Arial"/>
        <family val="2"/>
      </rPr>
      <t xml:space="preserve"> and the</t>
    </r>
    <r>
      <rPr>
        <sz val="12"/>
        <color rgb="FF0000FF"/>
        <rFont val="Arial"/>
        <family val="2"/>
      </rPr>
      <t xml:space="preserve"> [Type [A | B | C | D] TVSL LED Sign display extension | TVSL Solar Panel Array with Battery Bank Enclosure Extension]</t>
    </r>
  </si>
  <si>
    <r>
      <t xml:space="preserve">Supply, installation and configuration of RSCS Software on a </t>
    </r>
    <r>
      <rPr>
        <sz val="12"/>
        <color rgb="FF0000FF"/>
        <rFont val="Arial"/>
        <family val="2"/>
      </rPr>
      <t xml:space="preserve">[Laptop | PC] </t>
    </r>
  </si>
  <si>
    <r>
      <t>Supply, installation and configuration of configuration software on a</t>
    </r>
    <r>
      <rPr>
        <sz val="12"/>
        <color rgb="FF0000FF"/>
        <rFont val="Arial"/>
        <family val="2"/>
      </rPr>
      <t xml:space="preserve"> [Laptop | Other compatible device]</t>
    </r>
  </si>
  <si>
    <r>
      <t>Supply and configuration of a</t>
    </r>
    <r>
      <rPr>
        <sz val="12"/>
        <color rgb="FF0000FF"/>
        <rFont val="Arial"/>
        <family val="2"/>
      </rPr>
      <t xml:space="preserve"> [3G | 4G]</t>
    </r>
    <r>
      <rPr>
        <sz val="12"/>
        <color theme="1"/>
        <rFont val="Arial"/>
        <family val="2"/>
      </rPr>
      <t xml:space="preserve"> mobile phone service to allow communications between a TVSL Site Controller and </t>
    </r>
    <r>
      <rPr>
        <sz val="12"/>
        <color rgb="FF0000FF"/>
        <rFont val="Arial"/>
        <family val="2"/>
      </rPr>
      <t xml:space="preserve">[RSCS software | Mobile Phone alerts] </t>
    </r>
  </si>
  <si>
    <r>
      <t>Supply and installation of static MUTCD compliant default</t>
    </r>
    <r>
      <rPr>
        <sz val="12"/>
        <color rgb="FF0000FF"/>
        <rFont val="Arial"/>
        <family val="2"/>
      </rPr>
      <t xml:space="preserve"> [100km/h | 80 km/h | 60 km/h | 40 km/h]</t>
    </r>
    <r>
      <rPr>
        <sz val="12"/>
        <color theme="1"/>
        <rFont val="Arial"/>
        <family val="2"/>
      </rPr>
      <t xml:space="preserve"> speed limit sign “WHEN SIGN ABOVE IS BLANK”</t>
    </r>
  </si>
  <si>
    <r>
      <t>Supply and installation of</t>
    </r>
    <r>
      <rPr>
        <sz val="12"/>
        <color rgb="FF0000FF"/>
        <rFont val="Arial"/>
        <family val="2"/>
      </rPr>
      <t xml:space="preserve"> [vehicle | trailer | concrete block] </t>
    </r>
    <r>
      <rPr>
        <sz val="12"/>
        <color theme="1"/>
        <rFont val="Arial"/>
        <family val="2"/>
      </rPr>
      <t>mounted TVMS Sign</t>
    </r>
    <r>
      <rPr>
        <sz val="12"/>
        <color rgb="FF0000FF"/>
        <rFont val="Arial"/>
        <family val="2"/>
      </rPr>
      <t xml:space="preserve"> [with | without] </t>
    </r>
    <r>
      <rPr>
        <sz val="12"/>
        <color theme="1"/>
        <rFont val="Arial"/>
        <family val="2"/>
      </rPr>
      <t>solar panels,</t>
    </r>
    <r>
      <rPr>
        <sz val="12"/>
        <color rgb="FF0000FF"/>
        <rFont val="Arial"/>
        <family val="2"/>
      </rPr>
      <t xml:space="preserve"> [with | without] </t>
    </r>
    <r>
      <rPr>
        <sz val="12"/>
        <color theme="1"/>
        <rFont val="Arial"/>
        <family val="2"/>
      </rPr>
      <t>battery bank,</t>
    </r>
    <r>
      <rPr>
        <sz val="12"/>
        <color rgb="FF0000FF"/>
        <rFont val="Arial"/>
        <family val="2"/>
      </rPr>
      <t xml:space="preserve"> [with | without]</t>
    </r>
    <r>
      <rPr>
        <sz val="12"/>
        <color theme="1"/>
        <rFont val="Arial"/>
        <family val="2"/>
      </rPr>
      <t xml:space="preserve"> gyroscopic sensor,</t>
    </r>
    <r>
      <rPr>
        <sz val="12"/>
        <color rgb="FF0000FF"/>
        <rFont val="Arial"/>
        <family val="2"/>
      </rPr>
      <t xml:space="preserve"> [with | without] </t>
    </r>
    <r>
      <rPr>
        <sz val="12"/>
        <color theme="1"/>
        <rFont val="Arial"/>
        <family val="2"/>
      </rPr>
      <t>directional compass, stabilisers</t>
    </r>
  </si>
  <si>
    <r>
      <t>Supply and installation of a 10 metre connecting cable between the</t>
    </r>
    <r>
      <rPr>
        <sz val="12"/>
        <color rgb="FF0000FF"/>
        <rFont val="Arial"/>
        <family val="2"/>
      </rPr>
      <t xml:space="preserve"> [trailer | concrete block]</t>
    </r>
    <r>
      <rPr>
        <sz val="12"/>
        <color theme="1"/>
        <rFont val="Arial"/>
        <family val="2"/>
      </rPr>
      <t xml:space="preserve"> and the</t>
    </r>
    <r>
      <rPr>
        <sz val="12"/>
        <color rgb="FF0000FF"/>
        <rFont val="Arial"/>
        <family val="2"/>
      </rPr>
      <t xml:space="preserve"> [LED Sign display | Solar Panel Array with Battery Bank Enclosure]</t>
    </r>
    <r>
      <rPr>
        <sz val="12"/>
        <color theme="1"/>
        <rFont val="Arial"/>
        <family val="2"/>
      </rPr>
      <t xml:space="preserve"> extension</t>
    </r>
  </si>
  <si>
    <r>
      <t>Supply, installation and configuration of RSCS software on a</t>
    </r>
    <r>
      <rPr>
        <sz val="12"/>
        <color rgb="FF0000FF"/>
        <rFont val="Arial"/>
        <family val="2"/>
      </rPr>
      <t xml:space="preserve"> [Laptop | PC]</t>
    </r>
  </si>
  <si>
    <r>
      <t xml:space="preserve">Supply and configuration of a </t>
    </r>
    <r>
      <rPr>
        <sz val="12"/>
        <color rgb="FF0000FF"/>
        <rFont val="Arial"/>
        <family val="2"/>
      </rPr>
      <t xml:space="preserve">[3G | 4G] </t>
    </r>
    <r>
      <rPr>
        <sz val="12"/>
        <color theme="1"/>
        <rFont val="Arial"/>
        <family val="2"/>
      </rPr>
      <t>mobile phone service to allow communications between a TVMS Site Controller and</t>
    </r>
    <r>
      <rPr>
        <sz val="12"/>
        <color rgb="FF0000FF"/>
        <rFont val="Arial"/>
        <family val="2"/>
      </rPr>
      <t xml:space="preserve"> [RSCS software | Mobile Phone alerts]</t>
    </r>
  </si>
  <si>
    <r>
      <t>Concrete Class</t>
    </r>
    <r>
      <rPr>
        <sz val="12"/>
        <color rgb="FF0000FF"/>
        <rFont val="Arial"/>
        <family val="2"/>
      </rPr>
      <t xml:space="preserve"> [compressive strength]</t>
    </r>
    <r>
      <rPr>
        <sz val="12"/>
        <color theme="1"/>
        <rFont val="Arial"/>
        <family val="2"/>
      </rPr>
      <t xml:space="preserve"> MPa/20 in pier footing</t>
    </r>
  </si>
  <si>
    <r>
      <t>Concrete Class</t>
    </r>
    <r>
      <rPr>
        <sz val="12"/>
        <color rgb="FF0000FF"/>
        <rFont val="Arial"/>
        <family val="2"/>
      </rPr>
      <t xml:space="preserve"> [compressive strength]</t>
    </r>
    <r>
      <rPr>
        <sz val="12"/>
        <color theme="1"/>
        <rFont val="Arial"/>
        <family val="2"/>
      </rPr>
      <t xml:space="preserve"> MPa/20 in pier pile cap</t>
    </r>
  </si>
  <si>
    <r>
      <t>Concrete Class</t>
    </r>
    <r>
      <rPr>
        <sz val="12"/>
        <color rgb="FF0000FF"/>
        <rFont val="Arial"/>
        <family val="2"/>
      </rPr>
      <t xml:space="preserve"> [compressive strength] </t>
    </r>
    <r>
      <rPr>
        <sz val="12"/>
        <color theme="1"/>
        <rFont val="Arial"/>
        <family val="2"/>
      </rPr>
      <t>MPa/20 in pier above</t>
    </r>
    <r>
      <rPr>
        <sz val="12"/>
        <color rgb="FF0000FF"/>
        <rFont val="Arial"/>
        <family val="2"/>
      </rPr>
      <t xml:space="preserve"> [cast-in-place pile| footing | pile cap]</t>
    </r>
  </si>
  <si>
    <r>
      <t xml:space="preserve">Concrete Class </t>
    </r>
    <r>
      <rPr>
        <sz val="12"/>
        <color rgb="FF0000FF"/>
        <rFont val="Arial"/>
        <family val="2"/>
      </rPr>
      <t xml:space="preserve">[compressive strength] </t>
    </r>
    <r>
      <rPr>
        <sz val="12"/>
        <color theme="1"/>
        <rFont val="Arial"/>
        <family val="2"/>
      </rPr>
      <t>MPa/10 in pier pedestal</t>
    </r>
  </si>
  <si>
    <r>
      <t xml:space="preserve">Concrete Class </t>
    </r>
    <r>
      <rPr>
        <sz val="12"/>
        <color rgb="FF0000FF"/>
        <rFont val="Arial"/>
        <family val="2"/>
      </rPr>
      <t>[compressive strength]</t>
    </r>
    <r>
      <rPr>
        <sz val="12"/>
        <color theme="1"/>
        <rFont val="Arial"/>
        <family val="2"/>
      </rPr>
      <t xml:space="preserve"> MPa/20 in abutment pile cap</t>
    </r>
  </si>
  <si>
    <r>
      <t xml:space="preserve">Concrete Class </t>
    </r>
    <r>
      <rPr>
        <sz val="12"/>
        <color rgb="FF0000FF"/>
        <rFont val="Arial"/>
        <family val="2"/>
      </rPr>
      <t>[compressive strength]</t>
    </r>
    <r>
      <rPr>
        <sz val="12"/>
        <color theme="1"/>
        <rFont val="Arial"/>
        <family val="2"/>
      </rPr>
      <t xml:space="preserve"> MPa/10 in abutment pedestal</t>
    </r>
  </si>
  <si>
    <r>
      <t xml:space="preserve">Precast Concrete Abutment Headstocks, Supply on Site, </t>
    </r>
    <r>
      <rPr>
        <sz val="12"/>
        <color rgb="FF0000FF"/>
        <rFont val="Arial"/>
        <family val="2"/>
      </rPr>
      <t>[depth]</t>
    </r>
    <r>
      <rPr>
        <sz val="12"/>
        <color theme="1"/>
        <rFont val="Arial"/>
        <family val="2"/>
      </rPr>
      <t xml:space="preserve"> mm deep,</t>
    </r>
    <r>
      <rPr>
        <sz val="12"/>
        <color rgb="FF0000FF"/>
        <rFont val="Arial"/>
        <family val="2"/>
      </rPr>
      <t xml:space="preserve"> [length] </t>
    </r>
    <r>
      <rPr>
        <sz val="12"/>
        <color theme="1"/>
        <rFont val="Arial"/>
        <family val="2"/>
      </rPr>
      <t>metres long</t>
    </r>
  </si>
  <si>
    <r>
      <t>Precast Concrete Pier Headstocks, Supply on Site,</t>
    </r>
    <r>
      <rPr>
        <sz val="12"/>
        <color rgb="FF0000FF"/>
        <rFont val="Arial"/>
        <family val="2"/>
      </rPr>
      <t xml:space="preserve"> [depth] </t>
    </r>
    <r>
      <rPr>
        <sz val="12"/>
        <color theme="1"/>
        <rFont val="Arial"/>
        <family val="2"/>
      </rPr>
      <t>mm deep,</t>
    </r>
    <r>
      <rPr>
        <sz val="12"/>
        <color rgb="FF0000FF"/>
        <rFont val="Arial"/>
        <family val="2"/>
      </rPr>
      <t xml:space="preserve"> [length] </t>
    </r>
    <r>
      <rPr>
        <sz val="12"/>
        <color theme="1"/>
        <rFont val="Arial"/>
        <family val="2"/>
      </rPr>
      <t>metres long</t>
    </r>
  </si>
  <si>
    <r>
      <t xml:space="preserve">Erection of Precast Concrete Abutment Headstocks </t>
    </r>
    <r>
      <rPr>
        <sz val="12"/>
        <color rgb="FF0000FF"/>
        <rFont val="Arial"/>
        <family val="2"/>
      </rPr>
      <t xml:space="preserve">[depth] </t>
    </r>
    <r>
      <rPr>
        <sz val="12"/>
        <color theme="1"/>
        <rFont val="Arial"/>
        <family val="2"/>
      </rPr>
      <t xml:space="preserve">mm deep, </t>
    </r>
    <r>
      <rPr>
        <sz val="12"/>
        <color rgb="FF0000FF"/>
        <rFont val="Arial"/>
        <family val="2"/>
      </rPr>
      <t xml:space="preserve">[length] </t>
    </r>
    <r>
      <rPr>
        <sz val="12"/>
        <color theme="1"/>
        <rFont val="Arial"/>
        <family val="2"/>
      </rPr>
      <t>metres long</t>
    </r>
  </si>
  <si>
    <r>
      <t xml:space="preserve">Erection of Precast Concrete Pier Headstocks </t>
    </r>
    <r>
      <rPr>
        <sz val="12"/>
        <color rgb="FF0000FF"/>
        <rFont val="Arial"/>
        <family val="2"/>
      </rPr>
      <t>[depth]</t>
    </r>
    <r>
      <rPr>
        <sz val="12"/>
        <color theme="1"/>
        <rFont val="Arial"/>
        <family val="2"/>
      </rPr>
      <t xml:space="preserve"> mm deep, </t>
    </r>
    <r>
      <rPr>
        <sz val="12"/>
        <color rgb="FF0000FF"/>
        <rFont val="Arial"/>
        <family val="2"/>
      </rPr>
      <t xml:space="preserve">[length] </t>
    </r>
    <r>
      <rPr>
        <sz val="12"/>
        <color theme="1"/>
        <rFont val="Arial"/>
        <family val="2"/>
      </rPr>
      <t>metres long</t>
    </r>
  </si>
  <si>
    <r>
      <t>Concrete Class</t>
    </r>
    <r>
      <rPr>
        <sz val="12"/>
        <color rgb="FF0000FF"/>
        <rFont val="Arial"/>
        <family val="2"/>
      </rPr>
      <t xml:space="preserve"> [compressive strength]</t>
    </r>
    <r>
      <rPr>
        <sz val="12"/>
        <color theme="1"/>
        <rFont val="Arial"/>
        <family val="2"/>
      </rPr>
      <t xml:space="preserve"> MPa/20 in lined pile</t>
    </r>
  </si>
  <si>
    <r>
      <t xml:space="preserve">Concrete Class </t>
    </r>
    <r>
      <rPr>
        <sz val="12"/>
        <color rgb="FF0000FF"/>
        <rFont val="Arial"/>
        <family val="2"/>
      </rPr>
      <t xml:space="preserve">[compressive strength] </t>
    </r>
    <r>
      <rPr>
        <sz val="12"/>
        <color theme="1"/>
        <rFont val="Arial"/>
        <family val="2"/>
      </rPr>
      <t>MPa/20 in bored pile</t>
    </r>
  </si>
  <si>
    <r>
      <t xml:space="preserve">Prestressed concrete piles, supply on Site, </t>
    </r>
    <r>
      <rPr>
        <sz val="12"/>
        <color rgb="FF0000FF"/>
        <rFont val="Arial"/>
        <family val="2"/>
      </rPr>
      <t>[cross section size]</t>
    </r>
    <r>
      <rPr>
        <sz val="12"/>
        <color theme="1"/>
        <rFont val="Arial"/>
        <family val="2"/>
      </rPr>
      <t xml:space="preserve"> mm</t>
    </r>
    <r>
      <rPr>
        <sz val="12"/>
        <color rgb="FF0000FF"/>
        <rFont val="Arial"/>
        <family val="2"/>
      </rPr>
      <t xml:space="preserve"> [cross section shape]</t>
    </r>
  </si>
  <si>
    <r>
      <t xml:space="preserve">Transport to Site and storage of prestressed concrete piles, ex works </t>
    </r>
    <r>
      <rPr>
        <sz val="12"/>
        <color rgb="FF0000FF"/>
        <rFont val="Arial"/>
        <family val="2"/>
      </rPr>
      <t>[location]</t>
    </r>
  </si>
  <si>
    <r>
      <t>Handling and pitching of prestressed concrete piles,</t>
    </r>
    <r>
      <rPr>
        <sz val="12"/>
        <color rgb="FF0000FF"/>
        <rFont val="Arial"/>
        <family val="2"/>
      </rPr>
      <t xml:space="preserve"> [cross section size]</t>
    </r>
    <r>
      <rPr>
        <sz val="12"/>
        <color theme="1"/>
        <rFont val="Arial"/>
        <family val="2"/>
      </rPr>
      <t xml:space="preserve"> mm</t>
    </r>
    <r>
      <rPr>
        <sz val="12"/>
        <color rgb="FF0000FF"/>
        <rFont val="Arial"/>
        <family val="2"/>
      </rPr>
      <t xml:space="preserve"> [cross section shape]</t>
    </r>
  </si>
  <si>
    <r>
      <t xml:space="preserve">Driving prestressed concrete piles, </t>
    </r>
    <r>
      <rPr>
        <sz val="12"/>
        <color rgb="FF0000FF"/>
        <rFont val="Arial"/>
        <family val="2"/>
      </rPr>
      <t>[cross section size]</t>
    </r>
    <r>
      <rPr>
        <sz val="12"/>
        <color theme="1"/>
        <rFont val="Arial"/>
        <family val="2"/>
      </rPr>
      <t xml:space="preserve"> mm </t>
    </r>
    <r>
      <rPr>
        <sz val="12"/>
        <color rgb="FF0000FF"/>
        <rFont val="Arial"/>
        <family val="2"/>
      </rPr>
      <t>[cross section shape]</t>
    </r>
    <r>
      <rPr>
        <sz val="12"/>
        <color theme="1"/>
        <rFont val="Arial"/>
        <family val="2"/>
      </rPr>
      <t xml:space="preserve"> (Provisional Quantity)</t>
    </r>
  </si>
  <si>
    <r>
      <t>Stripping of prestressed concrete pile head,</t>
    </r>
    <r>
      <rPr>
        <sz val="12"/>
        <color rgb="FF0000FF"/>
        <rFont val="Arial"/>
        <family val="2"/>
      </rPr>
      <t xml:space="preserve"> [cross section size] </t>
    </r>
    <r>
      <rPr>
        <sz val="12"/>
        <color theme="1"/>
        <rFont val="Arial"/>
        <family val="2"/>
      </rPr>
      <t>mm</t>
    </r>
    <r>
      <rPr>
        <sz val="12"/>
        <color rgb="FF0000FF"/>
        <rFont val="Arial"/>
        <family val="2"/>
      </rPr>
      <t xml:space="preserve"> [cross section shape]</t>
    </r>
  </si>
  <si>
    <r>
      <t>Extension of prestressed concrete piles,</t>
    </r>
    <r>
      <rPr>
        <sz val="12"/>
        <color rgb="FF0000FF"/>
        <rFont val="Arial"/>
        <family val="2"/>
      </rPr>
      <t xml:space="preserve"> [cross section size] </t>
    </r>
    <r>
      <rPr>
        <sz val="12"/>
        <color theme="1"/>
        <rFont val="Arial"/>
        <family val="2"/>
      </rPr>
      <t>mm</t>
    </r>
    <r>
      <rPr>
        <sz val="12"/>
        <color rgb="FF0000FF"/>
        <rFont val="Arial"/>
        <family val="2"/>
      </rPr>
      <t xml:space="preserve"> [cross section shape] </t>
    </r>
    <r>
      <rPr>
        <sz val="12"/>
        <color theme="1"/>
        <rFont val="Arial"/>
        <family val="2"/>
      </rPr>
      <t>(Provisional Quantity, as directed)</t>
    </r>
  </si>
  <si>
    <r>
      <t>Transport of transverse stressing units to the Site, ex works</t>
    </r>
    <r>
      <rPr>
        <sz val="12"/>
        <color rgb="FF0000FF"/>
        <rFont val="Arial"/>
        <family val="2"/>
      </rPr>
      <t xml:space="preserve"> [location]</t>
    </r>
  </si>
  <si>
    <r>
      <t>Single layer elastomeric bearings,</t>
    </r>
    <r>
      <rPr>
        <sz val="12"/>
        <color rgb="FF0000FF"/>
        <rFont val="Arial"/>
        <family val="2"/>
      </rPr>
      <t xml:space="preserve"> [length] </t>
    </r>
    <r>
      <rPr>
        <sz val="12"/>
        <color theme="1"/>
        <rFont val="Arial"/>
        <family val="2"/>
      </rPr>
      <t>x</t>
    </r>
    <r>
      <rPr>
        <sz val="12"/>
        <color rgb="FF0000FF"/>
        <rFont val="Arial"/>
        <family val="2"/>
      </rPr>
      <t xml:space="preserve"> [breadth]</t>
    </r>
    <r>
      <rPr>
        <sz val="12"/>
        <color theme="1"/>
        <rFont val="Arial"/>
        <family val="2"/>
      </rPr>
      <t xml:space="preserve"> x </t>
    </r>
    <r>
      <rPr>
        <sz val="12"/>
        <color rgb="FF0000FF"/>
        <rFont val="Arial"/>
        <family val="2"/>
      </rPr>
      <t>[depth]</t>
    </r>
  </si>
  <si>
    <r>
      <t>Laminated elastomeric bearings,</t>
    </r>
    <r>
      <rPr>
        <sz val="12"/>
        <color rgb="FF0000FF"/>
        <rFont val="Arial"/>
        <family val="2"/>
      </rPr>
      <t>[length]</t>
    </r>
    <r>
      <rPr>
        <sz val="12"/>
        <color theme="1"/>
        <rFont val="Arial"/>
        <family val="2"/>
      </rPr>
      <t xml:space="preserve"> x</t>
    </r>
    <r>
      <rPr>
        <sz val="12"/>
        <color rgb="FF0000FF"/>
        <rFont val="Arial"/>
        <family val="2"/>
      </rPr>
      <t xml:space="preserve"> [breadth]</t>
    </r>
    <r>
      <rPr>
        <sz val="12"/>
        <color theme="1"/>
        <rFont val="Arial"/>
        <family val="2"/>
      </rPr>
      <t xml:space="preserve"> x </t>
    </r>
    <r>
      <rPr>
        <sz val="12"/>
        <color rgb="FF0000FF"/>
        <rFont val="Arial"/>
        <family val="2"/>
      </rPr>
      <t>[depth]</t>
    </r>
  </si>
  <si>
    <r>
      <t>Holding-down bolts for deck and kerb units,</t>
    </r>
    <r>
      <rPr>
        <sz val="12"/>
        <color rgb="FF0000FF"/>
        <rFont val="Arial"/>
        <family val="2"/>
      </rPr>
      <t xml:space="preserve"> [length] </t>
    </r>
    <r>
      <rPr>
        <sz val="12"/>
        <color theme="1"/>
        <rFont val="Arial"/>
        <family val="2"/>
      </rPr>
      <t>mm long</t>
    </r>
  </si>
  <si>
    <r>
      <t xml:space="preserve">Deck unit dowel bars, </t>
    </r>
    <r>
      <rPr>
        <sz val="12"/>
        <color rgb="FF0000FF"/>
        <rFont val="Arial"/>
        <family val="2"/>
      </rPr>
      <t xml:space="preserve">[length] </t>
    </r>
    <r>
      <rPr>
        <sz val="12"/>
        <color theme="1"/>
        <rFont val="Arial"/>
        <family val="2"/>
      </rPr>
      <t>mm long</t>
    </r>
  </si>
  <si>
    <r>
      <t xml:space="preserve">Prestressed concrete I girders, supply on Site, </t>
    </r>
    <r>
      <rPr>
        <sz val="12"/>
        <color rgb="FF0000FF"/>
        <rFont val="Arial"/>
        <family val="2"/>
      </rPr>
      <t>[depth]</t>
    </r>
    <r>
      <rPr>
        <sz val="12"/>
        <color theme="1"/>
        <rFont val="Arial"/>
        <family val="2"/>
      </rPr>
      <t xml:space="preserve"> mm deep, </t>
    </r>
    <r>
      <rPr>
        <sz val="12"/>
        <color rgb="FF0000FF"/>
        <rFont val="Arial"/>
        <family val="2"/>
      </rPr>
      <t>[length]</t>
    </r>
    <r>
      <rPr>
        <sz val="12"/>
        <color theme="1"/>
        <rFont val="Arial"/>
        <family val="2"/>
      </rPr>
      <t xml:space="preserve"> metres long</t>
    </r>
  </si>
  <si>
    <r>
      <t>Transport of prestressed concrete I girders to the Site,</t>
    </r>
    <r>
      <rPr>
        <sz val="12"/>
        <color rgb="FF0000FF"/>
        <rFont val="Arial"/>
        <family val="2"/>
      </rPr>
      <t xml:space="preserve"> [depth] </t>
    </r>
    <r>
      <rPr>
        <sz val="12"/>
        <color theme="1"/>
        <rFont val="Arial"/>
        <family val="2"/>
      </rPr>
      <t>mm deep,</t>
    </r>
    <r>
      <rPr>
        <sz val="12"/>
        <color rgb="FF0000FF"/>
        <rFont val="Arial"/>
        <family val="2"/>
      </rPr>
      <t xml:space="preserve"> [length]</t>
    </r>
    <r>
      <rPr>
        <sz val="12"/>
        <color theme="1"/>
        <rFont val="Arial"/>
        <family val="2"/>
      </rPr>
      <t xml:space="preserve"> metres long, ex works</t>
    </r>
    <r>
      <rPr>
        <sz val="12"/>
        <color rgb="FF0000FF"/>
        <rFont val="Arial"/>
        <family val="2"/>
      </rPr>
      <t xml:space="preserve"> [location]</t>
    </r>
  </si>
  <si>
    <r>
      <t xml:space="preserve">Erection of prestressed concrete I girders, </t>
    </r>
    <r>
      <rPr>
        <sz val="12"/>
        <color rgb="FF0000FF"/>
        <rFont val="Arial"/>
        <family val="2"/>
      </rPr>
      <t xml:space="preserve">[depth] </t>
    </r>
    <r>
      <rPr>
        <sz val="12"/>
        <color theme="1"/>
        <rFont val="Arial"/>
        <family val="2"/>
      </rPr>
      <t xml:space="preserve">mm deep, </t>
    </r>
    <r>
      <rPr>
        <sz val="12"/>
        <color rgb="FF0000FF"/>
        <rFont val="Arial"/>
        <family val="2"/>
      </rPr>
      <t>[length]</t>
    </r>
    <r>
      <rPr>
        <sz val="12"/>
        <color theme="1"/>
        <rFont val="Arial"/>
        <family val="2"/>
      </rPr>
      <t xml:space="preserve"> metres long</t>
    </r>
  </si>
  <si>
    <r>
      <t xml:space="preserve">Prestressed concrete Super T girders, supply on Site, </t>
    </r>
    <r>
      <rPr>
        <sz val="12"/>
        <color rgb="FF0000FF"/>
        <rFont val="Arial"/>
        <family val="2"/>
      </rPr>
      <t>[girder type]</t>
    </r>
    <r>
      <rPr>
        <sz val="12"/>
        <color theme="1"/>
        <rFont val="Arial"/>
        <family val="2"/>
      </rPr>
      <t xml:space="preserve">, </t>
    </r>
    <r>
      <rPr>
        <sz val="12"/>
        <color rgb="FF0000FF"/>
        <rFont val="Arial"/>
        <family val="2"/>
      </rPr>
      <t>[depth]</t>
    </r>
    <r>
      <rPr>
        <sz val="12"/>
        <color theme="1"/>
        <rFont val="Arial"/>
        <family val="2"/>
      </rPr>
      <t xml:space="preserve"> mm deep, </t>
    </r>
    <r>
      <rPr>
        <sz val="12"/>
        <color rgb="FF0000FF"/>
        <rFont val="Arial"/>
        <family val="2"/>
      </rPr>
      <t>[length]</t>
    </r>
    <r>
      <rPr>
        <sz val="12"/>
        <color theme="1"/>
        <rFont val="Arial"/>
        <family val="2"/>
      </rPr>
      <t xml:space="preserve"> metres long</t>
    </r>
  </si>
  <si>
    <r>
      <t xml:space="preserve">Transport of prestressed concrete Super T girders to the Site, </t>
    </r>
    <r>
      <rPr>
        <sz val="12"/>
        <color rgb="FF0000FF"/>
        <rFont val="Arial"/>
        <family val="2"/>
      </rPr>
      <t>[girder type]</t>
    </r>
    <r>
      <rPr>
        <sz val="12"/>
        <color theme="1"/>
        <rFont val="Arial"/>
        <family val="2"/>
      </rPr>
      <t xml:space="preserve">, </t>
    </r>
    <r>
      <rPr>
        <sz val="12"/>
        <color rgb="FF0000FF"/>
        <rFont val="Arial"/>
        <family val="2"/>
      </rPr>
      <t xml:space="preserve">[depth] </t>
    </r>
    <r>
      <rPr>
        <sz val="12"/>
        <color theme="1"/>
        <rFont val="Arial"/>
        <family val="2"/>
      </rPr>
      <t xml:space="preserve">mm deep, </t>
    </r>
    <r>
      <rPr>
        <sz val="12"/>
        <color rgb="FF0000FF"/>
        <rFont val="Arial"/>
        <family val="2"/>
      </rPr>
      <t>[length]</t>
    </r>
    <r>
      <rPr>
        <sz val="12"/>
        <color theme="1"/>
        <rFont val="Arial"/>
        <family val="2"/>
      </rPr>
      <t xml:space="preserve"> metres long, ex works </t>
    </r>
    <r>
      <rPr>
        <sz val="12"/>
        <color rgb="FF0000FF"/>
        <rFont val="Arial"/>
        <family val="2"/>
      </rPr>
      <t>[location]</t>
    </r>
  </si>
  <si>
    <r>
      <t>Erection of prestressed concrete Super T girders,</t>
    </r>
    <r>
      <rPr>
        <sz val="12"/>
        <color rgb="FF0000FF"/>
        <rFont val="Arial"/>
        <family val="2"/>
      </rPr>
      <t xml:space="preserve"> [girder type]</t>
    </r>
    <r>
      <rPr>
        <sz val="12"/>
        <color theme="1"/>
        <rFont val="Arial"/>
        <family val="2"/>
      </rPr>
      <t xml:space="preserve">, </t>
    </r>
    <r>
      <rPr>
        <sz val="12"/>
        <color rgb="FF0000FF"/>
        <rFont val="Arial"/>
        <family val="2"/>
      </rPr>
      <t xml:space="preserve">[depth] </t>
    </r>
    <r>
      <rPr>
        <sz val="12"/>
        <color theme="1"/>
        <rFont val="Arial"/>
        <family val="2"/>
      </rPr>
      <t xml:space="preserve">mm deep, </t>
    </r>
    <r>
      <rPr>
        <sz val="12"/>
        <color rgb="FF0000FF"/>
        <rFont val="Arial"/>
        <family val="2"/>
      </rPr>
      <t xml:space="preserve">[length] </t>
    </r>
    <r>
      <rPr>
        <sz val="12"/>
        <color theme="1"/>
        <rFont val="Arial"/>
        <family val="2"/>
      </rPr>
      <t>metres long</t>
    </r>
  </si>
  <si>
    <r>
      <t>Laminated elastomeric bearings,</t>
    </r>
    <r>
      <rPr>
        <sz val="12"/>
        <color rgb="FF0000FF"/>
        <rFont val="Arial"/>
        <family val="2"/>
      </rPr>
      <t xml:space="preserve"> [length]</t>
    </r>
    <r>
      <rPr>
        <sz val="12"/>
        <color theme="1"/>
        <rFont val="Arial"/>
        <family val="2"/>
      </rPr>
      <t xml:space="preserve"> x</t>
    </r>
    <r>
      <rPr>
        <sz val="12"/>
        <color rgb="FF0000FF"/>
        <rFont val="Arial"/>
        <family val="2"/>
      </rPr>
      <t xml:space="preserve"> [breadth]</t>
    </r>
    <r>
      <rPr>
        <sz val="12"/>
        <color theme="1"/>
        <rFont val="Arial"/>
        <family val="2"/>
      </rPr>
      <t xml:space="preserve"> x </t>
    </r>
    <r>
      <rPr>
        <sz val="12"/>
        <color rgb="FF0000FF"/>
        <rFont val="Arial"/>
        <family val="2"/>
      </rPr>
      <t>[depth]</t>
    </r>
  </si>
  <si>
    <r>
      <t>Pot-type bearings,</t>
    </r>
    <r>
      <rPr>
        <sz val="12"/>
        <color rgb="FF0000FF"/>
        <rFont val="Arial"/>
        <family val="2"/>
      </rPr>
      <t xml:space="preserve"> [rated load capacity], [fixed | sliding]</t>
    </r>
  </si>
  <si>
    <r>
      <t>Steel girders, supply on Site,</t>
    </r>
    <r>
      <rPr>
        <sz val="12"/>
        <color rgb="FF0000FF"/>
        <rFont val="Arial"/>
        <family val="2"/>
      </rPr>
      <t xml:space="preserve"> [section] </t>
    </r>
    <r>
      <rPr>
        <sz val="12"/>
        <color theme="1"/>
        <rFont val="Arial"/>
        <family val="2"/>
      </rPr>
      <t>/ (</t>
    </r>
    <r>
      <rPr>
        <sz val="12"/>
        <color rgb="FF0000FF"/>
        <rFont val="Arial"/>
        <family val="2"/>
      </rPr>
      <t>[flange width]</t>
    </r>
    <r>
      <rPr>
        <sz val="12"/>
        <color theme="1"/>
        <rFont val="Arial"/>
        <family val="2"/>
      </rPr>
      <t xml:space="preserve"> mm wide, </t>
    </r>
    <r>
      <rPr>
        <sz val="12"/>
        <color rgb="FF0000FF"/>
        <rFont val="Arial"/>
        <family val="2"/>
      </rPr>
      <t>[depth]</t>
    </r>
    <r>
      <rPr>
        <sz val="12"/>
        <color theme="1"/>
        <rFont val="Arial"/>
        <family val="2"/>
      </rPr>
      <t xml:space="preserve">) mm deep, </t>
    </r>
    <r>
      <rPr>
        <sz val="12"/>
        <color rgb="FF0000FF"/>
        <rFont val="Arial"/>
        <family val="2"/>
      </rPr>
      <t xml:space="preserve">[length] </t>
    </r>
    <r>
      <rPr>
        <sz val="12"/>
        <color theme="1"/>
        <rFont val="Arial"/>
        <family val="2"/>
      </rPr>
      <t>metres long</t>
    </r>
  </si>
  <si>
    <r>
      <t>Transport of steel girders to the Site,</t>
    </r>
    <r>
      <rPr>
        <sz val="12"/>
        <color rgb="FF0000FF"/>
        <rFont val="Arial"/>
        <family val="2"/>
      </rPr>
      <t xml:space="preserve"> [section] </t>
    </r>
    <r>
      <rPr>
        <sz val="12"/>
        <color theme="1"/>
        <rFont val="Arial"/>
        <family val="2"/>
      </rPr>
      <t>/ (</t>
    </r>
    <r>
      <rPr>
        <sz val="12"/>
        <color rgb="FF0000FF"/>
        <rFont val="Arial"/>
        <family val="2"/>
      </rPr>
      <t>[flange width]</t>
    </r>
    <r>
      <rPr>
        <sz val="12"/>
        <color theme="1"/>
        <rFont val="Arial"/>
        <family val="2"/>
      </rPr>
      <t xml:space="preserve"> mm wide,</t>
    </r>
    <r>
      <rPr>
        <sz val="12"/>
        <color rgb="FF0000FF"/>
        <rFont val="Arial"/>
        <family val="2"/>
      </rPr>
      <t xml:space="preserve"> [depth]</t>
    </r>
    <r>
      <rPr>
        <sz val="12"/>
        <color theme="1"/>
        <rFont val="Arial"/>
        <family val="2"/>
      </rPr>
      <t xml:space="preserve">) mm deep, </t>
    </r>
    <r>
      <rPr>
        <sz val="12"/>
        <color rgb="FF0000FF"/>
        <rFont val="Arial"/>
        <family val="2"/>
      </rPr>
      <t>[length]</t>
    </r>
    <r>
      <rPr>
        <sz val="12"/>
        <color theme="1"/>
        <rFont val="Arial"/>
        <family val="2"/>
      </rPr>
      <t xml:space="preserve"> metres long</t>
    </r>
  </si>
  <si>
    <r>
      <t>Transport of steel cross bracing to the Site, ex works</t>
    </r>
    <r>
      <rPr>
        <sz val="12"/>
        <color rgb="FF0000FF"/>
        <rFont val="Arial"/>
        <family val="2"/>
      </rPr>
      <t xml:space="preserve"> [location]</t>
    </r>
  </si>
  <si>
    <r>
      <t>Erection of steel girders, [section] / (</t>
    </r>
    <r>
      <rPr>
        <sz val="12"/>
        <color rgb="FF0000FF"/>
        <rFont val="Arial"/>
        <family val="2"/>
      </rPr>
      <t xml:space="preserve">[flange width] </t>
    </r>
    <r>
      <rPr>
        <sz val="12"/>
        <color theme="1"/>
        <rFont val="Arial"/>
        <family val="2"/>
      </rPr>
      <t xml:space="preserve">mm wide, </t>
    </r>
    <r>
      <rPr>
        <sz val="12"/>
        <color rgb="FF0000FF"/>
        <rFont val="Arial"/>
        <family val="2"/>
      </rPr>
      <t>[depth]</t>
    </r>
    <r>
      <rPr>
        <sz val="12"/>
        <color theme="1"/>
        <rFont val="Arial"/>
        <family val="2"/>
      </rPr>
      <t>) mm deep,</t>
    </r>
    <r>
      <rPr>
        <sz val="12"/>
        <color rgb="FF0000FF"/>
        <rFont val="Arial"/>
        <family val="2"/>
      </rPr>
      <t xml:space="preserve"> [length] </t>
    </r>
    <r>
      <rPr>
        <sz val="12"/>
        <color theme="1"/>
        <rFont val="Arial"/>
        <family val="2"/>
      </rPr>
      <t>metres long</t>
    </r>
  </si>
  <si>
    <r>
      <t xml:space="preserve">Supply and installation of laminated elastomeric bearings, </t>
    </r>
    <r>
      <rPr>
        <sz val="12"/>
        <color rgb="FF0000FF"/>
        <rFont val="Arial"/>
        <family val="2"/>
      </rPr>
      <t>[length]</t>
    </r>
    <r>
      <rPr>
        <sz val="12"/>
        <color theme="1"/>
        <rFont val="Arial"/>
        <family val="2"/>
      </rPr>
      <t xml:space="preserve"> x </t>
    </r>
    <r>
      <rPr>
        <sz val="12"/>
        <color rgb="FF0000FF"/>
        <rFont val="Arial"/>
        <family val="2"/>
      </rPr>
      <t xml:space="preserve">[breadth] </t>
    </r>
    <r>
      <rPr>
        <sz val="12"/>
        <color theme="1"/>
        <rFont val="Arial"/>
        <family val="2"/>
      </rPr>
      <t>x</t>
    </r>
    <r>
      <rPr>
        <sz val="12"/>
        <color rgb="FF0000FF"/>
        <rFont val="Arial"/>
        <family val="2"/>
      </rPr>
      <t xml:space="preserve"> [depth]</t>
    </r>
  </si>
  <si>
    <r>
      <t>Supply and installation of pot-type bearings,</t>
    </r>
    <r>
      <rPr>
        <sz val="12"/>
        <color rgb="FF0000FF"/>
        <rFont val="Arial"/>
        <family val="2"/>
      </rPr>
      <t xml:space="preserve"> [rated load capacity]</t>
    </r>
    <r>
      <rPr>
        <sz val="12"/>
        <color theme="1"/>
        <rFont val="Arial"/>
        <family val="2"/>
      </rPr>
      <t xml:space="preserve">, </t>
    </r>
    <r>
      <rPr>
        <sz val="12"/>
        <color rgb="FF0000FF"/>
        <rFont val="Arial"/>
        <family val="2"/>
      </rPr>
      <t>[fixed | sliding]</t>
    </r>
  </si>
  <si>
    <r>
      <t xml:space="preserve">Concrete Class </t>
    </r>
    <r>
      <rPr>
        <sz val="12"/>
        <color rgb="FF0000FF"/>
        <rFont val="Arial"/>
        <family val="2"/>
      </rPr>
      <t>[compressive strength]</t>
    </r>
    <r>
      <rPr>
        <sz val="12"/>
        <color theme="1"/>
        <rFont val="Arial"/>
        <family val="2"/>
      </rPr>
      <t xml:space="preserve"> MPa/20 in cross girder</t>
    </r>
  </si>
  <si>
    <r>
      <t xml:space="preserve">Concrete Class </t>
    </r>
    <r>
      <rPr>
        <sz val="12"/>
        <color rgb="FF0000FF"/>
        <rFont val="Arial"/>
        <family val="2"/>
      </rPr>
      <t>[compressive strength]</t>
    </r>
    <r>
      <rPr>
        <sz val="12"/>
        <color theme="1"/>
        <rFont val="Arial"/>
        <family val="2"/>
      </rPr>
      <t xml:space="preserve"> MPa/20 in parapet and parapet terminal</t>
    </r>
  </si>
  <si>
    <r>
      <t>Concrete Class</t>
    </r>
    <r>
      <rPr>
        <sz val="12"/>
        <color rgb="FF0000FF"/>
        <rFont val="Arial"/>
        <family val="2"/>
      </rPr>
      <t xml:space="preserve"> [compressive strength]</t>
    </r>
    <r>
      <rPr>
        <sz val="12"/>
        <color theme="1"/>
        <rFont val="Arial"/>
        <family val="2"/>
      </rPr>
      <t xml:space="preserve"> MPa/20 in median</t>
    </r>
  </si>
  <si>
    <r>
      <t xml:space="preserve">Bar grip coupler, </t>
    </r>
    <r>
      <rPr>
        <sz val="12"/>
        <color rgb="FF0000FF"/>
        <rFont val="Arial"/>
        <family val="2"/>
      </rPr>
      <t>[diameter]</t>
    </r>
    <r>
      <rPr>
        <sz val="12"/>
        <color theme="1"/>
        <rFont val="Arial"/>
        <family val="2"/>
      </rPr>
      <t xml:space="preserve"> mm diameter</t>
    </r>
  </si>
  <si>
    <r>
      <t xml:space="preserve">Bar grip coupler for bar extension, </t>
    </r>
    <r>
      <rPr>
        <sz val="12"/>
        <color rgb="FF0000FF"/>
        <rFont val="Arial"/>
        <family val="2"/>
      </rPr>
      <t>[diameter]</t>
    </r>
    <r>
      <rPr>
        <sz val="12"/>
        <color theme="1"/>
        <rFont val="Arial"/>
        <family val="2"/>
      </rPr>
      <t xml:space="preserve"> mm diameter</t>
    </r>
  </si>
  <si>
    <r>
      <t xml:space="preserve">Supply and fabrication of bridge traffic rail, </t>
    </r>
    <r>
      <rPr>
        <sz val="12"/>
        <color rgb="FF0000FF"/>
        <rFont val="Arial"/>
        <family val="2"/>
      </rPr>
      <t>[material type]</t>
    </r>
  </si>
  <si>
    <r>
      <t>Supply and fabrication of bridge safety rail,</t>
    </r>
    <r>
      <rPr>
        <sz val="12"/>
        <color rgb="FF0000FF"/>
        <rFont val="Arial"/>
        <family val="2"/>
      </rPr>
      <t xml:space="preserve"> [material type]</t>
    </r>
  </si>
  <si>
    <r>
      <t>Transport and erection of bridge traffic rail,</t>
    </r>
    <r>
      <rPr>
        <sz val="12"/>
        <color rgb="FF0000FF"/>
        <rFont val="Arial"/>
        <family val="2"/>
      </rPr>
      <t xml:space="preserve"> [material type]</t>
    </r>
  </si>
  <si>
    <r>
      <t xml:space="preserve">Transport and erection of bridge safety rail, </t>
    </r>
    <r>
      <rPr>
        <sz val="12"/>
        <color rgb="FF0000FF"/>
        <rFont val="Arial"/>
        <family val="2"/>
      </rPr>
      <t>[material type]</t>
    </r>
  </si>
  <si>
    <r>
      <t xml:space="preserve">Dense graded asphalt corrector course, DG </t>
    </r>
    <r>
      <rPr>
        <sz val="12"/>
        <color rgb="FF0000FF"/>
        <rFont val="Arial"/>
        <family val="2"/>
      </rPr>
      <t xml:space="preserve">[nominal size] </t>
    </r>
    <r>
      <rPr>
        <sz val="12"/>
        <color theme="1"/>
        <rFont val="Arial"/>
        <family val="2"/>
      </rPr>
      <t>mm mix</t>
    </r>
  </si>
  <si>
    <r>
      <t xml:space="preserve">Dense graded asphalt surfacing layer, DG </t>
    </r>
    <r>
      <rPr>
        <sz val="12"/>
        <color rgb="FF0000FF"/>
        <rFont val="Arial"/>
        <family val="2"/>
      </rPr>
      <t xml:space="preserve">[nominal size] </t>
    </r>
    <r>
      <rPr>
        <sz val="12"/>
        <color theme="1"/>
        <rFont val="Arial"/>
        <family val="2"/>
      </rPr>
      <t>mm mix</t>
    </r>
  </si>
  <si>
    <r>
      <t xml:space="preserve">Open graded asphalt surfacing layer, OG </t>
    </r>
    <r>
      <rPr>
        <sz val="12"/>
        <color rgb="FF0000FF"/>
        <rFont val="Arial"/>
        <family val="2"/>
      </rPr>
      <t>[nominal size]</t>
    </r>
    <r>
      <rPr>
        <sz val="12"/>
        <color theme="1"/>
        <rFont val="Arial"/>
        <family val="2"/>
      </rPr>
      <t xml:space="preserve"> mm mix</t>
    </r>
  </si>
  <si>
    <r>
      <t>Hardwood kerbs, supply on Site, (</t>
    </r>
    <r>
      <rPr>
        <sz val="12"/>
        <color rgb="FF0000FF"/>
        <rFont val="Arial"/>
        <family val="2"/>
      </rPr>
      <t>[width]</t>
    </r>
    <r>
      <rPr>
        <sz val="12"/>
        <color theme="1"/>
        <rFont val="Arial"/>
        <family val="2"/>
      </rPr>
      <t xml:space="preserve"> mm wide, </t>
    </r>
    <r>
      <rPr>
        <sz val="12"/>
        <color rgb="FF0000FF"/>
        <rFont val="Arial"/>
        <family val="2"/>
      </rPr>
      <t>[thickness]</t>
    </r>
    <r>
      <rPr>
        <sz val="12"/>
        <color theme="1"/>
        <rFont val="Arial"/>
        <family val="2"/>
      </rPr>
      <t xml:space="preserve"> mm thick),</t>
    </r>
    <r>
      <rPr>
        <sz val="12"/>
        <color rgb="FF0000FF"/>
        <rFont val="Arial"/>
        <family val="2"/>
      </rPr>
      <t xml:space="preserve"> [length]</t>
    </r>
    <r>
      <rPr>
        <sz val="12"/>
        <color theme="1"/>
        <rFont val="Arial"/>
        <family val="2"/>
      </rPr>
      <t xml:space="preserve"> metres long</t>
    </r>
  </si>
  <si>
    <r>
      <t>Plywood kerbs, supply on Site, (</t>
    </r>
    <r>
      <rPr>
        <sz val="12"/>
        <color rgb="FF0000FF"/>
        <rFont val="Arial"/>
        <family val="2"/>
      </rPr>
      <t>[width]</t>
    </r>
    <r>
      <rPr>
        <sz val="12"/>
        <color theme="1"/>
        <rFont val="Arial"/>
        <family val="2"/>
      </rPr>
      <t xml:space="preserve"> mm wide, </t>
    </r>
    <r>
      <rPr>
        <sz val="12"/>
        <color rgb="FF0000FF"/>
        <rFont val="Arial"/>
        <family val="2"/>
      </rPr>
      <t>[thickness]</t>
    </r>
    <r>
      <rPr>
        <sz val="12"/>
        <color theme="1"/>
        <rFont val="Arial"/>
        <family val="2"/>
      </rPr>
      <t xml:space="preserve"> mm thick), </t>
    </r>
    <r>
      <rPr>
        <sz val="12"/>
        <color rgb="FF0000FF"/>
        <rFont val="Arial"/>
        <family val="2"/>
      </rPr>
      <t xml:space="preserve">[length] </t>
    </r>
    <r>
      <rPr>
        <sz val="12"/>
        <color theme="1"/>
        <rFont val="Arial"/>
        <family val="2"/>
      </rPr>
      <t>metres long</t>
    </r>
  </si>
  <si>
    <r>
      <t>Hardwood decking, supply on Site, (</t>
    </r>
    <r>
      <rPr>
        <sz val="12"/>
        <color rgb="FF0000FF"/>
        <rFont val="Arial"/>
        <family val="2"/>
      </rPr>
      <t>[thickness]</t>
    </r>
    <r>
      <rPr>
        <sz val="12"/>
        <color theme="1"/>
        <rFont val="Arial"/>
        <family val="2"/>
      </rPr>
      <t xml:space="preserve"> mm thick), </t>
    </r>
    <r>
      <rPr>
        <sz val="12"/>
        <color rgb="FF0000FF"/>
        <rFont val="Arial"/>
        <family val="2"/>
      </rPr>
      <t xml:space="preserve">[length] </t>
    </r>
    <r>
      <rPr>
        <sz val="12"/>
        <color theme="1"/>
        <rFont val="Arial"/>
        <family val="2"/>
      </rPr>
      <t>metres long</t>
    </r>
  </si>
  <si>
    <r>
      <t>Plywood deck sheets, supply on Site, (</t>
    </r>
    <r>
      <rPr>
        <sz val="12"/>
        <color rgb="FF0000FF"/>
        <rFont val="Arial"/>
        <family val="2"/>
      </rPr>
      <t>[width]</t>
    </r>
    <r>
      <rPr>
        <sz val="12"/>
        <color theme="1"/>
        <rFont val="Arial"/>
        <family val="2"/>
      </rPr>
      <t xml:space="preserve"> mm wide, </t>
    </r>
    <r>
      <rPr>
        <sz val="12"/>
        <color rgb="FF0000FF"/>
        <rFont val="Arial"/>
        <family val="2"/>
      </rPr>
      <t xml:space="preserve">[thickness] </t>
    </r>
    <r>
      <rPr>
        <sz val="12"/>
        <color theme="1"/>
        <rFont val="Arial"/>
        <family val="2"/>
      </rPr>
      <t>mm thick),</t>
    </r>
    <r>
      <rPr>
        <sz val="12"/>
        <color rgb="FF0000FF"/>
        <rFont val="Arial"/>
        <family val="2"/>
      </rPr>
      <t xml:space="preserve"> [length] </t>
    </r>
    <r>
      <rPr>
        <sz val="12"/>
        <color theme="1"/>
        <rFont val="Arial"/>
        <family val="2"/>
      </rPr>
      <t>metres long</t>
    </r>
  </si>
  <si>
    <r>
      <t>Plywood deck sheets including coating, supply on Site, (</t>
    </r>
    <r>
      <rPr>
        <sz val="12"/>
        <color rgb="FF0000FF"/>
        <rFont val="Arial"/>
        <family val="2"/>
      </rPr>
      <t xml:space="preserve">[width] </t>
    </r>
    <r>
      <rPr>
        <sz val="12"/>
        <color theme="1"/>
        <rFont val="Arial"/>
        <family val="2"/>
      </rPr>
      <t xml:space="preserve">mm wide, </t>
    </r>
    <r>
      <rPr>
        <sz val="12"/>
        <color rgb="FF0000FF"/>
        <rFont val="Arial"/>
        <family val="2"/>
      </rPr>
      <t xml:space="preserve">[thickness] </t>
    </r>
    <r>
      <rPr>
        <sz val="12"/>
        <color theme="1"/>
        <rFont val="Arial"/>
        <family val="2"/>
      </rPr>
      <t>mm thick),</t>
    </r>
    <r>
      <rPr>
        <sz val="12"/>
        <color rgb="FF0000FF"/>
        <rFont val="Arial"/>
        <family val="2"/>
      </rPr>
      <t xml:space="preserve"> [length]</t>
    </r>
    <r>
      <rPr>
        <sz val="12"/>
        <color theme="1"/>
        <rFont val="Arial"/>
        <family val="2"/>
      </rPr>
      <t xml:space="preserve"> metres long</t>
    </r>
  </si>
  <si>
    <r>
      <t>Hardwood spiking planks, supply on Site, (</t>
    </r>
    <r>
      <rPr>
        <sz val="12"/>
        <color rgb="FF0000FF"/>
        <rFont val="Arial"/>
        <family val="2"/>
      </rPr>
      <t xml:space="preserve">[width] </t>
    </r>
    <r>
      <rPr>
        <sz val="12"/>
        <color theme="1"/>
        <rFont val="Arial"/>
        <family val="2"/>
      </rPr>
      <t xml:space="preserve">mm wide, </t>
    </r>
    <r>
      <rPr>
        <sz val="12"/>
        <color rgb="FF0000FF"/>
        <rFont val="Arial"/>
        <family val="2"/>
      </rPr>
      <t>[thickness]</t>
    </r>
    <r>
      <rPr>
        <sz val="12"/>
        <color theme="1"/>
        <rFont val="Arial"/>
        <family val="2"/>
      </rPr>
      <t xml:space="preserve"> mm thick)</t>
    </r>
  </si>
  <si>
    <r>
      <t>Hardwood end spiking plank, supply on Site, (</t>
    </r>
    <r>
      <rPr>
        <sz val="12"/>
        <color rgb="FF0000FF"/>
        <rFont val="Arial"/>
        <family val="2"/>
      </rPr>
      <t xml:space="preserve">[width] </t>
    </r>
    <r>
      <rPr>
        <sz val="12"/>
        <color theme="1"/>
        <rFont val="Arial"/>
        <family val="2"/>
      </rPr>
      <t>mm wide,</t>
    </r>
    <r>
      <rPr>
        <sz val="12"/>
        <color rgb="FF0000FF"/>
        <rFont val="Arial"/>
        <family val="2"/>
      </rPr>
      <t xml:space="preserve"> [thickness]</t>
    </r>
    <r>
      <rPr>
        <sz val="12"/>
        <color theme="1"/>
        <rFont val="Arial"/>
        <family val="2"/>
      </rPr>
      <t xml:space="preserve"> mm thick)</t>
    </r>
  </si>
  <si>
    <r>
      <t>Hardwood girders, round, supply on Site, (</t>
    </r>
    <r>
      <rPr>
        <sz val="12"/>
        <color rgb="FF0000FF"/>
        <rFont val="Arial"/>
        <family val="2"/>
      </rPr>
      <t>[diameter]</t>
    </r>
    <r>
      <rPr>
        <sz val="12"/>
        <color theme="1"/>
        <rFont val="Arial"/>
        <family val="2"/>
      </rPr>
      <t xml:space="preserve"> mm diameter), </t>
    </r>
    <r>
      <rPr>
        <sz val="12"/>
        <color rgb="FF0000FF"/>
        <rFont val="Arial"/>
        <family val="2"/>
      </rPr>
      <t>[length]</t>
    </r>
    <r>
      <rPr>
        <sz val="12"/>
        <color theme="1"/>
        <rFont val="Arial"/>
        <family val="2"/>
      </rPr>
      <t xml:space="preserve"> metres long</t>
    </r>
  </si>
  <si>
    <r>
      <t>Hardwood girders, octagonal, supply on Site, (</t>
    </r>
    <r>
      <rPr>
        <sz val="12"/>
        <color rgb="FF0000FF"/>
        <rFont val="Arial"/>
        <family val="2"/>
      </rPr>
      <t>[width]</t>
    </r>
    <r>
      <rPr>
        <sz val="12"/>
        <color theme="1"/>
        <rFont val="Arial"/>
        <family val="2"/>
      </rPr>
      <t xml:space="preserve"> mm wide),</t>
    </r>
    <r>
      <rPr>
        <sz val="12"/>
        <color rgb="FF0000FF"/>
        <rFont val="Arial"/>
        <family val="2"/>
      </rPr>
      <t xml:space="preserve"> [length] </t>
    </r>
    <r>
      <rPr>
        <sz val="12"/>
        <color theme="1"/>
        <rFont val="Arial"/>
        <family val="2"/>
      </rPr>
      <t>metres long</t>
    </r>
  </si>
  <si>
    <r>
      <t>Hardwood corbels, round, supply on Site, (</t>
    </r>
    <r>
      <rPr>
        <sz val="12"/>
        <color rgb="FF0000FF"/>
        <rFont val="Arial"/>
        <family val="2"/>
      </rPr>
      <t>[diameter]</t>
    </r>
    <r>
      <rPr>
        <sz val="12"/>
        <color theme="1"/>
        <rFont val="Arial"/>
        <family val="2"/>
      </rPr>
      <t xml:space="preserve"> mm diameter), </t>
    </r>
    <r>
      <rPr>
        <sz val="12"/>
        <color rgb="FF0000FF"/>
        <rFont val="Arial"/>
        <family val="2"/>
      </rPr>
      <t xml:space="preserve">[length] </t>
    </r>
    <r>
      <rPr>
        <sz val="12"/>
        <color theme="1"/>
        <rFont val="Arial"/>
        <family val="2"/>
      </rPr>
      <t>metres long</t>
    </r>
  </si>
  <si>
    <r>
      <t>Hardwood corbels, octagonal, supply on Site (</t>
    </r>
    <r>
      <rPr>
        <sz val="12"/>
        <color rgb="FF0000FF"/>
        <rFont val="Arial"/>
        <family val="2"/>
      </rPr>
      <t>[width]</t>
    </r>
    <r>
      <rPr>
        <sz val="12"/>
        <color theme="1"/>
        <rFont val="Arial"/>
        <family val="2"/>
      </rPr>
      <t xml:space="preserve"> mm wide), </t>
    </r>
    <r>
      <rPr>
        <sz val="12"/>
        <color rgb="FF0000FF"/>
        <rFont val="Arial"/>
        <family val="2"/>
      </rPr>
      <t>[length]</t>
    </r>
    <r>
      <rPr>
        <sz val="12"/>
        <color theme="1"/>
        <rFont val="Arial"/>
        <family val="2"/>
      </rPr>
      <t xml:space="preserve"> metres long</t>
    </r>
  </si>
  <si>
    <r>
      <t>Hardwood headstocks, supply on Site, (</t>
    </r>
    <r>
      <rPr>
        <sz val="12"/>
        <color rgb="FF0000FF"/>
        <rFont val="Arial"/>
        <family val="2"/>
      </rPr>
      <t>[width]</t>
    </r>
    <r>
      <rPr>
        <sz val="12"/>
        <color theme="1"/>
        <rFont val="Arial"/>
        <family val="2"/>
      </rPr>
      <t xml:space="preserve"> mm wide, </t>
    </r>
    <r>
      <rPr>
        <sz val="12"/>
        <color rgb="FF0000FF"/>
        <rFont val="Arial"/>
        <family val="2"/>
      </rPr>
      <t>[thickness]</t>
    </r>
    <r>
      <rPr>
        <sz val="12"/>
        <color theme="1"/>
        <rFont val="Arial"/>
        <family val="2"/>
      </rPr>
      <t xml:space="preserve"> mm thick), </t>
    </r>
    <r>
      <rPr>
        <sz val="12"/>
        <color rgb="FF0000FF"/>
        <rFont val="Arial"/>
        <family val="2"/>
      </rPr>
      <t>[length]</t>
    </r>
    <r>
      <rPr>
        <sz val="12"/>
        <color theme="1"/>
        <rFont val="Arial"/>
        <family val="2"/>
      </rPr>
      <t xml:space="preserve"> metres long</t>
    </r>
  </si>
  <si>
    <r>
      <t>Hardwood piles, supply on Site, (</t>
    </r>
    <r>
      <rPr>
        <sz val="12"/>
        <color rgb="FF0000FF"/>
        <rFont val="Arial"/>
        <family val="2"/>
      </rPr>
      <t xml:space="preserve">[diameter] </t>
    </r>
    <r>
      <rPr>
        <sz val="12"/>
        <color theme="1"/>
        <rFont val="Arial"/>
        <family val="2"/>
      </rPr>
      <t xml:space="preserve">mm diameter), </t>
    </r>
    <r>
      <rPr>
        <sz val="12"/>
        <color rgb="FF0000FF"/>
        <rFont val="Arial"/>
        <family val="2"/>
      </rPr>
      <t>[length]</t>
    </r>
    <r>
      <rPr>
        <sz val="12"/>
        <color theme="1"/>
        <rFont val="Arial"/>
        <family val="2"/>
      </rPr>
      <t xml:space="preserve"> metres long</t>
    </r>
  </si>
  <si>
    <r>
      <t>Hardwood wales and braces, supply on Site, (</t>
    </r>
    <r>
      <rPr>
        <sz val="12"/>
        <color rgb="FF0000FF"/>
        <rFont val="Arial"/>
        <family val="2"/>
      </rPr>
      <t xml:space="preserve">[width] </t>
    </r>
    <r>
      <rPr>
        <sz val="12"/>
        <color theme="1"/>
        <rFont val="Arial"/>
        <family val="2"/>
      </rPr>
      <t xml:space="preserve">mm wide, </t>
    </r>
    <r>
      <rPr>
        <sz val="12"/>
        <color rgb="FF0000FF"/>
        <rFont val="Arial"/>
        <family val="2"/>
      </rPr>
      <t>[thickness]</t>
    </r>
    <r>
      <rPr>
        <sz val="12"/>
        <color theme="1"/>
        <rFont val="Arial"/>
        <family val="2"/>
      </rPr>
      <t xml:space="preserve"> mm thick)</t>
    </r>
  </si>
  <si>
    <r>
      <t>Hardwood sill, round, supply on Site, (</t>
    </r>
    <r>
      <rPr>
        <sz val="12"/>
        <color rgb="FF0000FF"/>
        <rFont val="Arial"/>
        <family val="2"/>
      </rPr>
      <t>[diameter]</t>
    </r>
    <r>
      <rPr>
        <sz val="12"/>
        <color theme="1"/>
        <rFont val="Arial"/>
        <family val="2"/>
      </rPr>
      <t xml:space="preserve"> mm diameter),</t>
    </r>
    <r>
      <rPr>
        <sz val="12"/>
        <color rgb="FF0000FF"/>
        <rFont val="Arial"/>
        <family val="2"/>
      </rPr>
      <t xml:space="preserve"> [length]</t>
    </r>
    <r>
      <rPr>
        <sz val="12"/>
        <color theme="1"/>
        <rFont val="Arial"/>
        <family val="2"/>
      </rPr>
      <t xml:space="preserve"> metres long</t>
    </r>
  </si>
  <si>
    <r>
      <t>Hardwood sill, rectangular, supply on Site, (</t>
    </r>
    <r>
      <rPr>
        <sz val="12"/>
        <color rgb="FF0000FF"/>
        <rFont val="Arial"/>
        <family val="2"/>
      </rPr>
      <t xml:space="preserve">[width] </t>
    </r>
    <r>
      <rPr>
        <sz val="12"/>
        <color theme="1"/>
        <rFont val="Arial"/>
        <family val="2"/>
      </rPr>
      <t xml:space="preserve">mm wide, </t>
    </r>
    <r>
      <rPr>
        <sz val="12"/>
        <color rgb="FF0000FF"/>
        <rFont val="Arial"/>
        <family val="2"/>
      </rPr>
      <t xml:space="preserve">[thickness] </t>
    </r>
    <r>
      <rPr>
        <sz val="12"/>
        <color theme="1"/>
        <rFont val="Arial"/>
        <family val="2"/>
      </rPr>
      <t>mm thick),</t>
    </r>
    <r>
      <rPr>
        <sz val="12"/>
        <color rgb="FF0000FF"/>
        <rFont val="Arial"/>
        <family val="2"/>
      </rPr>
      <t xml:space="preserve"> [length] </t>
    </r>
    <r>
      <rPr>
        <sz val="12"/>
        <color theme="1"/>
        <rFont val="Arial"/>
        <family val="2"/>
      </rPr>
      <t>metres long</t>
    </r>
  </si>
  <si>
    <r>
      <t>Hardwood struts and fenders, round, supply on Site, (</t>
    </r>
    <r>
      <rPr>
        <sz val="12"/>
        <color rgb="FF0000FF"/>
        <rFont val="Arial"/>
        <family val="2"/>
      </rPr>
      <t>[diameter]</t>
    </r>
    <r>
      <rPr>
        <sz val="12"/>
        <color theme="1"/>
        <rFont val="Arial"/>
        <family val="2"/>
      </rPr>
      <t xml:space="preserve"> mm diameter),</t>
    </r>
    <r>
      <rPr>
        <sz val="12"/>
        <color rgb="FF0000FF"/>
        <rFont val="Arial"/>
        <family val="2"/>
      </rPr>
      <t xml:space="preserve"> [length]</t>
    </r>
    <r>
      <rPr>
        <sz val="12"/>
        <color theme="1"/>
        <rFont val="Arial"/>
        <family val="2"/>
      </rPr>
      <t xml:space="preserve"> metres long</t>
    </r>
  </si>
  <si>
    <r>
      <t>Hardwood struts and fenders, rectangular, supply on Site, (</t>
    </r>
    <r>
      <rPr>
        <sz val="12"/>
        <color rgb="FF0000FF"/>
        <rFont val="Arial"/>
        <family val="2"/>
      </rPr>
      <t>[width]</t>
    </r>
    <r>
      <rPr>
        <sz val="12"/>
        <color theme="1"/>
        <rFont val="Arial"/>
        <family val="2"/>
      </rPr>
      <t xml:space="preserve"> mm wide, </t>
    </r>
    <r>
      <rPr>
        <sz val="12"/>
        <color rgb="FF0000FF"/>
        <rFont val="Arial"/>
        <family val="2"/>
      </rPr>
      <t xml:space="preserve">[thickness] </t>
    </r>
    <r>
      <rPr>
        <sz val="12"/>
        <color theme="1"/>
        <rFont val="Arial"/>
        <family val="2"/>
      </rPr>
      <t xml:space="preserve">mm thick), </t>
    </r>
    <r>
      <rPr>
        <sz val="12"/>
        <color rgb="FF0000FF"/>
        <rFont val="Arial"/>
        <family val="2"/>
      </rPr>
      <t>[length]</t>
    </r>
    <r>
      <rPr>
        <sz val="12"/>
        <color theme="1"/>
        <rFont val="Arial"/>
        <family val="2"/>
      </rPr>
      <t xml:space="preserve"> metres long</t>
    </r>
  </si>
  <si>
    <r>
      <t>Hardwood distributor planks, supply on Site, (</t>
    </r>
    <r>
      <rPr>
        <sz val="12"/>
        <color rgb="FF0000FF"/>
        <rFont val="Arial"/>
        <family val="2"/>
      </rPr>
      <t>[width]</t>
    </r>
    <r>
      <rPr>
        <sz val="12"/>
        <color theme="1"/>
        <rFont val="Arial"/>
        <family val="2"/>
      </rPr>
      <t xml:space="preserve"> mm wide, </t>
    </r>
    <r>
      <rPr>
        <sz val="12"/>
        <color rgb="FF0000FF"/>
        <rFont val="Arial"/>
        <family val="2"/>
      </rPr>
      <t>[thickness]</t>
    </r>
    <r>
      <rPr>
        <sz val="12"/>
        <color theme="1"/>
        <rFont val="Arial"/>
        <family val="2"/>
      </rPr>
      <t xml:space="preserve"> mm thick)</t>
    </r>
  </si>
  <si>
    <r>
      <t>Hardwood running planks, supply on Site, (</t>
    </r>
    <r>
      <rPr>
        <sz val="12"/>
        <color rgb="FF0000FF"/>
        <rFont val="Arial"/>
        <family val="2"/>
      </rPr>
      <t>[width]</t>
    </r>
    <r>
      <rPr>
        <sz val="12"/>
        <color theme="1"/>
        <rFont val="Arial"/>
        <family val="2"/>
      </rPr>
      <t xml:space="preserve"> mm wide, </t>
    </r>
    <r>
      <rPr>
        <sz val="12"/>
        <color rgb="FF0000FF"/>
        <rFont val="Arial"/>
        <family val="2"/>
      </rPr>
      <t>[thickness]</t>
    </r>
    <r>
      <rPr>
        <sz val="12"/>
        <color theme="1"/>
        <rFont val="Arial"/>
        <family val="2"/>
      </rPr>
      <t xml:space="preserve"> mm thick)</t>
    </r>
  </si>
  <si>
    <r>
      <t>Hardwood ballast boards, supply on Site, (</t>
    </r>
    <r>
      <rPr>
        <sz val="12"/>
        <color rgb="FF0000FF"/>
        <rFont val="Arial"/>
        <family val="2"/>
      </rPr>
      <t xml:space="preserve">[width] </t>
    </r>
    <r>
      <rPr>
        <sz val="12"/>
        <color theme="1"/>
        <rFont val="Arial"/>
        <family val="2"/>
      </rPr>
      <t>mm wide,</t>
    </r>
    <r>
      <rPr>
        <sz val="12"/>
        <color rgb="FF0000FF"/>
        <rFont val="Arial"/>
        <family val="2"/>
      </rPr>
      <t xml:space="preserve"> [thickness]</t>
    </r>
    <r>
      <rPr>
        <sz val="12"/>
        <color theme="1"/>
        <rFont val="Arial"/>
        <family val="2"/>
      </rPr>
      <t xml:space="preserve"> mm thick)</t>
    </r>
  </si>
  <si>
    <r>
      <t>Hardwood cover boards, supply on Site, (</t>
    </r>
    <r>
      <rPr>
        <sz val="12"/>
        <color rgb="FF0000FF"/>
        <rFont val="Arial"/>
        <family val="2"/>
      </rPr>
      <t>[width]</t>
    </r>
    <r>
      <rPr>
        <sz val="12"/>
        <color theme="1"/>
        <rFont val="Arial"/>
        <family val="2"/>
      </rPr>
      <t xml:space="preserve"> mm wide, </t>
    </r>
    <r>
      <rPr>
        <sz val="12"/>
        <color rgb="FF0000FF"/>
        <rFont val="Arial"/>
        <family val="2"/>
      </rPr>
      <t>[thickness]</t>
    </r>
    <r>
      <rPr>
        <sz val="12"/>
        <color theme="1"/>
        <rFont val="Arial"/>
        <family val="2"/>
      </rPr>
      <t xml:space="preserve"> mm thick)</t>
    </r>
  </si>
  <si>
    <r>
      <t>Hardwood backing slabs, supply on Site, (</t>
    </r>
    <r>
      <rPr>
        <sz val="12"/>
        <color rgb="FF0000FF"/>
        <rFont val="Arial"/>
        <family val="2"/>
      </rPr>
      <t>[width]</t>
    </r>
    <r>
      <rPr>
        <sz val="12"/>
        <color theme="1"/>
        <rFont val="Arial"/>
        <family val="2"/>
      </rPr>
      <t xml:space="preserve"> mm wide, </t>
    </r>
    <r>
      <rPr>
        <sz val="12"/>
        <color rgb="FF0000FF"/>
        <rFont val="Arial"/>
        <family val="2"/>
      </rPr>
      <t>[thickness]</t>
    </r>
    <r>
      <rPr>
        <sz val="12"/>
        <color theme="1"/>
        <rFont val="Arial"/>
        <family val="2"/>
      </rPr>
      <t xml:space="preserve"> mm thick)</t>
    </r>
  </si>
  <si>
    <r>
      <t>Steel bridge decking, supply on Site, (</t>
    </r>
    <r>
      <rPr>
        <sz val="12"/>
        <color rgb="FF0000FF"/>
        <rFont val="Arial"/>
        <family val="2"/>
      </rPr>
      <t>[depth]</t>
    </r>
    <r>
      <rPr>
        <sz val="12"/>
        <color theme="1"/>
        <rFont val="Arial"/>
        <family val="2"/>
      </rPr>
      <t xml:space="preserve"> mm deep, </t>
    </r>
    <r>
      <rPr>
        <sz val="12"/>
        <color rgb="FF0000FF"/>
        <rFont val="Arial"/>
        <family val="2"/>
      </rPr>
      <t>[thickness]</t>
    </r>
    <r>
      <rPr>
        <sz val="12"/>
        <color theme="1"/>
        <rFont val="Arial"/>
        <family val="2"/>
      </rPr>
      <t xml:space="preserve"> mm thick),</t>
    </r>
    <r>
      <rPr>
        <sz val="12"/>
        <color rgb="FF0000FF"/>
        <rFont val="Arial"/>
        <family val="2"/>
      </rPr>
      <t xml:space="preserve"> [length]</t>
    </r>
    <r>
      <rPr>
        <sz val="12"/>
        <color theme="1"/>
        <rFont val="Arial"/>
        <family val="2"/>
      </rPr>
      <t xml:space="preserve"> metres long</t>
    </r>
  </si>
  <si>
    <r>
      <t>Steel kerb, supply on Site, (</t>
    </r>
    <r>
      <rPr>
        <sz val="12"/>
        <color rgb="FF0000FF"/>
        <rFont val="Arial"/>
        <family val="2"/>
      </rPr>
      <t>[depth]</t>
    </r>
    <r>
      <rPr>
        <sz val="12"/>
        <color theme="1"/>
        <rFont val="Arial"/>
        <family val="2"/>
      </rPr>
      <t xml:space="preserve"> mm deep, </t>
    </r>
    <r>
      <rPr>
        <sz val="12"/>
        <color rgb="FF0000FF"/>
        <rFont val="Arial"/>
        <family val="2"/>
      </rPr>
      <t>[thickness]</t>
    </r>
    <r>
      <rPr>
        <sz val="12"/>
        <color theme="1"/>
        <rFont val="Arial"/>
        <family val="2"/>
      </rPr>
      <t xml:space="preserve"> mm thick),</t>
    </r>
    <r>
      <rPr>
        <sz val="12"/>
        <color rgb="FF0000FF"/>
        <rFont val="Arial"/>
        <family val="2"/>
      </rPr>
      <t xml:space="preserve"> [length]</t>
    </r>
    <r>
      <rPr>
        <sz val="12"/>
        <color theme="1"/>
        <rFont val="Arial"/>
        <family val="2"/>
      </rPr>
      <t xml:space="preserve"> metres long</t>
    </r>
  </si>
  <si>
    <r>
      <t>Precast prestressed concrete bridge decking, supply on Site, (</t>
    </r>
    <r>
      <rPr>
        <sz val="12"/>
        <color rgb="FF0000FF"/>
        <rFont val="Arial"/>
        <family val="2"/>
      </rPr>
      <t xml:space="preserve">[width] </t>
    </r>
    <r>
      <rPr>
        <sz val="12"/>
        <color theme="1"/>
        <rFont val="Arial"/>
        <family val="2"/>
      </rPr>
      <t xml:space="preserve">mm wide, </t>
    </r>
    <r>
      <rPr>
        <sz val="12"/>
        <color rgb="FF0000FF"/>
        <rFont val="Arial"/>
        <family val="2"/>
      </rPr>
      <t xml:space="preserve">[thickness] </t>
    </r>
    <r>
      <rPr>
        <sz val="12"/>
        <color theme="1"/>
        <rFont val="Arial"/>
        <family val="2"/>
      </rPr>
      <t xml:space="preserve">mm thick), </t>
    </r>
    <r>
      <rPr>
        <sz val="12"/>
        <color rgb="FF0000FF"/>
        <rFont val="Arial"/>
        <family val="2"/>
      </rPr>
      <t xml:space="preserve">[length] </t>
    </r>
    <r>
      <rPr>
        <sz val="12"/>
        <color theme="1"/>
        <rFont val="Arial"/>
        <family val="2"/>
      </rPr>
      <t>metres long,</t>
    </r>
    <r>
      <rPr>
        <sz val="12"/>
        <color rgb="FF0000FF"/>
        <rFont val="Arial"/>
        <family val="2"/>
      </rPr>
      <t xml:space="preserve"> [hand]</t>
    </r>
    <r>
      <rPr>
        <sz val="12"/>
        <color theme="1"/>
        <rFont val="Arial"/>
        <family val="2"/>
      </rPr>
      <t xml:space="preserve"> (clockwise/anticlockwise skew/square delete as appropriate),</t>
    </r>
    <r>
      <rPr>
        <sz val="12"/>
        <color rgb="FF0000FF"/>
        <rFont val="Arial"/>
        <family val="2"/>
      </rPr>
      <t xml:space="preserve"> [degrees] </t>
    </r>
    <r>
      <rPr>
        <sz val="12"/>
        <color theme="1"/>
        <rFont val="Arial"/>
        <family val="2"/>
      </rPr>
      <t>degrees skew</t>
    </r>
  </si>
  <si>
    <r>
      <t>Hardwood kerbs, transport to Site, ex Works/Stockpile</t>
    </r>
    <r>
      <rPr>
        <sz val="12"/>
        <color rgb="FF0000FF"/>
        <rFont val="Arial"/>
        <family val="2"/>
      </rPr>
      <t xml:space="preserve"> [location]</t>
    </r>
    <r>
      <rPr>
        <sz val="12"/>
        <color theme="1"/>
        <rFont val="Arial"/>
        <family val="2"/>
      </rPr>
      <t>, (</t>
    </r>
    <r>
      <rPr>
        <sz val="12"/>
        <color rgb="FF0000FF"/>
        <rFont val="Arial"/>
        <family val="2"/>
      </rPr>
      <t>[width]</t>
    </r>
    <r>
      <rPr>
        <sz val="12"/>
        <color theme="1"/>
        <rFont val="Arial"/>
        <family val="2"/>
      </rPr>
      <t xml:space="preserve"> mm wide, </t>
    </r>
    <r>
      <rPr>
        <sz val="12"/>
        <color rgb="FF0000FF"/>
        <rFont val="Arial"/>
        <family val="2"/>
      </rPr>
      <t>[thickness]</t>
    </r>
    <r>
      <rPr>
        <sz val="12"/>
        <color theme="1"/>
        <rFont val="Arial"/>
        <family val="2"/>
      </rPr>
      <t xml:space="preserve"> mm thick), </t>
    </r>
    <r>
      <rPr>
        <sz val="12"/>
        <color rgb="FF0000FF"/>
        <rFont val="Arial"/>
        <family val="2"/>
      </rPr>
      <t xml:space="preserve">[length] </t>
    </r>
    <r>
      <rPr>
        <sz val="12"/>
        <color theme="1"/>
        <rFont val="Arial"/>
        <family val="2"/>
      </rPr>
      <t>metres long</t>
    </r>
  </si>
  <si>
    <r>
      <t>Plywood kerbs, transport to Site, ex Works/Stockpile</t>
    </r>
    <r>
      <rPr>
        <sz val="12"/>
        <color rgb="FF0000FF"/>
        <rFont val="Arial"/>
        <family val="2"/>
      </rPr>
      <t xml:space="preserve"> [location]</t>
    </r>
    <r>
      <rPr>
        <sz val="12"/>
        <color theme="1"/>
        <rFont val="Arial"/>
        <family val="2"/>
      </rPr>
      <t>, (</t>
    </r>
    <r>
      <rPr>
        <sz val="12"/>
        <color rgb="FF0000FF"/>
        <rFont val="Arial"/>
        <family val="2"/>
      </rPr>
      <t>[width]</t>
    </r>
    <r>
      <rPr>
        <sz val="12"/>
        <color theme="1"/>
        <rFont val="Arial"/>
        <family val="2"/>
      </rPr>
      <t xml:space="preserve"> mm wide, </t>
    </r>
    <r>
      <rPr>
        <sz val="12"/>
        <color rgb="FF0000FF"/>
        <rFont val="Arial"/>
        <family val="2"/>
      </rPr>
      <t>[thickness]</t>
    </r>
    <r>
      <rPr>
        <sz val="12"/>
        <color theme="1"/>
        <rFont val="Arial"/>
        <family val="2"/>
      </rPr>
      <t xml:space="preserve"> mm thick), </t>
    </r>
    <r>
      <rPr>
        <sz val="12"/>
        <color rgb="FF0000FF"/>
        <rFont val="Arial"/>
        <family val="2"/>
      </rPr>
      <t>[length]</t>
    </r>
    <r>
      <rPr>
        <sz val="12"/>
        <color theme="1"/>
        <rFont val="Arial"/>
        <family val="2"/>
      </rPr>
      <t xml:space="preserve"> metres long</t>
    </r>
  </si>
  <si>
    <r>
      <t xml:space="preserve">Hardwood decking, transport to Site, ex Works/Stockpile </t>
    </r>
    <r>
      <rPr>
        <sz val="12"/>
        <color rgb="FF0000FF"/>
        <rFont val="Arial"/>
        <family val="2"/>
      </rPr>
      <t>[location]</t>
    </r>
    <r>
      <rPr>
        <sz val="12"/>
        <color theme="1"/>
        <rFont val="Arial"/>
        <family val="2"/>
      </rPr>
      <t>, (</t>
    </r>
    <r>
      <rPr>
        <sz val="12"/>
        <color rgb="FF0000FF"/>
        <rFont val="Arial"/>
        <family val="2"/>
      </rPr>
      <t>[thickness]</t>
    </r>
    <r>
      <rPr>
        <sz val="12"/>
        <color theme="1"/>
        <rFont val="Arial"/>
        <family val="2"/>
      </rPr>
      <t xml:space="preserve"> mm thick),</t>
    </r>
    <r>
      <rPr>
        <sz val="12"/>
        <color rgb="FF0000FF"/>
        <rFont val="Arial"/>
        <family val="2"/>
      </rPr>
      <t xml:space="preserve"> [length] </t>
    </r>
    <r>
      <rPr>
        <sz val="12"/>
        <color theme="1"/>
        <rFont val="Arial"/>
        <family val="2"/>
      </rPr>
      <t>metres long</t>
    </r>
  </si>
  <si>
    <r>
      <t>Plywood deck sheets, transport to Site, ex Works/Stockpile</t>
    </r>
    <r>
      <rPr>
        <sz val="12"/>
        <color rgb="FF0000FF"/>
        <rFont val="Arial"/>
        <family val="2"/>
      </rPr>
      <t xml:space="preserve"> [location]</t>
    </r>
    <r>
      <rPr>
        <sz val="12"/>
        <color theme="1"/>
        <rFont val="Arial"/>
        <family val="2"/>
      </rPr>
      <t>, (</t>
    </r>
    <r>
      <rPr>
        <sz val="12"/>
        <color rgb="FF0000FF"/>
        <rFont val="Arial"/>
        <family val="2"/>
      </rPr>
      <t xml:space="preserve">[width] </t>
    </r>
    <r>
      <rPr>
        <sz val="12"/>
        <color theme="1"/>
        <rFont val="Arial"/>
        <family val="2"/>
      </rPr>
      <t xml:space="preserve">mm wide, </t>
    </r>
    <r>
      <rPr>
        <sz val="12"/>
        <color rgb="FF0000FF"/>
        <rFont val="Arial"/>
        <family val="2"/>
      </rPr>
      <t>[thickness]</t>
    </r>
    <r>
      <rPr>
        <sz val="12"/>
        <color theme="1"/>
        <rFont val="Arial"/>
        <family val="2"/>
      </rPr>
      <t xml:space="preserve"> mm thick),</t>
    </r>
    <r>
      <rPr>
        <sz val="12"/>
        <color rgb="FF0000FF"/>
        <rFont val="Arial"/>
        <family val="2"/>
      </rPr>
      <t xml:space="preserve"> [length]</t>
    </r>
    <r>
      <rPr>
        <sz val="12"/>
        <color theme="1"/>
        <rFont val="Arial"/>
        <family val="2"/>
      </rPr>
      <t xml:space="preserve"> metres long</t>
    </r>
  </si>
  <si>
    <r>
      <t>Plywood deck sheets including coating, transport to Site, ex Works/Stockpile</t>
    </r>
    <r>
      <rPr>
        <sz val="12"/>
        <color rgb="FF0000FF"/>
        <rFont val="Arial"/>
        <family val="2"/>
      </rPr>
      <t xml:space="preserve"> [location]</t>
    </r>
    <r>
      <rPr>
        <sz val="12"/>
        <color theme="1"/>
        <rFont val="Arial"/>
        <family val="2"/>
      </rPr>
      <t>, (</t>
    </r>
    <r>
      <rPr>
        <sz val="12"/>
        <color rgb="FF0000FF"/>
        <rFont val="Arial"/>
        <family val="2"/>
      </rPr>
      <t>[width]</t>
    </r>
    <r>
      <rPr>
        <sz val="12"/>
        <color theme="1"/>
        <rFont val="Arial"/>
        <family val="2"/>
      </rPr>
      <t xml:space="preserve"> mm wide,</t>
    </r>
    <r>
      <rPr>
        <sz val="12"/>
        <color rgb="FF0000FF"/>
        <rFont val="Arial"/>
        <family val="2"/>
      </rPr>
      <t xml:space="preserve"> [thickness]</t>
    </r>
    <r>
      <rPr>
        <sz val="12"/>
        <color theme="1"/>
        <rFont val="Arial"/>
        <family val="2"/>
      </rPr>
      <t xml:space="preserve"> mm thick),</t>
    </r>
    <r>
      <rPr>
        <sz val="12"/>
        <color rgb="FF0000FF"/>
        <rFont val="Arial"/>
        <family val="2"/>
      </rPr>
      <t xml:space="preserve"> [length]</t>
    </r>
    <r>
      <rPr>
        <sz val="12"/>
        <color theme="1"/>
        <rFont val="Arial"/>
        <family val="2"/>
      </rPr>
      <t xml:space="preserve"> metres long</t>
    </r>
  </si>
  <si>
    <r>
      <t>Hardwood spiking planks, transport to Site, ex Works/Stockpile</t>
    </r>
    <r>
      <rPr>
        <sz val="12"/>
        <color rgb="FF0000FF"/>
        <rFont val="Arial"/>
        <family val="2"/>
      </rPr>
      <t xml:space="preserve"> [location]</t>
    </r>
    <r>
      <rPr>
        <sz val="12"/>
        <color theme="1"/>
        <rFont val="Arial"/>
        <family val="2"/>
      </rPr>
      <t>, (</t>
    </r>
    <r>
      <rPr>
        <sz val="12"/>
        <color rgb="FF0000FF"/>
        <rFont val="Arial"/>
        <family val="2"/>
      </rPr>
      <t>[width]</t>
    </r>
    <r>
      <rPr>
        <sz val="12"/>
        <color theme="1"/>
        <rFont val="Arial"/>
        <family val="2"/>
      </rPr>
      <t xml:space="preserve"> mm wide, </t>
    </r>
    <r>
      <rPr>
        <sz val="12"/>
        <color rgb="FF0000FF"/>
        <rFont val="Arial"/>
        <family val="2"/>
      </rPr>
      <t xml:space="preserve">[thickness] </t>
    </r>
    <r>
      <rPr>
        <sz val="12"/>
        <color theme="1"/>
        <rFont val="Arial"/>
        <family val="2"/>
      </rPr>
      <t>mm thick)</t>
    </r>
  </si>
  <si>
    <r>
      <t xml:space="preserve">Hardwood end spiking planks, transport to Site, ex Works/Stockpile </t>
    </r>
    <r>
      <rPr>
        <sz val="12"/>
        <color rgb="FF0000FF"/>
        <rFont val="Arial"/>
        <family val="2"/>
      </rPr>
      <t>[location]</t>
    </r>
    <r>
      <rPr>
        <sz val="12"/>
        <color theme="1"/>
        <rFont val="Arial"/>
        <family val="2"/>
      </rPr>
      <t>, (</t>
    </r>
    <r>
      <rPr>
        <sz val="12"/>
        <color rgb="FF0000FF"/>
        <rFont val="Arial"/>
        <family val="2"/>
      </rPr>
      <t>[width]</t>
    </r>
    <r>
      <rPr>
        <sz val="12"/>
        <color theme="1"/>
        <rFont val="Arial"/>
        <family val="2"/>
      </rPr>
      <t xml:space="preserve"> mm wide,</t>
    </r>
    <r>
      <rPr>
        <sz val="12"/>
        <color rgb="FF0000FF"/>
        <rFont val="Arial"/>
        <family val="2"/>
      </rPr>
      <t xml:space="preserve"> [thickness] </t>
    </r>
    <r>
      <rPr>
        <sz val="12"/>
        <color theme="1"/>
        <rFont val="Arial"/>
        <family val="2"/>
      </rPr>
      <t>mm thick)</t>
    </r>
  </si>
  <si>
    <r>
      <t>Hardwood girders, round, transport to Site, ex Works/Stockpile</t>
    </r>
    <r>
      <rPr>
        <sz val="12"/>
        <color rgb="FF0000FF"/>
        <rFont val="Arial"/>
        <family val="2"/>
      </rPr>
      <t xml:space="preserve"> [location]</t>
    </r>
    <r>
      <rPr>
        <sz val="12"/>
        <color theme="1"/>
        <rFont val="Arial"/>
        <family val="2"/>
      </rPr>
      <t>, (</t>
    </r>
    <r>
      <rPr>
        <sz val="12"/>
        <color rgb="FF0000FF"/>
        <rFont val="Arial"/>
        <family val="2"/>
      </rPr>
      <t>[diameter]</t>
    </r>
    <r>
      <rPr>
        <sz val="12"/>
        <color theme="1"/>
        <rFont val="Arial"/>
        <family val="2"/>
      </rPr>
      <t xml:space="preserve"> mm diameter),</t>
    </r>
    <r>
      <rPr>
        <sz val="12"/>
        <color rgb="FF0000FF"/>
        <rFont val="Arial"/>
        <family val="2"/>
      </rPr>
      <t xml:space="preserve"> [length] </t>
    </r>
    <r>
      <rPr>
        <sz val="12"/>
        <color theme="1"/>
        <rFont val="Arial"/>
        <family val="2"/>
      </rPr>
      <t>metres long</t>
    </r>
  </si>
  <si>
    <r>
      <t xml:space="preserve">Hardwood girders, octagonal, transport to Site, ex Works/Stockpile </t>
    </r>
    <r>
      <rPr>
        <sz val="12"/>
        <color rgb="FF0000FF"/>
        <rFont val="Arial"/>
        <family val="2"/>
      </rPr>
      <t>[location]</t>
    </r>
    <r>
      <rPr>
        <sz val="12"/>
        <color theme="1"/>
        <rFont val="Arial"/>
        <family val="2"/>
      </rPr>
      <t>, (</t>
    </r>
    <r>
      <rPr>
        <sz val="12"/>
        <color rgb="FF0000FF"/>
        <rFont val="Arial"/>
        <family val="2"/>
      </rPr>
      <t xml:space="preserve">[width] </t>
    </r>
    <r>
      <rPr>
        <sz val="12"/>
        <color theme="1"/>
        <rFont val="Arial"/>
        <family val="2"/>
      </rPr>
      <t>mm wide),</t>
    </r>
    <r>
      <rPr>
        <sz val="12"/>
        <color rgb="FF0000FF"/>
        <rFont val="Arial"/>
        <family val="2"/>
      </rPr>
      <t xml:space="preserve"> [length]</t>
    </r>
    <r>
      <rPr>
        <sz val="12"/>
        <color theme="1"/>
        <rFont val="Arial"/>
        <family val="2"/>
      </rPr>
      <t xml:space="preserve"> metres long</t>
    </r>
  </si>
  <si>
    <r>
      <t>Hardwood corbels, round, transport to Site, ex Works/Stockpile</t>
    </r>
    <r>
      <rPr>
        <sz val="12"/>
        <color rgb="FF0000FF"/>
        <rFont val="Arial"/>
        <family val="2"/>
      </rPr>
      <t xml:space="preserve"> [location]</t>
    </r>
    <r>
      <rPr>
        <sz val="12"/>
        <color theme="1"/>
        <rFont val="Arial"/>
        <family val="2"/>
      </rPr>
      <t>, (</t>
    </r>
    <r>
      <rPr>
        <sz val="12"/>
        <color rgb="FF0000FF"/>
        <rFont val="Arial"/>
        <family val="2"/>
      </rPr>
      <t xml:space="preserve">[diameter] </t>
    </r>
    <r>
      <rPr>
        <sz val="12"/>
        <color theme="1"/>
        <rFont val="Arial"/>
        <family val="2"/>
      </rPr>
      <t xml:space="preserve">mm diameter), </t>
    </r>
    <r>
      <rPr>
        <sz val="12"/>
        <color rgb="FF0000FF"/>
        <rFont val="Arial"/>
        <family val="2"/>
      </rPr>
      <t xml:space="preserve">[length] </t>
    </r>
    <r>
      <rPr>
        <sz val="12"/>
        <color theme="1"/>
        <rFont val="Arial"/>
        <family val="2"/>
      </rPr>
      <t>metres long</t>
    </r>
  </si>
  <si>
    <r>
      <t>Hardwood corbels, octagonal, transport to Site, ex Works/Stockpile</t>
    </r>
    <r>
      <rPr>
        <sz val="12"/>
        <color rgb="FF0000FF"/>
        <rFont val="Arial"/>
        <family val="2"/>
      </rPr>
      <t xml:space="preserve"> [location]</t>
    </r>
    <r>
      <rPr>
        <sz val="12"/>
        <color theme="1"/>
        <rFont val="Arial"/>
        <family val="2"/>
      </rPr>
      <t>, (</t>
    </r>
    <r>
      <rPr>
        <sz val="12"/>
        <color rgb="FF0000FF"/>
        <rFont val="Arial"/>
        <family val="2"/>
      </rPr>
      <t>[width]</t>
    </r>
    <r>
      <rPr>
        <sz val="12"/>
        <color theme="1"/>
        <rFont val="Arial"/>
        <family val="2"/>
      </rPr>
      <t xml:space="preserve"> mm wide),</t>
    </r>
    <r>
      <rPr>
        <sz val="12"/>
        <color rgb="FF0000FF"/>
        <rFont val="Arial"/>
        <family val="2"/>
      </rPr>
      <t xml:space="preserve"> [length]</t>
    </r>
    <r>
      <rPr>
        <sz val="12"/>
        <color theme="1"/>
        <rFont val="Arial"/>
        <family val="2"/>
      </rPr>
      <t xml:space="preserve"> metres long</t>
    </r>
  </si>
  <si>
    <r>
      <t xml:space="preserve">Hardwood headstocks, transport to Site, ex Works/Stockpile </t>
    </r>
    <r>
      <rPr>
        <sz val="12"/>
        <color rgb="FF0000FF"/>
        <rFont val="Arial"/>
        <family val="2"/>
      </rPr>
      <t>[location]</t>
    </r>
    <r>
      <rPr>
        <sz val="12"/>
        <color theme="1"/>
        <rFont val="Arial"/>
        <family val="2"/>
      </rPr>
      <t xml:space="preserve"> (</t>
    </r>
    <r>
      <rPr>
        <sz val="12"/>
        <color rgb="FF0000FF"/>
        <rFont val="Arial"/>
        <family val="2"/>
      </rPr>
      <t>[width]</t>
    </r>
    <r>
      <rPr>
        <sz val="12"/>
        <color theme="1"/>
        <rFont val="Arial"/>
        <family val="2"/>
      </rPr>
      <t xml:space="preserve"> mm wide,</t>
    </r>
    <r>
      <rPr>
        <sz val="12"/>
        <color rgb="FF0000FF"/>
        <rFont val="Arial"/>
        <family val="2"/>
      </rPr>
      <t xml:space="preserve"> [thickness]</t>
    </r>
    <r>
      <rPr>
        <sz val="12"/>
        <color theme="1"/>
        <rFont val="Arial"/>
        <family val="2"/>
      </rPr>
      <t xml:space="preserve"> mm thick),</t>
    </r>
    <r>
      <rPr>
        <sz val="12"/>
        <color rgb="FF0000FF"/>
        <rFont val="Arial"/>
        <family val="2"/>
      </rPr>
      <t xml:space="preserve"> [length]</t>
    </r>
    <r>
      <rPr>
        <sz val="12"/>
        <color theme="1"/>
        <rFont val="Arial"/>
        <family val="2"/>
      </rPr>
      <t xml:space="preserve"> metres long</t>
    </r>
  </si>
  <si>
    <r>
      <t>Hardwood piles, transport to Site, ex Works/Stockpile</t>
    </r>
    <r>
      <rPr>
        <sz val="12"/>
        <color rgb="FF0000FF"/>
        <rFont val="Arial"/>
        <family val="2"/>
      </rPr>
      <t xml:space="preserve"> [location],</t>
    </r>
    <r>
      <rPr>
        <sz val="12"/>
        <color theme="1"/>
        <rFont val="Arial"/>
        <family val="2"/>
      </rPr>
      <t xml:space="preserve"> (</t>
    </r>
    <r>
      <rPr>
        <sz val="12"/>
        <color rgb="FF0000FF"/>
        <rFont val="Arial"/>
        <family val="2"/>
      </rPr>
      <t>[diameter]</t>
    </r>
    <r>
      <rPr>
        <sz val="12"/>
        <color theme="1"/>
        <rFont val="Arial"/>
        <family val="2"/>
      </rPr>
      <t xml:space="preserve">), </t>
    </r>
    <r>
      <rPr>
        <sz val="12"/>
        <color rgb="FF0000FF"/>
        <rFont val="Arial"/>
        <family val="2"/>
      </rPr>
      <t>[length]</t>
    </r>
    <r>
      <rPr>
        <sz val="12"/>
        <color theme="1"/>
        <rFont val="Arial"/>
        <family val="2"/>
      </rPr>
      <t xml:space="preserve"> metres long</t>
    </r>
  </si>
  <si>
    <r>
      <t>Hardwood wales and braces, transport to Site, ex Works/Stockpile</t>
    </r>
    <r>
      <rPr>
        <sz val="12"/>
        <color rgb="FF0000FF"/>
        <rFont val="Arial"/>
        <family val="2"/>
      </rPr>
      <t xml:space="preserve"> [location]</t>
    </r>
    <r>
      <rPr>
        <sz val="12"/>
        <color theme="1"/>
        <rFont val="Arial"/>
        <family val="2"/>
      </rPr>
      <t>, (</t>
    </r>
    <r>
      <rPr>
        <sz val="12"/>
        <color rgb="FF0000FF"/>
        <rFont val="Arial"/>
        <family val="2"/>
      </rPr>
      <t>[width]</t>
    </r>
    <r>
      <rPr>
        <sz val="12"/>
        <color theme="1"/>
        <rFont val="Arial"/>
        <family val="2"/>
      </rPr>
      <t xml:space="preserve"> mm wide, </t>
    </r>
    <r>
      <rPr>
        <sz val="12"/>
        <color rgb="FF0000FF"/>
        <rFont val="Arial"/>
        <family val="2"/>
      </rPr>
      <t>[thickness]</t>
    </r>
    <r>
      <rPr>
        <sz val="12"/>
        <color theme="1"/>
        <rFont val="Arial"/>
        <family val="2"/>
      </rPr>
      <t xml:space="preserve"> mm thick)</t>
    </r>
  </si>
  <si>
    <r>
      <t xml:space="preserve">Hardwood sill, round, transport to Site, ex Works/Stockpile </t>
    </r>
    <r>
      <rPr>
        <sz val="12"/>
        <color rgb="FF0000FF"/>
        <rFont val="Arial"/>
        <family val="2"/>
      </rPr>
      <t>[location]</t>
    </r>
    <r>
      <rPr>
        <sz val="12"/>
        <color theme="1"/>
        <rFont val="Arial"/>
        <family val="2"/>
      </rPr>
      <t>, (</t>
    </r>
    <r>
      <rPr>
        <sz val="12"/>
        <color rgb="FF0000FF"/>
        <rFont val="Arial"/>
        <family val="2"/>
      </rPr>
      <t>[diameter]</t>
    </r>
    <r>
      <rPr>
        <sz val="12"/>
        <color theme="1"/>
        <rFont val="Arial"/>
        <family val="2"/>
      </rPr>
      <t xml:space="preserve"> mm diameter), </t>
    </r>
    <r>
      <rPr>
        <sz val="12"/>
        <color rgb="FF0000FF"/>
        <rFont val="Arial"/>
        <family val="2"/>
      </rPr>
      <t xml:space="preserve">[length] </t>
    </r>
    <r>
      <rPr>
        <sz val="12"/>
        <color theme="1"/>
        <rFont val="Arial"/>
        <family val="2"/>
      </rPr>
      <t>metres long</t>
    </r>
  </si>
  <si>
    <r>
      <t xml:space="preserve">Hardwood sill, rectangular, transport to Site, ex Works/Stockpile </t>
    </r>
    <r>
      <rPr>
        <sz val="12"/>
        <color rgb="FF0000FF"/>
        <rFont val="Arial"/>
        <family val="2"/>
      </rPr>
      <t>[location]</t>
    </r>
    <r>
      <rPr>
        <sz val="12"/>
        <color theme="1"/>
        <rFont val="Arial"/>
        <family val="2"/>
      </rPr>
      <t>, (</t>
    </r>
    <r>
      <rPr>
        <sz val="12"/>
        <color rgb="FF0000FF"/>
        <rFont val="Arial"/>
        <family val="2"/>
      </rPr>
      <t>[width]</t>
    </r>
    <r>
      <rPr>
        <sz val="12"/>
        <color theme="1"/>
        <rFont val="Arial"/>
        <family val="2"/>
      </rPr>
      <t xml:space="preserve"> mm wide,</t>
    </r>
    <r>
      <rPr>
        <sz val="12"/>
        <color rgb="FF0000FF"/>
        <rFont val="Arial"/>
        <family val="2"/>
      </rPr>
      <t xml:space="preserve"> [thickness] </t>
    </r>
    <r>
      <rPr>
        <sz val="12"/>
        <color theme="1"/>
        <rFont val="Arial"/>
        <family val="2"/>
      </rPr>
      <t xml:space="preserve">mm thick), </t>
    </r>
    <r>
      <rPr>
        <sz val="12"/>
        <color rgb="FF0000FF"/>
        <rFont val="Arial"/>
        <family val="2"/>
      </rPr>
      <t xml:space="preserve">[length] </t>
    </r>
    <r>
      <rPr>
        <sz val="12"/>
        <color theme="1"/>
        <rFont val="Arial"/>
        <family val="2"/>
      </rPr>
      <t>metres long</t>
    </r>
  </si>
  <si>
    <r>
      <t>Hardwood struts and fenders, round, transport to Site, ex Works/Stockpile</t>
    </r>
    <r>
      <rPr>
        <sz val="12"/>
        <color rgb="FF0000FF"/>
        <rFont val="Arial"/>
        <family val="2"/>
      </rPr>
      <t xml:space="preserve"> [location]</t>
    </r>
    <r>
      <rPr>
        <sz val="12"/>
        <color theme="1"/>
        <rFont val="Arial"/>
        <family val="2"/>
      </rPr>
      <t>, (</t>
    </r>
    <r>
      <rPr>
        <sz val="12"/>
        <color rgb="FF0000FF"/>
        <rFont val="Arial"/>
        <family val="2"/>
      </rPr>
      <t>[diameter]</t>
    </r>
    <r>
      <rPr>
        <sz val="12"/>
        <color theme="1"/>
        <rFont val="Arial"/>
        <family val="2"/>
      </rPr>
      <t xml:space="preserve"> mm diameter),</t>
    </r>
    <r>
      <rPr>
        <sz val="12"/>
        <color rgb="FF0000FF"/>
        <rFont val="Arial"/>
        <family val="2"/>
      </rPr>
      <t xml:space="preserve"> [length] </t>
    </r>
    <r>
      <rPr>
        <sz val="12"/>
        <color theme="1"/>
        <rFont val="Arial"/>
        <family val="2"/>
      </rPr>
      <t>metres long</t>
    </r>
  </si>
  <si>
    <r>
      <t>Hardwood struts and fenders, rectangular, transport to Site, ex Works/Stockpile</t>
    </r>
    <r>
      <rPr>
        <sz val="12"/>
        <color rgb="FF0000FF"/>
        <rFont val="Arial"/>
        <family val="2"/>
      </rPr>
      <t xml:space="preserve"> [location]</t>
    </r>
    <r>
      <rPr>
        <sz val="12"/>
        <color theme="1"/>
        <rFont val="Arial"/>
        <family val="2"/>
      </rPr>
      <t>, (</t>
    </r>
    <r>
      <rPr>
        <sz val="12"/>
        <color rgb="FF0000FF"/>
        <rFont val="Arial"/>
        <family val="2"/>
      </rPr>
      <t xml:space="preserve">[width] </t>
    </r>
    <r>
      <rPr>
        <sz val="12"/>
        <color theme="1"/>
        <rFont val="Arial"/>
        <family val="2"/>
      </rPr>
      <t xml:space="preserve">mm wide, </t>
    </r>
    <r>
      <rPr>
        <sz val="12"/>
        <color rgb="FF0000FF"/>
        <rFont val="Arial"/>
        <family val="2"/>
      </rPr>
      <t xml:space="preserve">[thickness] </t>
    </r>
    <r>
      <rPr>
        <sz val="12"/>
        <color theme="1"/>
        <rFont val="Arial"/>
        <family val="2"/>
      </rPr>
      <t xml:space="preserve">mm thick), </t>
    </r>
    <r>
      <rPr>
        <sz val="12"/>
        <color rgb="FF0000FF"/>
        <rFont val="Arial"/>
        <family val="2"/>
      </rPr>
      <t xml:space="preserve">[length] </t>
    </r>
    <r>
      <rPr>
        <sz val="12"/>
        <color theme="1"/>
        <rFont val="Arial"/>
        <family val="2"/>
      </rPr>
      <t>metres long</t>
    </r>
  </si>
  <si>
    <r>
      <t>Hardwood distributor planks, transport to Site, ex Works/Stockpile</t>
    </r>
    <r>
      <rPr>
        <sz val="12"/>
        <color rgb="FF0000FF"/>
        <rFont val="Arial"/>
        <family val="2"/>
      </rPr>
      <t xml:space="preserve"> [location]</t>
    </r>
    <r>
      <rPr>
        <sz val="12"/>
        <color theme="1"/>
        <rFont val="Arial"/>
        <family val="2"/>
      </rPr>
      <t>, (</t>
    </r>
    <r>
      <rPr>
        <sz val="12"/>
        <color rgb="FF0000FF"/>
        <rFont val="Arial"/>
        <family val="2"/>
      </rPr>
      <t xml:space="preserve">[width] </t>
    </r>
    <r>
      <rPr>
        <sz val="12"/>
        <color theme="1"/>
        <rFont val="Arial"/>
        <family val="2"/>
      </rPr>
      <t>mm wide,</t>
    </r>
    <r>
      <rPr>
        <sz val="12"/>
        <color rgb="FF0000FF"/>
        <rFont val="Arial"/>
        <family val="2"/>
      </rPr>
      <t xml:space="preserve"> [thickness]</t>
    </r>
    <r>
      <rPr>
        <sz val="12"/>
        <color theme="1"/>
        <rFont val="Arial"/>
        <family val="2"/>
      </rPr>
      <t xml:space="preserve"> mm thick)</t>
    </r>
  </si>
  <si>
    <r>
      <t xml:space="preserve">Hardwood running planks, transport to Site, ex Works/Stockpile </t>
    </r>
    <r>
      <rPr>
        <sz val="12"/>
        <color rgb="FF0000FF"/>
        <rFont val="Arial"/>
        <family val="2"/>
      </rPr>
      <t>[location]</t>
    </r>
    <r>
      <rPr>
        <sz val="12"/>
        <color theme="1"/>
        <rFont val="Arial"/>
        <family val="2"/>
      </rPr>
      <t>, (</t>
    </r>
    <r>
      <rPr>
        <sz val="12"/>
        <color rgb="FF0000FF"/>
        <rFont val="Arial"/>
        <family val="2"/>
      </rPr>
      <t>[width]</t>
    </r>
    <r>
      <rPr>
        <sz val="12"/>
        <color theme="1"/>
        <rFont val="Arial"/>
        <family val="2"/>
      </rPr>
      <t xml:space="preserve"> mm wide,</t>
    </r>
    <r>
      <rPr>
        <sz val="12"/>
        <color rgb="FF0000FF"/>
        <rFont val="Arial"/>
        <family val="2"/>
      </rPr>
      <t xml:space="preserve"> [thickness]</t>
    </r>
    <r>
      <rPr>
        <sz val="12"/>
        <color theme="1"/>
        <rFont val="Arial"/>
        <family val="2"/>
      </rPr>
      <t xml:space="preserve"> mm thick)</t>
    </r>
  </si>
  <si>
    <r>
      <t>Hardwood ballast boards, transport to Site, ex Works/Stockpile</t>
    </r>
    <r>
      <rPr>
        <sz val="12"/>
        <color rgb="FF0000FF"/>
        <rFont val="Arial"/>
        <family val="2"/>
      </rPr>
      <t xml:space="preserve"> [location]</t>
    </r>
    <r>
      <rPr>
        <sz val="12"/>
        <color theme="1"/>
        <rFont val="Arial"/>
        <family val="2"/>
      </rPr>
      <t>, (</t>
    </r>
    <r>
      <rPr>
        <sz val="12"/>
        <color rgb="FF0000FF"/>
        <rFont val="Arial"/>
        <family val="2"/>
      </rPr>
      <t xml:space="preserve">[width] </t>
    </r>
    <r>
      <rPr>
        <sz val="12"/>
        <color theme="1"/>
        <rFont val="Arial"/>
        <family val="2"/>
      </rPr>
      <t>mm wide,</t>
    </r>
    <r>
      <rPr>
        <sz val="12"/>
        <color rgb="FF0000FF"/>
        <rFont val="Arial"/>
        <family val="2"/>
      </rPr>
      <t xml:space="preserve"> [thickness]</t>
    </r>
    <r>
      <rPr>
        <sz val="12"/>
        <color theme="1"/>
        <rFont val="Arial"/>
        <family val="2"/>
      </rPr>
      <t xml:space="preserve"> mm thick)</t>
    </r>
  </si>
  <si>
    <r>
      <t xml:space="preserve">Hardwood cover boards, transport to Site, ex Works/Stockpile </t>
    </r>
    <r>
      <rPr>
        <sz val="12"/>
        <color rgb="FF0000FF"/>
        <rFont val="Arial"/>
        <family val="2"/>
      </rPr>
      <t>[location]</t>
    </r>
    <r>
      <rPr>
        <sz val="12"/>
        <color theme="1"/>
        <rFont val="Arial"/>
        <family val="2"/>
      </rPr>
      <t>, (</t>
    </r>
    <r>
      <rPr>
        <sz val="12"/>
        <color rgb="FF0000FF"/>
        <rFont val="Arial"/>
        <family val="2"/>
      </rPr>
      <t>[width]</t>
    </r>
    <r>
      <rPr>
        <sz val="12"/>
        <color theme="1"/>
        <rFont val="Arial"/>
        <family val="2"/>
      </rPr>
      <t xml:space="preserve"> mm wide, </t>
    </r>
    <r>
      <rPr>
        <sz val="12"/>
        <color rgb="FF0000FF"/>
        <rFont val="Arial"/>
        <family val="2"/>
      </rPr>
      <t xml:space="preserve">[thickness] </t>
    </r>
    <r>
      <rPr>
        <sz val="12"/>
        <color theme="1"/>
        <rFont val="Arial"/>
        <family val="2"/>
      </rPr>
      <t>mm thick)</t>
    </r>
  </si>
  <si>
    <r>
      <t xml:space="preserve">Hardwood backing slabs, transport to Site, ex Works/Stockpile </t>
    </r>
    <r>
      <rPr>
        <sz val="12"/>
        <color rgb="FF0000FF"/>
        <rFont val="Arial"/>
        <family val="2"/>
      </rPr>
      <t>[location]</t>
    </r>
    <r>
      <rPr>
        <sz val="12"/>
        <color theme="1"/>
        <rFont val="Arial"/>
        <family val="2"/>
      </rPr>
      <t>, (</t>
    </r>
    <r>
      <rPr>
        <sz val="12"/>
        <color rgb="FF0000FF"/>
        <rFont val="Arial"/>
        <family val="2"/>
      </rPr>
      <t xml:space="preserve">[width] </t>
    </r>
    <r>
      <rPr>
        <sz val="12"/>
        <color theme="1"/>
        <rFont val="Arial"/>
        <family val="2"/>
      </rPr>
      <t xml:space="preserve">mm wide, </t>
    </r>
    <r>
      <rPr>
        <sz val="12"/>
        <color rgb="FF0000FF"/>
        <rFont val="Arial"/>
        <family val="2"/>
      </rPr>
      <t>[thickness]</t>
    </r>
    <r>
      <rPr>
        <sz val="12"/>
        <color theme="1"/>
        <rFont val="Arial"/>
        <family val="2"/>
      </rPr>
      <t xml:space="preserve"> mm thick)</t>
    </r>
  </si>
  <si>
    <r>
      <t xml:space="preserve">Steel bridge decking, transport to Site, ex Works/Stockpile </t>
    </r>
    <r>
      <rPr>
        <sz val="12"/>
        <color rgb="FF0000FF"/>
        <rFont val="Arial"/>
        <family val="2"/>
      </rPr>
      <t>[location]</t>
    </r>
    <r>
      <rPr>
        <sz val="12"/>
        <color theme="1"/>
        <rFont val="Arial"/>
        <family val="2"/>
      </rPr>
      <t>, (</t>
    </r>
    <r>
      <rPr>
        <sz val="12"/>
        <color rgb="FF0000FF"/>
        <rFont val="Arial"/>
        <family val="2"/>
      </rPr>
      <t>[depth]</t>
    </r>
    <r>
      <rPr>
        <sz val="12"/>
        <color theme="1"/>
        <rFont val="Arial"/>
        <family val="2"/>
      </rPr>
      <t xml:space="preserve"> mm deep, </t>
    </r>
    <r>
      <rPr>
        <sz val="12"/>
        <color rgb="FF0000FF"/>
        <rFont val="Arial"/>
        <family val="2"/>
      </rPr>
      <t>[thickness]</t>
    </r>
    <r>
      <rPr>
        <sz val="12"/>
        <color theme="1"/>
        <rFont val="Arial"/>
        <family val="2"/>
      </rPr>
      <t xml:space="preserve"> mm thick),</t>
    </r>
    <r>
      <rPr>
        <sz val="12"/>
        <color rgb="FF0000FF"/>
        <rFont val="Arial"/>
        <family val="2"/>
      </rPr>
      <t xml:space="preserve"> [length] </t>
    </r>
    <r>
      <rPr>
        <sz val="12"/>
        <color theme="1"/>
        <rFont val="Arial"/>
        <family val="2"/>
      </rPr>
      <t>metres long</t>
    </r>
  </si>
  <si>
    <r>
      <t xml:space="preserve">Steel kerb, transport to Site, ex Works/Stockpile </t>
    </r>
    <r>
      <rPr>
        <sz val="12"/>
        <color rgb="FF0000FF"/>
        <rFont val="Arial"/>
        <family val="2"/>
      </rPr>
      <t>[location]</t>
    </r>
    <r>
      <rPr>
        <sz val="12"/>
        <color theme="1"/>
        <rFont val="Arial"/>
        <family val="2"/>
      </rPr>
      <t>, (</t>
    </r>
    <r>
      <rPr>
        <sz val="12"/>
        <color rgb="FF0000FF"/>
        <rFont val="Arial"/>
        <family val="2"/>
      </rPr>
      <t xml:space="preserve">[depth] </t>
    </r>
    <r>
      <rPr>
        <sz val="12"/>
        <color theme="1"/>
        <rFont val="Arial"/>
        <family val="2"/>
      </rPr>
      <t>mm deep,</t>
    </r>
    <r>
      <rPr>
        <sz val="12"/>
        <color rgb="FF0000FF"/>
        <rFont val="Arial"/>
        <family val="2"/>
      </rPr>
      <t xml:space="preserve"> [thickness] </t>
    </r>
    <r>
      <rPr>
        <sz val="12"/>
        <color theme="1"/>
        <rFont val="Arial"/>
        <family val="2"/>
      </rPr>
      <t xml:space="preserve">mm thick), </t>
    </r>
    <r>
      <rPr>
        <sz val="12"/>
        <color rgb="FF0000FF"/>
        <rFont val="Arial"/>
        <family val="2"/>
      </rPr>
      <t xml:space="preserve">[length] </t>
    </r>
    <r>
      <rPr>
        <sz val="12"/>
        <color theme="1"/>
        <rFont val="Arial"/>
        <family val="2"/>
      </rPr>
      <t>metres long</t>
    </r>
  </si>
  <si>
    <r>
      <t>Precast prestressed concrete bridge decking, transport to Site ex Works/Stockpile [location], (</t>
    </r>
    <r>
      <rPr>
        <sz val="12"/>
        <color rgb="FF0000FF"/>
        <rFont val="Arial"/>
        <family val="2"/>
      </rPr>
      <t xml:space="preserve">[width] </t>
    </r>
    <r>
      <rPr>
        <sz val="12"/>
        <color theme="1"/>
        <rFont val="Arial"/>
        <family val="2"/>
      </rPr>
      <t>mm wide,</t>
    </r>
    <r>
      <rPr>
        <sz val="12"/>
        <color rgb="FF0000FF"/>
        <rFont val="Arial"/>
        <family val="2"/>
      </rPr>
      <t xml:space="preserve"> [thickness] </t>
    </r>
    <r>
      <rPr>
        <sz val="12"/>
        <color theme="1"/>
        <rFont val="Arial"/>
        <family val="2"/>
      </rPr>
      <t xml:space="preserve">mm thick), </t>
    </r>
    <r>
      <rPr>
        <sz val="12"/>
        <color rgb="FF0000FF"/>
        <rFont val="Arial"/>
        <family val="2"/>
      </rPr>
      <t>[length]</t>
    </r>
    <r>
      <rPr>
        <sz val="12"/>
        <color theme="1"/>
        <rFont val="Arial"/>
        <family val="2"/>
      </rPr>
      <t xml:space="preserve"> metres long, </t>
    </r>
    <r>
      <rPr>
        <sz val="12"/>
        <color rgb="FF0000FF"/>
        <rFont val="Arial"/>
        <family val="2"/>
      </rPr>
      <t xml:space="preserve">[hand] </t>
    </r>
    <r>
      <rPr>
        <sz val="12"/>
        <color theme="1"/>
        <rFont val="Arial"/>
        <family val="2"/>
      </rPr>
      <t>clockwise/anticlockwise skew/square (delete as appropriate),</t>
    </r>
    <r>
      <rPr>
        <sz val="12"/>
        <color rgb="FF0000FF"/>
        <rFont val="Arial"/>
        <family val="2"/>
      </rPr>
      <t xml:space="preserve"> [degrees]</t>
    </r>
    <r>
      <rPr>
        <sz val="12"/>
        <color theme="1"/>
        <rFont val="Arial"/>
        <family val="2"/>
      </rPr>
      <t xml:space="preserve"> degrees skew</t>
    </r>
  </si>
  <si>
    <r>
      <t>Concrete Class</t>
    </r>
    <r>
      <rPr>
        <sz val="12"/>
        <color rgb="FF0000FF"/>
        <rFont val="Arial"/>
        <family val="2"/>
      </rPr>
      <t xml:space="preserve"> [compressive strength] </t>
    </r>
    <r>
      <rPr>
        <sz val="12"/>
        <color theme="1"/>
        <rFont val="Arial"/>
        <family val="2"/>
      </rPr>
      <t>MPa/20 in slab deck/superstructure</t>
    </r>
  </si>
  <si>
    <r>
      <t xml:space="preserve">Anchorages Type </t>
    </r>
    <r>
      <rPr>
        <sz val="12"/>
        <color rgb="FF0000FF"/>
        <rFont val="Arial"/>
        <family val="2"/>
      </rPr>
      <t>[type]</t>
    </r>
  </si>
  <si>
    <r>
      <t>Ducts,</t>
    </r>
    <r>
      <rPr>
        <sz val="12"/>
        <color rgb="FF0000FF"/>
        <rFont val="Arial"/>
        <family val="2"/>
      </rPr>
      <t xml:space="preserve"> [diameter] </t>
    </r>
    <r>
      <rPr>
        <sz val="12"/>
        <color theme="1"/>
        <rFont val="Arial"/>
        <family val="2"/>
      </rPr>
      <t>mm diameter</t>
    </r>
  </si>
  <si>
    <r>
      <t xml:space="preserve">Strand tendons, </t>
    </r>
    <r>
      <rPr>
        <sz val="12"/>
        <color rgb="FF0000FF"/>
        <rFont val="Arial"/>
        <family val="2"/>
      </rPr>
      <t>[number], [size]</t>
    </r>
    <r>
      <rPr>
        <sz val="12"/>
        <color theme="1"/>
        <rFont val="Arial"/>
        <family val="2"/>
      </rPr>
      <t xml:space="preserve"> mm diameter</t>
    </r>
  </si>
  <si>
    <r>
      <t>Post-tensioned stressing bar units,</t>
    </r>
    <r>
      <rPr>
        <sz val="12"/>
        <color rgb="FF0000FF"/>
        <rFont val="Arial"/>
        <family val="2"/>
      </rPr>
      <t xml:space="preserve"> [size]</t>
    </r>
    <r>
      <rPr>
        <sz val="12"/>
        <color theme="1"/>
        <rFont val="Arial"/>
        <family val="2"/>
      </rPr>
      <t xml:space="preserve"> mm diameter</t>
    </r>
  </si>
  <si>
    <r>
      <t>Stressing bars/tendons Type</t>
    </r>
    <r>
      <rPr>
        <sz val="12"/>
        <color rgb="FF0000FF"/>
        <rFont val="Arial"/>
        <family val="2"/>
      </rPr>
      <t xml:space="preserve"> [type]</t>
    </r>
  </si>
  <si>
    <r>
      <t xml:space="preserve">Grouting duct, </t>
    </r>
    <r>
      <rPr>
        <sz val="12"/>
        <color rgb="FF0000FF"/>
        <rFont val="Arial"/>
        <family val="2"/>
      </rPr>
      <t xml:space="preserve">[diameter] </t>
    </r>
    <r>
      <rPr>
        <sz val="12"/>
        <color theme="1"/>
        <rFont val="Arial"/>
        <family val="2"/>
      </rPr>
      <t>mm diameter</t>
    </r>
  </si>
  <si>
    <r>
      <t>Dredging (volume) at</t>
    </r>
    <r>
      <rPr>
        <sz val="12"/>
        <color rgb="FF0000FF"/>
        <rFont val="Arial"/>
        <family val="2"/>
      </rPr>
      <t xml:space="preserve"> [insert dredge area designation]</t>
    </r>
  </si>
  <si>
    <r>
      <t>Catch drains</t>
    </r>
    <r>
      <rPr>
        <sz val="12"/>
        <color rgb="FF0000FF"/>
        <rFont val="Arial"/>
        <family val="2"/>
      </rPr>
      <t xml:space="preserve"> [material] </t>
    </r>
    <r>
      <rPr>
        <sz val="12"/>
        <color theme="1"/>
        <rFont val="Arial"/>
        <family val="2"/>
      </rPr>
      <t>(Provisional Quantity)</t>
    </r>
  </si>
  <si>
    <r>
      <t xml:space="preserve">Flow diversion bank / berm </t>
    </r>
    <r>
      <rPr>
        <sz val="12"/>
        <color rgb="FF0000FF"/>
        <rFont val="Arial"/>
        <family val="2"/>
      </rPr>
      <t>[material]</t>
    </r>
    <r>
      <rPr>
        <sz val="12"/>
        <color theme="1"/>
        <rFont val="Arial"/>
        <family val="2"/>
      </rPr>
      <t xml:space="preserve"> (Provisional Quantity)</t>
    </r>
  </si>
  <si>
    <r>
      <t>Batter chutes</t>
    </r>
    <r>
      <rPr>
        <sz val="12"/>
        <color rgb="FF0000FF"/>
        <rFont val="Arial"/>
        <family val="2"/>
      </rPr>
      <t xml:space="preserve"> [material] </t>
    </r>
    <r>
      <rPr>
        <sz val="12"/>
        <color theme="1"/>
        <rFont val="Arial"/>
        <family val="2"/>
      </rPr>
      <t>(Provisional Quantity)</t>
    </r>
  </si>
  <si>
    <r>
      <t>Check dams</t>
    </r>
    <r>
      <rPr>
        <sz val="12"/>
        <color rgb="FF0000FF"/>
        <rFont val="Arial"/>
        <family val="2"/>
      </rPr>
      <t xml:space="preserve"> [material]</t>
    </r>
    <r>
      <rPr>
        <sz val="12"/>
        <color theme="1"/>
        <rFont val="Arial"/>
        <family val="2"/>
      </rPr>
      <t xml:space="preserve"> (Provisional Quantity)</t>
    </r>
  </si>
  <si>
    <r>
      <t xml:space="preserve">Supply and installation of </t>
    </r>
    <r>
      <rPr>
        <sz val="12"/>
        <color rgb="FF0000FF"/>
        <rFont val="Arial"/>
        <family val="2"/>
      </rPr>
      <t xml:space="preserve">[No.] </t>
    </r>
    <r>
      <rPr>
        <sz val="12"/>
        <color theme="1"/>
        <rFont val="Arial"/>
        <family val="2"/>
      </rPr>
      <t>of</t>
    </r>
    <r>
      <rPr>
        <sz val="12"/>
        <color rgb="FF0000FF"/>
        <rFont val="Arial"/>
        <family val="2"/>
      </rPr>
      <t xml:space="preserve"> [diameter]</t>
    </r>
    <r>
      <rPr>
        <sz val="12"/>
        <color theme="1"/>
        <rFont val="Arial"/>
        <family val="2"/>
      </rPr>
      <t xml:space="preserve"> mm, </t>
    </r>
    <r>
      <rPr>
        <sz val="12"/>
        <color rgb="FF0000FF"/>
        <rFont val="Arial"/>
        <family val="2"/>
      </rPr>
      <t xml:space="preserve">[material], [type] </t>
    </r>
    <r>
      <rPr>
        <sz val="12"/>
        <color theme="1"/>
        <rFont val="Arial"/>
        <family val="2"/>
      </rPr>
      <t>conduit(s), surface mounted</t>
    </r>
  </si>
  <si>
    <r>
      <t>Supply of Telecommunications</t>
    </r>
    <r>
      <rPr>
        <sz val="12"/>
        <color rgb="FF0000FF"/>
        <rFont val="Arial"/>
        <family val="2"/>
      </rPr>
      <t xml:space="preserve"> [cable type], [number of cores] </t>
    </r>
    <r>
      <rPr>
        <sz val="12"/>
        <color theme="1"/>
        <rFont val="Arial"/>
        <family val="2"/>
      </rPr>
      <t xml:space="preserve">cores, </t>
    </r>
    <r>
      <rPr>
        <sz val="12"/>
        <color rgb="FF0000FF"/>
        <rFont val="Arial"/>
        <family val="2"/>
      </rPr>
      <t>[core insulation], [sheath insulation], [conductor material]</t>
    </r>
  </si>
  <si>
    <r>
      <t xml:space="preserve">Installation of Telecommunications </t>
    </r>
    <r>
      <rPr>
        <sz val="12"/>
        <color rgb="FF0000FF"/>
        <rFont val="Arial"/>
        <family val="2"/>
      </rPr>
      <t>[cable type], [number of cores]</t>
    </r>
    <r>
      <rPr>
        <sz val="12"/>
        <color theme="1"/>
        <rFont val="Arial"/>
        <family val="2"/>
      </rPr>
      <t xml:space="preserve"> cores, </t>
    </r>
    <r>
      <rPr>
        <sz val="12"/>
        <color rgb="FF0000FF"/>
        <rFont val="Arial"/>
        <family val="2"/>
      </rPr>
      <t>[core insulation], [sheath insulation], [conductor material]</t>
    </r>
  </si>
  <si>
    <r>
      <t>Supply and installation of Telecommunications</t>
    </r>
    <r>
      <rPr>
        <sz val="12"/>
        <color rgb="FF0000FF"/>
        <rFont val="Arial"/>
        <family val="2"/>
      </rPr>
      <t xml:space="preserve"> [cable type], [number of cores]</t>
    </r>
    <r>
      <rPr>
        <sz val="12"/>
        <color theme="1"/>
        <rFont val="Arial"/>
        <family val="2"/>
      </rPr>
      <t xml:space="preserve"> cores,</t>
    </r>
    <r>
      <rPr>
        <sz val="12"/>
        <color rgb="FF0000FF"/>
        <rFont val="Arial"/>
        <family val="2"/>
      </rPr>
      <t xml:space="preserve"> [core insulation], [sheath insulation], [conductor material]</t>
    </r>
  </si>
  <si>
    <r>
      <t>Supply of Single-Mode Optical Fibre (SMOF) cable of</t>
    </r>
    <r>
      <rPr>
        <sz val="12"/>
        <color rgb="FF0000FF"/>
        <rFont val="Arial"/>
        <family val="2"/>
      </rPr>
      <t xml:space="preserve"> [type]</t>
    </r>
    <r>
      <rPr>
        <sz val="12"/>
        <color theme="1"/>
        <rFont val="Arial"/>
        <family val="2"/>
      </rPr>
      <t xml:space="preserve"> type and </t>
    </r>
    <r>
      <rPr>
        <sz val="12"/>
        <color rgb="FF0000FF"/>
        <rFont val="Arial"/>
        <family val="2"/>
      </rPr>
      <t>[number of cores]</t>
    </r>
    <r>
      <rPr>
        <sz val="12"/>
        <color theme="1"/>
        <rFont val="Arial"/>
        <family val="2"/>
      </rPr>
      <t xml:space="preserve"> cores</t>
    </r>
  </si>
  <si>
    <r>
      <t xml:space="preserve">Installation of Single-Mode Optical Fibre (SMOF) of </t>
    </r>
    <r>
      <rPr>
        <sz val="12"/>
        <color rgb="FF0000FF"/>
        <rFont val="Arial"/>
        <family val="2"/>
      </rPr>
      <t xml:space="preserve">[cable type] </t>
    </r>
    <r>
      <rPr>
        <sz val="12"/>
        <color theme="1"/>
        <rFont val="Arial"/>
        <family val="2"/>
      </rPr>
      <t xml:space="preserve">and </t>
    </r>
    <r>
      <rPr>
        <sz val="12"/>
        <color rgb="FF0000FF"/>
        <rFont val="Arial"/>
        <family val="2"/>
      </rPr>
      <t xml:space="preserve">[number of cores] </t>
    </r>
    <r>
      <rPr>
        <sz val="12"/>
        <color theme="1"/>
        <rFont val="Arial"/>
        <family val="2"/>
      </rPr>
      <t>cores</t>
    </r>
  </si>
  <si>
    <r>
      <t xml:space="preserve">Supply and installation of Single-Mode Optical Fibre (SMOF) cable of </t>
    </r>
    <r>
      <rPr>
        <sz val="12"/>
        <color rgb="FF0000FF"/>
        <rFont val="Arial"/>
        <family val="2"/>
      </rPr>
      <t xml:space="preserve">[type] </t>
    </r>
    <r>
      <rPr>
        <sz val="12"/>
        <color theme="1"/>
        <rFont val="Arial"/>
        <family val="2"/>
      </rPr>
      <t>type and</t>
    </r>
    <r>
      <rPr>
        <sz val="12"/>
        <color rgb="FF0000FF"/>
        <rFont val="Arial"/>
        <family val="2"/>
      </rPr>
      <t xml:space="preserve"> [number of cores] </t>
    </r>
    <r>
      <rPr>
        <sz val="12"/>
        <color theme="1"/>
        <rFont val="Arial"/>
        <family val="2"/>
      </rPr>
      <t>cores</t>
    </r>
  </si>
  <si>
    <r>
      <t>Painting of exposed surfaces of</t>
    </r>
    <r>
      <rPr>
        <sz val="12"/>
        <color rgb="FF0000FF"/>
        <rFont val="Arial"/>
        <family val="2"/>
      </rPr>
      <t xml:space="preserve"> [timber, masonry, concrete, steel] </t>
    </r>
    <r>
      <rPr>
        <sz val="12"/>
        <color theme="1"/>
        <rFont val="Arial"/>
        <family val="2"/>
      </rPr>
      <t xml:space="preserve">structures, colour </t>
    </r>
    <r>
      <rPr>
        <sz val="12"/>
        <color rgb="FF0000FF"/>
        <rFont val="Arial"/>
        <family val="2"/>
      </rPr>
      <t>[colour],</t>
    </r>
    <r>
      <rPr>
        <sz val="12"/>
        <color theme="1"/>
        <rFont val="Arial"/>
        <family val="2"/>
      </rPr>
      <t xml:space="preserve"> </t>
    </r>
    <r>
      <rPr>
        <sz val="12"/>
        <color rgb="FF0000FF"/>
        <rFont val="Arial"/>
        <family val="2"/>
      </rPr>
      <t>[number of coats]</t>
    </r>
    <r>
      <rPr>
        <sz val="12"/>
        <color theme="1"/>
        <rFont val="Arial"/>
        <family val="2"/>
      </rPr>
      <t xml:space="preserve"> coats(s) (Refer CTS88)</t>
    </r>
  </si>
  <si>
    <r>
      <t>Supply and place precast plank</t>
    </r>
    <r>
      <rPr>
        <sz val="12"/>
        <color rgb="FF0000FF"/>
        <rFont val="Arial"/>
        <family val="2"/>
      </rPr>
      <t xml:space="preserve"> [insert type]</t>
    </r>
  </si>
  <si>
    <r>
      <t>PVC scupper and spout,</t>
    </r>
    <r>
      <rPr>
        <sz val="12"/>
        <color rgb="FF0000FF"/>
        <rFont val="Arial"/>
        <family val="2"/>
      </rPr>
      <t xml:space="preserve"> [diameter] </t>
    </r>
    <r>
      <rPr>
        <sz val="12"/>
        <color theme="1"/>
        <rFont val="Arial"/>
        <family val="2"/>
      </rPr>
      <t>mm diameter</t>
    </r>
  </si>
  <si>
    <r>
      <t xml:space="preserve">Road lighting pole footing in concrete median barrier, </t>
    </r>
    <r>
      <rPr>
        <sz val="12"/>
        <color rgb="FF0000FF"/>
        <rFont val="Arial"/>
        <family val="2"/>
      </rPr>
      <t>[diameter]</t>
    </r>
    <r>
      <rPr>
        <sz val="12"/>
        <color theme="1"/>
        <rFont val="Arial"/>
        <family val="2"/>
      </rPr>
      <t xml:space="preserve"> mm diameter</t>
    </r>
  </si>
  <si>
    <r>
      <t xml:space="preserve">Road lighting pole footing extension in poor soil, 3000 mm long, </t>
    </r>
    <r>
      <rPr>
        <sz val="12"/>
        <color rgb="FF0000FF"/>
        <rFont val="Arial"/>
        <family val="2"/>
      </rPr>
      <t>[diameter]</t>
    </r>
    <r>
      <rPr>
        <sz val="12"/>
        <color theme="1"/>
        <rFont val="Arial"/>
        <family val="2"/>
      </rPr>
      <t xml:space="preserve"> mm diameter, if ordered (Provisional Quantity)</t>
    </r>
  </si>
  <si>
    <r>
      <t>Type 3 Subbase, Subtype</t>
    </r>
    <r>
      <rPr>
        <sz val="12"/>
        <color rgb="FF0000FF"/>
        <rFont val="Arial"/>
        <family val="2"/>
      </rPr>
      <t xml:space="preserve"> [subtype]</t>
    </r>
    <r>
      <rPr>
        <sz val="12"/>
        <color theme="1"/>
        <rFont val="Arial"/>
        <family val="2"/>
      </rPr>
      <t xml:space="preserve">, Unbound pavement, </t>
    </r>
    <r>
      <rPr>
        <sz val="12"/>
        <color rgb="FF0000FF"/>
        <rFont val="Arial"/>
        <family val="2"/>
      </rPr>
      <t>[location]</t>
    </r>
  </si>
  <si>
    <r>
      <t xml:space="preserve">Type 4 Base, Subtype </t>
    </r>
    <r>
      <rPr>
        <sz val="12"/>
        <color rgb="FF0000FF"/>
        <rFont val="Arial"/>
        <family val="2"/>
      </rPr>
      <t>[subtype]</t>
    </r>
    <r>
      <rPr>
        <sz val="12"/>
        <color theme="1"/>
        <rFont val="Arial"/>
        <family val="2"/>
      </rPr>
      <t>, Unbound pavement,</t>
    </r>
    <r>
      <rPr>
        <sz val="12"/>
        <color rgb="FF0000FF"/>
        <rFont val="Arial"/>
        <family val="2"/>
      </rPr>
      <t xml:space="preserve"> [location]</t>
    </r>
  </si>
  <si>
    <r>
      <t xml:space="preserve">Type 4 Subbase, Subtype </t>
    </r>
    <r>
      <rPr>
        <sz val="12"/>
        <color rgb="FF0000FF"/>
        <rFont val="Arial"/>
        <family val="2"/>
      </rPr>
      <t>[subtype]</t>
    </r>
    <r>
      <rPr>
        <sz val="12"/>
        <color theme="1"/>
        <rFont val="Arial"/>
        <family val="2"/>
      </rPr>
      <t xml:space="preserve">, Unbound pavement, </t>
    </r>
    <r>
      <rPr>
        <sz val="12"/>
        <color rgb="FF0000FF"/>
        <rFont val="Arial"/>
        <family val="2"/>
      </rPr>
      <t>[location]</t>
    </r>
  </si>
  <si>
    <r>
      <t xml:space="preserve">Coloured pavement treatments </t>
    </r>
    <r>
      <rPr>
        <sz val="12"/>
        <color rgb="FF0000FF"/>
        <rFont val="Arial"/>
        <family val="2"/>
      </rPr>
      <t>[colour]</t>
    </r>
    <r>
      <rPr>
        <sz val="12"/>
        <color theme="1"/>
        <rFont val="Arial"/>
        <family val="2"/>
      </rPr>
      <t xml:space="preserve"> to </t>
    </r>
    <r>
      <rPr>
        <sz val="12"/>
        <color rgb="FF0000FF"/>
        <rFont val="Arial"/>
        <family val="2"/>
      </rPr>
      <t>[location]</t>
    </r>
    <r>
      <rPr>
        <sz val="12"/>
        <color theme="1"/>
        <rFont val="Arial"/>
        <family val="2"/>
      </rPr>
      <t xml:space="preserve"> in accordance with BCC standard drawing </t>
    </r>
    <r>
      <rPr>
        <sz val="12"/>
        <color rgb="FF0000FF"/>
        <rFont val="Arial"/>
        <family val="2"/>
      </rPr>
      <t>[BSD-XXX]</t>
    </r>
    <r>
      <rPr>
        <sz val="12"/>
        <color theme="1"/>
        <rFont val="Arial"/>
        <family val="2"/>
      </rPr>
      <t>(Refer CTS05)</t>
    </r>
  </si>
  <si>
    <r>
      <t xml:space="preserve">Reinstatement of asphalt driveway in accordance with BCC standard drawing </t>
    </r>
    <r>
      <rPr>
        <sz val="12"/>
        <color rgb="FF0000FF"/>
        <rFont val="Arial"/>
        <family val="2"/>
      </rPr>
      <t>[BSD-2021, BSD-2022, BSD-2024, BSD-2025]</t>
    </r>
    <r>
      <rPr>
        <sz val="12"/>
        <color theme="1"/>
        <rFont val="Arial"/>
        <family val="2"/>
      </rPr>
      <t xml:space="preserve"> (Refer CTS05)</t>
    </r>
  </si>
  <si>
    <r>
      <t>Subgrade treatment Type K,</t>
    </r>
    <r>
      <rPr>
        <sz val="12"/>
        <color rgb="FF0000FF"/>
        <rFont val="Arial"/>
        <family val="2"/>
      </rPr>
      <t xml:space="preserve"> [description]</t>
    </r>
    <r>
      <rPr>
        <sz val="12"/>
        <color theme="1"/>
        <rFont val="Arial"/>
        <family val="2"/>
      </rPr>
      <t>, (Provisional Quantity, if ordered)</t>
    </r>
  </si>
  <si>
    <r>
      <t xml:space="preserve">    GENERAL </t>
    </r>
    <r>
      <rPr>
        <b/>
        <sz val="12"/>
        <color rgb="FF0000FF"/>
        <rFont val="Arial"/>
        <family val="2"/>
      </rPr>
      <t>(MRS52 JUL 17)</t>
    </r>
  </si>
  <si>
    <r>
      <t xml:space="preserve">   DRAINAGE CONTROLS </t>
    </r>
    <r>
      <rPr>
        <b/>
        <sz val="12"/>
        <color rgb="FF0000FF"/>
        <rFont val="Arial"/>
        <family val="2"/>
      </rPr>
      <t>(MRS52 JUL 17)</t>
    </r>
  </si>
  <si>
    <r>
      <t xml:space="preserve">    EROSION CONTROLS (</t>
    </r>
    <r>
      <rPr>
        <b/>
        <sz val="12"/>
        <color rgb="FF0000FF"/>
        <rFont val="Arial"/>
        <family val="2"/>
      </rPr>
      <t>MRS52 JUL 17)</t>
    </r>
  </si>
  <si>
    <r>
      <t xml:space="preserve">    SEDIMENT CONTROLS </t>
    </r>
    <r>
      <rPr>
        <b/>
        <sz val="12"/>
        <color rgb="FF0000FF"/>
        <rFont val="Arial"/>
        <family val="2"/>
      </rPr>
      <t>(MRS52 JUL 17)</t>
    </r>
  </si>
  <si>
    <r>
      <t xml:space="preserve">    IN STREAM </t>
    </r>
    <r>
      <rPr>
        <b/>
        <sz val="12"/>
        <color rgb="FF0000FF"/>
        <rFont val="Arial"/>
        <family val="2"/>
      </rPr>
      <t>(MRS52 JUL 17)</t>
    </r>
  </si>
  <si>
    <r>
      <t xml:space="preserve">    DRAINAGE REMOVAL / DEMOLITION</t>
    </r>
    <r>
      <rPr>
        <b/>
        <sz val="12"/>
        <color rgb="FF0000FF"/>
        <rFont val="Arial"/>
        <family val="2"/>
      </rPr>
      <t xml:space="preserve"> (MRS03 JUL 17)</t>
    </r>
  </si>
  <si>
    <r>
      <t xml:space="preserve">    DRAINAGE, RETAINING STRUCTURES AND PROTECTIVE TREATMENTS </t>
    </r>
    <r>
      <rPr>
        <b/>
        <sz val="12"/>
        <color rgb="FF0000FF"/>
        <rFont val="Arial"/>
        <family val="2"/>
      </rPr>
      <t>(CTS03 JAN 18)</t>
    </r>
  </si>
  <si>
    <r>
      <t xml:space="preserve">    SUPPLY OF CULVERTS </t>
    </r>
    <r>
      <rPr>
        <b/>
        <sz val="12"/>
        <color rgb="FF0000FF"/>
        <rFont val="Arial"/>
        <family val="2"/>
      </rPr>
      <t>(MRS03 JUL 17)</t>
    </r>
  </si>
  <si>
    <r>
      <t xml:space="preserve">    INSTALLATION OF CULVERTS </t>
    </r>
    <r>
      <rPr>
        <b/>
        <sz val="12"/>
        <color rgb="FF0000FF"/>
        <rFont val="Arial"/>
        <family val="2"/>
      </rPr>
      <t>(MRS03 JUL 17)</t>
    </r>
  </si>
  <si>
    <r>
      <t xml:space="preserve">    SUPPLY AND INSTALLATION OF CULVERTS</t>
    </r>
    <r>
      <rPr>
        <b/>
        <sz val="12"/>
        <color rgb="FF0000FF"/>
        <rFont val="Arial"/>
        <family val="2"/>
      </rPr>
      <t xml:space="preserve"> (MRS03 JUL 17)</t>
    </r>
  </si>
  <si>
    <r>
      <t xml:space="preserve">    CONCRETE IN CULVERTS AND END STRUCTURES </t>
    </r>
    <r>
      <rPr>
        <b/>
        <sz val="12"/>
        <color rgb="FF0000FF"/>
        <rFont val="Arial"/>
        <family val="2"/>
      </rPr>
      <t>(MRS03 JUL 17)</t>
    </r>
  </si>
  <si>
    <r>
      <t xml:space="preserve">    PAVEMENT DRAINAGE</t>
    </r>
    <r>
      <rPr>
        <b/>
        <sz val="12"/>
        <color rgb="FF0000FF"/>
        <rFont val="Arial"/>
        <family val="2"/>
      </rPr>
      <t xml:space="preserve"> (MRS03 JUL 17)</t>
    </r>
  </si>
  <si>
    <r>
      <t xml:space="preserve">    PAVEMENTS </t>
    </r>
    <r>
      <rPr>
        <b/>
        <sz val="12"/>
        <color rgb="FF0000FF"/>
        <rFont val="Arial"/>
        <family val="2"/>
      </rPr>
      <t>(CTS03 Jan 18)</t>
    </r>
  </si>
  <si>
    <r>
      <t xml:space="preserve">    SUBSURFACE DRAINAGE </t>
    </r>
    <r>
      <rPr>
        <b/>
        <sz val="12"/>
        <color rgb="FF0000FF"/>
        <rFont val="Arial"/>
        <family val="2"/>
      </rPr>
      <t>(MRS03 JUL 17)</t>
    </r>
  </si>
  <si>
    <r>
      <t xml:space="preserve">    DRAINAGE, RETAINING STRUCTURES AND PROTECTIVE TREATMENTS </t>
    </r>
    <r>
      <rPr>
        <b/>
        <sz val="12"/>
        <color rgb="FF0000FF"/>
        <rFont val="Arial"/>
        <family val="2"/>
      </rPr>
      <t>(CTS03 Jan 18)</t>
    </r>
  </si>
  <si>
    <r>
      <t xml:space="preserve">     RETAINING WALLS </t>
    </r>
    <r>
      <rPr>
        <b/>
        <sz val="12"/>
        <color rgb="FF0000FF"/>
        <rFont val="Arial"/>
        <family val="2"/>
      </rPr>
      <t>(MRS03 JUL 17)</t>
    </r>
  </si>
  <si>
    <r>
      <t xml:space="preserve">    DRAINAGE, RETAINING STRUCTURES AND PROTECTIVE TREATMENTS</t>
    </r>
    <r>
      <rPr>
        <b/>
        <sz val="12"/>
        <color rgb="FF0000FF"/>
        <rFont val="Arial"/>
        <family val="2"/>
      </rPr>
      <t xml:space="preserve"> (CTS03 Jan 18)</t>
    </r>
  </si>
  <si>
    <r>
      <t xml:space="preserve">    SURVEYING REQUIREMENTS </t>
    </r>
    <r>
      <rPr>
        <b/>
        <sz val="12"/>
        <color rgb="FF0000FF"/>
        <rFont val="Arial"/>
        <family val="2"/>
      </rPr>
      <t>(MRS03 JUL 17)</t>
    </r>
  </si>
  <si>
    <r>
      <t xml:space="preserve">    EARTHWORKS, PREPARATION </t>
    </r>
    <r>
      <rPr>
        <b/>
        <sz val="12"/>
        <color rgb="FF0000FF"/>
        <rFont val="Arial"/>
        <family val="2"/>
      </rPr>
      <t>(MRS04 OCT 17)</t>
    </r>
  </si>
  <si>
    <r>
      <t xml:space="preserve">    EARTHWORKS, EXCAVATION </t>
    </r>
    <r>
      <rPr>
        <b/>
        <sz val="12"/>
        <color rgb="FF0000FF"/>
        <rFont val="Arial"/>
        <family val="2"/>
      </rPr>
      <t>(MRS04 OCT 17)</t>
    </r>
  </si>
  <si>
    <r>
      <t xml:space="preserve">    EARTHWORKS, EMBANKMENT </t>
    </r>
    <r>
      <rPr>
        <b/>
        <sz val="12"/>
        <color rgb="FF0000FF"/>
        <rFont val="Arial"/>
        <family val="2"/>
      </rPr>
      <t>(MRS04 OCT 17)</t>
    </r>
  </si>
  <si>
    <r>
      <t xml:space="preserve">    EARTHWORKS, SUBGRADE TESTING &amp; TREATMENTS </t>
    </r>
    <r>
      <rPr>
        <b/>
        <sz val="12"/>
        <color rgb="FF0000FF"/>
        <rFont val="Arial"/>
        <family val="2"/>
      </rPr>
      <t>(MRS04 OCT 17)</t>
    </r>
  </si>
  <si>
    <r>
      <t xml:space="preserve">    EARTHWORKS, BACKFILL </t>
    </r>
    <r>
      <rPr>
        <b/>
        <sz val="12"/>
        <color rgb="FF0000FF"/>
        <rFont val="Arial"/>
        <family val="2"/>
      </rPr>
      <t>(MRS04 OCT 17)</t>
    </r>
  </si>
  <si>
    <r>
      <t xml:space="preserve">     EARTHWORKS, TURNOUTS, ENTRANCES AND STOPPING PLACES </t>
    </r>
    <r>
      <rPr>
        <b/>
        <sz val="12"/>
        <color rgb="FF0000FF"/>
        <rFont val="Arial"/>
        <family val="2"/>
      </rPr>
      <t>(MRS04 OCT 17)</t>
    </r>
  </si>
  <si>
    <r>
      <t xml:space="preserve">    WIDENING </t>
    </r>
    <r>
      <rPr>
        <b/>
        <sz val="12"/>
        <color rgb="FF0000FF"/>
        <rFont val="Arial"/>
        <family val="2"/>
      </rPr>
      <t>(MRS04 OCT 17)</t>
    </r>
  </si>
  <si>
    <r>
      <t xml:space="preserve">    PREPARATION OF THE EXISTING SURFACE </t>
    </r>
    <r>
      <rPr>
        <b/>
        <sz val="12"/>
        <color rgb="FF0000FF"/>
        <rFont val="Arial"/>
        <family val="2"/>
      </rPr>
      <t>(MRS30 OCT 17)</t>
    </r>
  </si>
  <si>
    <r>
      <t xml:space="preserve">     PREPARATION OF THE EXISTING SURFACE </t>
    </r>
    <r>
      <rPr>
        <b/>
        <sz val="12"/>
        <color rgb="FF0000FF"/>
        <rFont val="Arial"/>
        <family val="2"/>
      </rPr>
      <t>(CTS30 Jan 18)</t>
    </r>
  </si>
  <si>
    <r>
      <t xml:space="preserve">    DENSE GRADED ASPHALT</t>
    </r>
    <r>
      <rPr>
        <b/>
        <sz val="12"/>
        <color rgb="FF0000FF"/>
        <rFont val="Arial"/>
        <family val="2"/>
      </rPr>
      <t xml:space="preserve"> (CTS30 Jan 18)</t>
    </r>
  </si>
  <si>
    <r>
      <t xml:space="preserve">    DENSE GRADED ASPHALT - SUPPLY ONLY </t>
    </r>
    <r>
      <rPr>
        <b/>
        <sz val="12"/>
        <color rgb="FF0000FF"/>
        <rFont val="Arial"/>
        <family val="2"/>
      </rPr>
      <t>(CTS30 Jan 18)</t>
    </r>
  </si>
  <si>
    <r>
      <t xml:space="preserve">    MEDIUM DUTY DENSE GRADED ASPHALT </t>
    </r>
    <r>
      <rPr>
        <b/>
        <sz val="12"/>
        <color rgb="FF0000FF"/>
        <rFont val="Arial"/>
        <family val="2"/>
      </rPr>
      <t>(MRS30 OCT 17)</t>
    </r>
  </si>
  <si>
    <t xml:space="preserve">    HEAVY DUTY DENSE GRADED ASPHALT (MRS30 OCT 17)</t>
  </si>
  <si>
    <t xml:space="preserve">     OPEN GRADED ASPHALT (MRS30 OCT 17)</t>
  </si>
  <si>
    <t xml:space="preserve">    STONE MASTIC ASPHALT (MRS30 OCT 17)</t>
  </si>
  <si>
    <r>
      <t xml:space="preserve">    ROAD FURNITURE </t>
    </r>
    <r>
      <rPr>
        <b/>
        <sz val="12"/>
        <color rgb="FF0000FF"/>
        <rFont val="Arial"/>
        <family val="2"/>
      </rPr>
      <t>(MRS14 OCT 17)</t>
    </r>
  </si>
  <si>
    <r>
      <t xml:space="preserve">    GUIDANCE AND INFORMATION SYSTEMS </t>
    </r>
    <r>
      <rPr>
        <b/>
        <sz val="12"/>
        <color rgb="FF0000FF"/>
        <rFont val="Arial"/>
        <family val="2"/>
      </rPr>
      <t>(MRS14 OCT 17)</t>
    </r>
  </si>
  <si>
    <r>
      <t xml:space="preserve">    ROADSIDE STRUCTURES </t>
    </r>
    <r>
      <rPr>
        <b/>
        <sz val="12"/>
        <color rgb="FF0000FF"/>
        <rFont val="Arial"/>
        <family val="2"/>
      </rPr>
      <t>(MRS14 OCT 17)</t>
    </r>
  </si>
  <si>
    <r>
      <t xml:space="preserve">    ROAD, STREET AND PARK FURNITURE </t>
    </r>
    <r>
      <rPr>
        <b/>
        <sz val="12"/>
        <color rgb="FF0000FF"/>
        <rFont val="Arial"/>
        <family val="2"/>
      </rPr>
      <t>(CTS14 Jan 18)</t>
    </r>
  </si>
  <si>
    <r>
      <t xml:space="preserve">    NOISE FENCES </t>
    </r>
    <r>
      <rPr>
        <b/>
        <sz val="12"/>
        <color rgb="FF0000FF"/>
        <rFont val="Arial"/>
        <family val="2"/>
      </rPr>
      <t>(CTS15 Jan 18)</t>
    </r>
  </si>
  <si>
    <r>
      <t xml:space="preserve">    LANDSCAPE AND REVEGETATION - SAMPLING AND TESTING </t>
    </r>
    <r>
      <rPr>
        <b/>
        <sz val="12"/>
        <color rgb="FF0000FF"/>
        <rFont val="Arial"/>
        <family val="2"/>
      </rPr>
      <t>(MRS16 JUL 17)</t>
    </r>
  </si>
  <si>
    <r>
      <t xml:space="preserve">    LANDSCAPE AND REVEGETATION - SITE WON MATERIALS </t>
    </r>
    <r>
      <rPr>
        <b/>
        <sz val="12"/>
        <color rgb="FF0000FF"/>
        <rFont val="Arial"/>
        <family val="2"/>
      </rPr>
      <t>(MRS16 JUL 17)</t>
    </r>
  </si>
  <si>
    <r>
      <t xml:space="preserve">    LANDSCAPE AND REVEGETATION - IMPORTED MATERIALS </t>
    </r>
    <r>
      <rPr>
        <b/>
        <sz val="12"/>
        <color rgb="FF0000FF"/>
        <rFont val="Arial"/>
        <family val="2"/>
      </rPr>
      <t>(MRS16 JUL 17)</t>
    </r>
  </si>
  <si>
    <r>
      <t xml:space="preserve">    LANDSCAPE AND REVEGETATION - WEED CONTROL</t>
    </r>
    <r>
      <rPr>
        <b/>
        <sz val="12"/>
        <color rgb="FF0000FF"/>
        <rFont val="Arial"/>
        <family val="2"/>
      </rPr>
      <t xml:space="preserve"> (MRS16 JUL 17)</t>
    </r>
  </si>
  <si>
    <r>
      <t xml:space="preserve">    LANDSCAPE AND REVEGETATION - GROUND PREPARATION </t>
    </r>
    <r>
      <rPr>
        <b/>
        <sz val="12"/>
        <color rgb="FF0000FF"/>
        <rFont val="Arial"/>
        <family val="2"/>
      </rPr>
      <t>(MRS16 JUL 17)</t>
    </r>
  </si>
  <si>
    <r>
      <t xml:space="preserve">    LANDSCAPING </t>
    </r>
    <r>
      <rPr>
        <b/>
        <sz val="12"/>
        <color rgb="FF0000FF"/>
        <rFont val="Arial"/>
        <family val="2"/>
      </rPr>
      <t>(CTS16 Jan 18)</t>
    </r>
  </si>
  <si>
    <r>
      <t xml:space="preserve">    LANDSCAPE AND REVEGETATION - SEEDING</t>
    </r>
    <r>
      <rPr>
        <b/>
        <sz val="12"/>
        <color rgb="FF0000FF"/>
        <rFont val="Arial"/>
        <family val="2"/>
      </rPr>
      <t xml:space="preserve"> (MRS16 JUL 17)</t>
    </r>
  </si>
  <si>
    <r>
      <t xml:space="preserve">    LANDSCAPE AND REVEGETATION WORKS - TURFING </t>
    </r>
    <r>
      <rPr>
        <b/>
        <sz val="12"/>
        <color rgb="FF0000FF"/>
        <rFont val="Arial"/>
        <family val="2"/>
      </rPr>
      <t>(MRS16 JUL 17)</t>
    </r>
  </si>
  <si>
    <r>
      <t xml:space="preserve">    LANDSCAPE AND REVEGETATION WORKS - PLANTING </t>
    </r>
    <r>
      <rPr>
        <b/>
        <sz val="12"/>
        <color rgb="FF0000FF"/>
        <rFont val="Arial"/>
        <family val="2"/>
      </rPr>
      <t>(MRS16 JUL 17)</t>
    </r>
  </si>
  <si>
    <r>
      <t xml:space="preserve">    LANDSCAPE AND REVEGETATION - HARDSCAPE </t>
    </r>
    <r>
      <rPr>
        <b/>
        <sz val="12"/>
        <color rgb="FF0000FF"/>
        <rFont val="Arial"/>
        <family val="2"/>
      </rPr>
      <t>(MRS16 JUL 17)</t>
    </r>
  </si>
  <si>
    <r>
      <t xml:space="preserve">    LANDSCAPE AND REVEGETATION - ESTABLISHMENT AND MONITORING </t>
    </r>
    <r>
      <rPr>
        <b/>
        <sz val="12"/>
        <color rgb="FF0000FF"/>
        <rFont val="Arial"/>
        <family val="2"/>
      </rPr>
      <t>(MRS16 JUL 17)</t>
    </r>
  </si>
  <si>
    <r>
      <t xml:space="preserve">    LINE MARKING </t>
    </r>
    <r>
      <rPr>
        <b/>
        <sz val="12"/>
        <color rgb="FF0000FF"/>
        <rFont val="Arial"/>
        <family val="2"/>
      </rPr>
      <t>(MRS45 OCT 17)</t>
    </r>
  </si>
  <si>
    <r>
      <t xml:space="preserve">    RAISED PAVEMENT MARKINGS  </t>
    </r>
    <r>
      <rPr>
        <b/>
        <sz val="12"/>
        <color rgb="FF0000FF"/>
        <rFont val="Arial"/>
        <family val="2"/>
      </rPr>
      <t>(MRS45 OCT 17)</t>
    </r>
  </si>
  <si>
    <r>
      <t xml:space="preserve">    CONDUIT AND CONDUITS FITTINGS UNDERGROUND </t>
    </r>
    <r>
      <rPr>
        <b/>
        <sz val="12"/>
        <color rgb="FF0000FF"/>
        <rFont val="Arial"/>
        <family val="2"/>
      </rPr>
      <t>(MRS91 OCT 17)</t>
    </r>
  </si>
  <si>
    <r>
      <t xml:space="preserve">    CONDUITS AND PITS </t>
    </r>
    <r>
      <rPr>
        <b/>
        <sz val="12"/>
        <color rgb="FF0000FF"/>
        <rFont val="Arial"/>
        <family val="2"/>
      </rPr>
      <t>(CTS91 Jan 18)</t>
    </r>
  </si>
  <si>
    <r>
      <t xml:space="preserve">    CONDUIT AND CONDUIT FITTINGS MOUNTED IN CONCRETE STRUCTURE/BARRIER </t>
    </r>
    <r>
      <rPr>
        <b/>
        <sz val="12"/>
        <color rgb="FF0000FF"/>
        <rFont val="Arial"/>
        <family val="2"/>
      </rPr>
      <t>(MRS91 OCT 17)</t>
    </r>
  </si>
  <si>
    <r>
      <t xml:space="preserve">     ANCILLARY WORKS </t>
    </r>
    <r>
      <rPr>
        <b/>
        <sz val="12"/>
        <color rgb="FF0000FF"/>
        <rFont val="Arial"/>
        <family val="2"/>
      </rPr>
      <t>(MRS91 OCT 17)</t>
    </r>
  </si>
  <si>
    <r>
      <t xml:space="preserve">     CABLE JOINTING PITS </t>
    </r>
    <r>
      <rPr>
        <b/>
        <sz val="12"/>
        <color rgb="FF0000FF"/>
        <rFont val="Arial"/>
        <family val="2"/>
      </rPr>
      <t>(MRS91 OCT 17)</t>
    </r>
  </si>
  <si>
    <r>
      <t xml:space="preserve">     TRAFFIC SIGNAL FOOTINGS </t>
    </r>
    <r>
      <rPr>
        <b/>
        <sz val="12"/>
        <color rgb="FF0000FF"/>
        <rFont val="Arial"/>
        <family val="2"/>
      </rPr>
      <t>(MRS92 JUL 17)</t>
    </r>
  </si>
  <si>
    <r>
      <t xml:space="preserve">    ROAD LIGHTING FOOTINGS </t>
    </r>
    <r>
      <rPr>
        <b/>
        <sz val="12"/>
        <color rgb="FF0000FF"/>
        <rFont val="Arial"/>
        <family val="2"/>
      </rPr>
      <t>(MRS92 JUL 17)</t>
    </r>
  </si>
  <si>
    <r>
      <t xml:space="preserve">    TRAFFIC SIGNAL EQUIPMENT</t>
    </r>
    <r>
      <rPr>
        <b/>
        <sz val="12"/>
        <color rgb="FF0000FF"/>
        <rFont val="Arial"/>
        <family val="2"/>
      </rPr>
      <t xml:space="preserve"> (MRS93 OCT 17)</t>
    </r>
  </si>
  <si>
    <r>
      <t xml:space="preserve">    TRAFFIC SIGNAL POST AND MAST ARMS </t>
    </r>
    <r>
      <rPr>
        <b/>
        <sz val="12"/>
        <color rgb="FF0000FF"/>
        <rFont val="Arial"/>
        <family val="2"/>
      </rPr>
      <t>(MRS93 OCT 17)</t>
    </r>
  </si>
  <si>
    <r>
      <t xml:space="preserve">    TRAFFIC SIGNAL LANTERNS </t>
    </r>
    <r>
      <rPr>
        <b/>
        <sz val="12"/>
        <color rgb="FF0000FF"/>
        <rFont val="Arial"/>
        <family val="2"/>
      </rPr>
      <t>(MRS93 OCT 17</t>
    </r>
    <r>
      <rPr>
        <b/>
        <sz val="12"/>
        <color theme="1"/>
        <rFont val="Arial"/>
        <family val="2"/>
      </rPr>
      <t>)</t>
    </r>
  </si>
  <si>
    <r>
      <t xml:space="preserve">    DETECTOR LOOPS </t>
    </r>
    <r>
      <rPr>
        <b/>
        <sz val="12"/>
        <color rgb="FF0000FF"/>
        <rFont val="Arial"/>
        <family val="2"/>
      </rPr>
      <t>(MRS93 OCT 17)</t>
    </r>
  </si>
  <si>
    <r>
      <t xml:space="preserve">    REMOVAL OF EXISTING EQUIPMENT </t>
    </r>
    <r>
      <rPr>
        <b/>
        <sz val="12"/>
        <color rgb="FF0000FF"/>
        <rFont val="Arial"/>
        <family val="2"/>
      </rPr>
      <t>(MRS93 OCT 17)</t>
    </r>
  </si>
  <si>
    <r>
      <t xml:space="preserve">    ROAD LIGHTING </t>
    </r>
    <r>
      <rPr>
        <b/>
        <sz val="12"/>
        <color rgb="FF0000FF"/>
        <rFont val="Arial"/>
        <family val="2"/>
      </rPr>
      <t>(MRS94 JUL 17)</t>
    </r>
  </si>
  <si>
    <r>
      <t xml:space="preserve">    LIGHTING AND ELECTRICAL </t>
    </r>
    <r>
      <rPr>
        <b/>
        <sz val="12"/>
        <color rgb="FF0000FF"/>
        <rFont val="Arial"/>
        <family val="2"/>
      </rPr>
      <t>(CTS94 Jan 18)</t>
    </r>
  </si>
  <si>
    <r>
      <t xml:space="preserve">    REMOVAL OF EXISTING EQUIPMENT </t>
    </r>
    <r>
      <rPr>
        <b/>
        <sz val="12"/>
        <color rgb="FF0000FF"/>
        <rFont val="Arial"/>
        <family val="2"/>
      </rPr>
      <t>(MRS94 JUL 17)</t>
    </r>
  </si>
  <si>
    <r>
      <t xml:space="preserve">    STAND-ALONE SOLAR (PV) POWERED LIGHTING SYSTEM </t>
    </r>
    <r>
      <rPr>
        <b/>
        <sz val="12"/>
        <color rgb="FF0000FF"/>
        <rFont val="Arial"/>
        <family val="2"/>
      </rPr>
      <t>(MRS98 JUL 17)</t>
    </r>
  </si>
  <si>
    <r>
      <t xml:space="preserve">    AUXILLARY DEVICES </t>
    </r>
    <r>
      <rPr>
        <b/>
        <sz val="12"/>
        <color rgb="FF0000FF"/>
        <rFont val="Arial"/>
        <family val="2"/>
      </rPr>
      <t>(MRS98 JUL 17)</t>
    </r>
  </si>
  <si>
    <r>
      <t xml:space="preserve">    REMOVAL FOR SALVAGE OR DISPOSAL </t>
    </r>
    <r>
      <rPr>
        <b/>
        <sz val="12"/>
        <color rgb="FF0000FF"/>
        <rFont val="Arial"/>
        <family val="2"/>
      </rPr>
      <t>(MRS98 JUL 17)</t>
    </r>
  </si>
  <si>
    <r>
      <t xml:space="preserve">    VARIABLE MESSAGE SIGNS AND ENHANCED VARIABLE MESSAGE SIGNS </t>
    </r>
    <r>
      <rPr>
        <b/>
        <sz val="12"/>
        <color rgb="FF0000FF"/>
        <rFont val="Arial"/>
        <family val="2"/>
      </rPr>
      <t>(MRS202 JUL 17)</t>
    </r>
  </si>
  <si>
    <r>
      <t xml:space="preserve">    ANCILLIARY ITEMS </t>
    </r>
    <r>
      <rPr>
        <b/>
        <sz val="12"/>
        <color rgb="FF0000FF"/>
        <rFont val="Arial"/>
        <family val="2"/>
      </rPr>
      <t>(MRS202 JUL 17)</t>
    </r>
  </si>
  <si>
    <r>
      <t xml:space="preserve">    REMOVAL OF EXISTING VMS AND EVMS EQUIPMENT </t>
    </r>
    <r>
      <rPr>
        <b/>
        <sz val="12"/>
        <color rgb="FF0000FF"/>
        <rFont val="Arial"/>
        <family val="2"/>
      </rPr>
      <t>(MRS202 JUL 17)</t>
    </r>
  </si>
  <si>
    <r>
      <t xml:space="preserve">    VEHICLE LOOP DETECTORS </t>
    </r>
    <r>
      <rPr>
        <b/>
        <sz val="12"/>
        <color rgb="FF0000FF"/>
        <rFont val="Arial"/>
        <family val="2"/>
      </rPr>
      <t>(MRS204 OCT 17)</t>
    </r>
  </si>
  <si>
    <r>
      <t xml:space="preserve">    RADAR VEHICLE DETECTORS </t>
    </r>
    <r>
      <rPr>
        <b/>
        <sz val="12"/>
        <color rgb="FF0000FF"/>
        <rFont val="Arial"/>
        <family val="2"/>
      </rPr>
      <t>(MRS204 OCT 17)</t>
    </r>
  </si>
  <si>
    <r>
      <t xml:space="preserve">    INFRARED VEHICLE DETECTORS </t>
    </r>
    <r>
      <rPr>
        <b/>
        <sz val="12"/>
        <color rgb="FF0000FF"/>
        <rFont val="Arial"/>
        <family val="2"/>
      </rPr>
      <t>(MRS204 OCT 17)</t>
    </r>
  </si>
  <si>
    <r>
      <t xml:space="preserve">    ANCILLARY ITEMS</t>
    </r>
    <r>
      <rPr>
        <b/>
        <sz val="12"/>
        <color rgb="FF0000FF"/>
        <rFont val="Arial"/>
        <family val="2"/>
      </rPr>
      <t xml:space="preserve"> (MRS204 OCT 17)</t>
    </r>
  </si>
  <si>
    <r>
      <t xml:space="preserve">    REMOVAL OF EXISTING VEHICLE LOOP DETECTORS </t>
    </r>
    <r>
      <rPr>
        <b/>
        <sz val="12"/>
        <color rgb="FF0000FF"/>
        <rFont val="Arial"/>
        <family val="2"/>
      </rPr>
      <t>(MRS204 OCT 17)</t>
    </r>
  </si>
  <si>
    <r>
      <t xml:space="preserve">    VSL/LC MOUNTING FOOTINGS </t>
    </r>
    <r>
      <rPr>
        <b/>
        <sz val="12"/>
        <color rgb="FF0000FF"/>
        <rFont val="Arial"/>
        <family val="2"/>
      </rPr>
      <t>(MRS206 JUL 17)</t>
    </r>
  </si>
  <si>
    <r>
      <t xml:space="preserve">    VSL/LC MOUNTING STRUCTURE AND BRACKETS</t>
    </r>
    <r>
      <rPr>
        <b/>
        <sz val="12"/>
        <color rgb="FF0000FF"/>
        <rFont val="Arial"/>
        <family val="2"/>
      </rPr>
      <t xml:space="preserve"> (MRS206 JUL 17)</t>
    </r>
  </si>
  <si>
    <r>
      <t xml:space="preserve">    ANCILLARY ITEMS </t>
    </r>
    <r>
      <rPr>
        <b/>
        <sz val="12"/>
        <color rgb="FF0000FF"/>
        <rFont val="Arial"/>
        <family val="2"/>
      </rPr>
      <t>(MRS206 JUL 17)</t>
    </r>
  </si>
  <si>
    <r>
      <t xml:space="preserve">    REMOVAL OF EXISTING VSL / LC EQUIPMENT</t>
    </r>
    <r>
      <rPr>
        <b/>
        <sz val="12"/>
        <color rgb="FF0000FF"/>
        <rFont val="Arial"/>
        <family val="2"/>
      </rPr>
      <t xml:space="preserve"> (MRS206 JUL 17)</t>
    </r>
  </si>
  <si>
    <r>
      <t xml:space="preserve">    MAINS CONNECTION </t>
    </r>
    <r>
      <rPr>
        <b/>
        <sz val="12"/>
        <color rgb="FF0000FF"/>
        <rFont val="Arial"/>
        <family val="2"/>
      </rPr>
      <t>(MRS210 JUL 17)</t>
    </r>
  </si>
  <si>
    <r>
      <t xml:space="preserve">    ELECTRICAL CABLE </t>
    </r>
    <r>
      <rPr>
        <b/>
        <sz val="12"/>
        <color rgb="FF0000FF"/>
        <rFont val="Arial"/>
        <family val="2"/>
      </rPr>
      <t>(MRS210 JUL 17)</t>
    </r>
  </si>
  <si>
    <r>
      <t xml:space="preserve">    DISCONNECTION OF MAIN CONNECTION AND REMOVAL OF ELECTRICAL CABLE </t>
    </r>
    <r>
      <rPr>
        <b/>
        <sz val="12"/>
        <color rgb="FF0000FF"/>
        <rFont val="Arial"/>
        <family val="2"/>
      </rPr>
      <t>(MRS210 JUL 17)</t>
    </r>
  </si>
  <si>
    <r>
      <t xml:space="preserve">    PREPARATION OF SITE</t>
    </r>
    <r>
      <rPr>
        <b/>
        <sz val="12"/>
        <color rgb="FF0000FF"/>
        <rFont val="Arial"/>
        <family val="2"/>
      </rPr>
      <t xml:space="preserve"> (MRS218 JUL 17)</t>
    </r>
  </si>
  <si>
    <r>
      <t xml:space="preserve">    SIGN FOOTINGS </t>
    </r>
    <r>
      <rPr>
        <b/>
        <sz val="12"/>
        <color rgb="FF0000FF"/>
        <rFont val="Arial"/>
        <family val="2"/>
      </rPr>
      <t>(MRS218 JUL 17)</t>
    </r>
  </si>
  <si>
    <r>
      <t xml:space="preserve">    GUARD RAILS </t>
    </r>
    <r>
      <rPr>
        <b/>
        <sz val="12"/>
        <color rgb="FF0000FF"/>
        <rFont val="Arial"/>
        <family val="2"/>
      </rPr>
      <t>(MRS218 JUL 17)</t>
    </r>
  </si>
  <si>
    <r>
      <t xml:space="preserve">    SIGN POLES AND BRACKETS</t>
    </r>
    <r>
      <rPr>
        <b/>
        <sz val="12"/>
        <color rgb="FF0000FF"/>
        <rFont val="Arial"/>
        <family val="2"/>
      </rPr>
      <t xml:space="preserve"> (MRS218 JUL 17)</t>
    </r>
  </si>
  <si>
    <r>
      <t xml:space="preserve">    SIGNS</t>
    </r>
    <r>
      <rPr>
        <b/>
        <sz val="12"/>
        <color rgb="FF0000FF"/>
        <rFont val="Arial"/>
        <family val="2"/>
      </rPr>
      <t xml:space="preserve"> (MRS218 JUL 17)</t>
    </r>
  </si>
  <si>
    <r>
      <t xml:space="preserve">    ANCILLARY WORKS </t>
    </r>
    <r>
      <rPr>
        <b/>
        <sz val="12"/>
        <color rgb="FF0000FF"/>
        <rFont val="Arial"/>
        <family val="2"/>
      </rPr>
      <t>(MRS218 JUL 17)</t>
    </r>
  </si>
  <si>
    <r>
      <t xml:space="preserve">    HELP PHONES </t>
    </r>
    <r>
      <rPr>
        <b/>
        <sz val="12"/>
        <color rgb="FF0000FF"/>
        <rFont val="Arial"/>
        <family val="2"/>
      </rPr>
      <t>(MRS221 JUL 17)</t>
    </r>
  </si>
  <si>
    <t xml:space="preserve">No of pilesBridge 1: </t>
  </si>
  <si>
    <r>
      <t>Identifying and managing asbestos on Site</t>
    </r>
    <r>
      <rPr>
        <sz val="12"/>
        <color rgb="FF0000FF"/>
        <rFont val="Arial"/>
        <family val="2"/>
      </rPr>
      <t xml:space="preserve"> [canoe club area]</t>
    </r>
  </si>
  <si>
    <t>21302.01P</t>
  </si>
  <si>
    <r>
      <t xml:space="preserve">Concrete Class </t>
    </r>
    <r>
      <rPr>
        <sz val="12"/>
        <color rgb="FF0000FF"/>
        <rFont val="Arial"/>
        <family val="2"/>
      </rPr>
      <t xml:space="preserve">[40] </t>
    </r>
    <r>
      <rPr>
        <sz val="12"/>
        <color theme="1"/>
        <rFont val="Arial"/>
        <family val="2"/>
      </rPr>
      <t>MPa/20 in pier headstock</t>
    </r>
  </si>
  <si>
    <t>72121.01S</t>
  </si>
  <si>
    <t>72122.01S</t>
  </si>
  <si>
    <r>
      <t xml:space="preserve">Expansion joint cover plates, </t>
    </r>
    <r>
      <rPr>
        <sz val="12"/>
        <color rgb="FF0000FF"/>
        <rFont val="Arial"/>
        <family val="2"/>
      </rPr>
      <t>galvanised</t>
    </r>
    <r>
      <rPr>
        <sz val="12"/>
        <color theme="1"/>
        <rFont val="Arial"/>
        <family val="2"/>
      </rPr>
      <t xml:space="preserve"> steel</t>
    </r>
  </si>
  <si>
    <r>
      <t xml:space="preserve">Junction box cover plates, </t>
    </r>
    <r>
      <rPr>
        <sz val="12"/>
        <color rgb="FF0000FF"/>
        <rFont val="Arial"/>
        <family val="2"/>
      </rPr>
      <t>stainless</t>
    </r>
    <r>
      <rPr>
        <sz val="12"/>
        <color theme="1"/>
        <rFont val="Arial"/>
        <family val="2"/>
      </rPr>
      <t xml:space="preserve"> steel</t>
    </r>
  </si>
  <si>
    <r>
      <t>Electrical conduit in footway,</t>
    </r>
    <r>
      <rPr>
        <sz val="12"/>
        <color rgb="FF0000FF"/>
        <rFont val="Arial"/>
        <family val="2"/>
      </rPr>
      <t xml:space="preserve"> [50] </t>
    </r>
    <r>
      <rPr>
        <sz val="12"/>
        <color theme="1"/>
        <rFont val="Arial"/>
        <family val="2"/>
      </rPr>
      <t xml:space="preserve">mm diameter, </t>
    </r>
    <r>
      <rPr>
        <sz val="12"/>
        <color rgb="FF0000FF"/>
        <rFont val="Arial"/>
        <family val="2"/>
      </rPr>
      <t>[lighting]</t>
    </r>
  </si>
  <si>
    <r>
      <t xml:space="preserve">Electrical conduit in footway, </t>
    </r>
    <r>
      <rPr>
        <sz val="12"/>
        <color rgb="FF0000FF"/>
        <rFont val="Arial"/>
        <family val="2"/>
      </rPr>
      <t>[40]</t>
    </r>
    <r>
      <rPr>
        <sz val="12"/>
        <color theme="1"/>
        <rFont val="Arial"/>
        <family val="2"/>
      </rPr>
      <t xml:space="preserve"> mm diameter, </t>
    </r>
    <r>
      <rPr>
        <sz val="12"/>
        <color rgb="FF0000FF"/>
        <rFont val="Arial"/>
        <family val="2"/>
      </rPr>
      <t>[spare]</t>
    </r>
  </si>
  <si>
    <t>72802.01S</t>
  </si>
  <si>
    <t>73406.01P</t>
  </si>
  <si>
    <r>
      <t xml:space="preserve">Scabbling concrete faces </t>
    </r>
    <r>
      <rPr>
        <sz val="12"/>
        <color rgb="FF0000FF"/>
        <rFont val="Arial"/>
        <family val="2"/>
      </rPr>
      <t>[provisional quantity]</t>
    </r>
  </si>
  <si>
    <r>
      <t xml:space="preserve">Installation of concrete pipe culvert components, </t>
    </r>
    <r>
      <rPr>
        <sz val="12"/>
        <color rgb="FF0000FF"/>
        <rFont val="Arial"/>
        <family val="2"/>
      </rPr>
      <t>[375]</t>
    </r>
    <r>
      <rPr>
        <sz val="12"/>
        <color theme="1"/>
        <rFont val="Arial"/>
        <family val="2"/>
      </rPr>
      <t xml:space="preserve"> mm diameter</t>
    </r>
  </si>
  <si>
    <t>32101.01P</t>
  </si>
  <si>
    <r>
      <t xml:space="preserve">Blinding concrete, </t>
    </r>
    <r>
      <rPr>
        <sz val="12"/>
        <color rgb="FF0000FF"/>
        <rFont val="Arial"/>
        <family val="2"/>
      </rPr>
      <t>[50]</t>
    </r>
    <r>
      <rPr>
        <sz val="12"/>
        <color theme="1"/>
        <rFont val="Arial"/>
        <family val="2"/>
      </rPr>
      <t xml:space="preserve"> mm nominal thickness</t>
    </r>
  </si>
  <si>
    <t>32404.02P</t>
  </si>
  <si>
    <r>
      <t>Backfill with sand to</t>
    </r>
    <r>
      <rPr>
        <sz val="12"/>
        <color rgb="FF0000FF"/>
        <rFont val="Arial"/>
        <family val="2"/>
      </rPr>
      <t xml:space="preserve"> [bedding for concrete slab - 50mm nom]</t>
    </r>
  </si>
  <si>
    <r>
      <t xml:space="preserve">Backfill with lean mix concrete to </t>
    </r>
    <r>
      <rPr>
        <sz val="12"/>
        <color rgb="FF0000FF"/>
        <rFont val="Arial"/>
        <family val="2"/>
      </rPr>
      <t>[replace poor soil, provisional quantity if ordered]</t>
    </r>
  </si>
  <si>
    <r>
      <t>Overlay zone for</t>
    </r>
    <r>
      <rPr>
        <sz val="12"/>
        <color rgb="FF0000FF"/>
        <rFont val="Arial"/>
        <family val="2"/>
      </rPr>
      <t xml:space="preserve"> [impermeable clay layer at Radnor Street Connection]</t>
    </r>
  </si>
  <si>
    <r>
      <t xml:space="preserve">Installation of turf </t>
    </r>
    <r>
      <rPr>
        <sz val="12"/>
        <color rgb="FF0000FF"/>
        <rFont val="Arial"/>
        <family val="2"/>
      </rPr>
      <t>[Blue Couch]</t>
    </r>
  </si>
  <si>
    <r>
      <t>Lane line, continuous, 100 mm wide, colour</t>
    </r>
    <r>
      <rPr>
        <sz val="12"/>
        <color rgb="FF0000FF"/>
        <rFont val="Arial"/>
        <family val="2"/>
      </rPr>
      <t xml:space="preserve"> [white]</t>
    </r>
    <r>
      <rPr>
        <sz val="12"/>
        <color theme="1"/>
        <rFont val="Arial"/>
        <family val="2"/>
      </rPr>
      <t xml:space="preserve">, material </t>
    </r>
    <r>
      <rPr>
        <sz val="12"/>
        <color rgb="FF0000FF"/>
        <rFont val="Arial"/>
        <family val="2"/>
      </rPr>
      <t>[paint]</t>
    </r>
  </si>
  <si>
    <r>
      <t xml:space="preserve">Transverse lines (stop lines, holding lines, markings at Stop and Give Way signs, pedestrian crosswalk lines, arrows, shapes, symbols and numerals), colour </t>
    </r>
    <r>
      <rPr>
        <sz val="12"/>
        <color rgb="FF0000FF"/>
        <rFont val="Arial"/>
        <family val="2"/>
      </rPr>
      <t>[white]</t>
    </r>
    <r>
      <rPr>
        <sz val="12"/>
        <color theme="1"/>
        <rFont val="Arial"/>
        <family val="2"/>
      </rPr>
      <t>, material</t>
    </r>
    <r>
      <rPr>
        <sz val="12"/>
        <color rgb="FF0000FF"/>
        <rFont val="Arial"/>
        <family val="2"/>
      </rPr>
      <t xml:space="preserve"> [paint]</t>
    </r>
  </si>
  <si>
    <r>
      <t xml:space="preserve">Transverse lines (diagonal and chevron markings, parking areas and kerb markings), colour </t>
    </r>
    <r>
      <rPr>
        <sz val="12"/>
        <color rgb="FF0000FF"/>
        <rFont val="Arial"/>
        <family val="2"/>
      </rPr>
      <t>[white]</t>
    </r>
    <r>
      <rPr>
        <sz val="12"/>
        <color theme="1"/>
        <rFont val="Arial"/>
        <family val="2"/>
      </rPr>
      <t xml:space="preserve">, material </t>
    </r>
    <r>
      <rPr>
        <sz val="12"/>
        <color rgb="FF0000FF"/>
        <rFont val="Arial"/>
        <family val="2"/>
      </rPr>
      <t>[paint]</t>
    </r>
  </si>
  <si>
    <r>
      <t xml:space="preserve">Transverse lines (diagonal and chevron markings, parking areas and kerb markings), colour </t>
    </r>
    <r>
      <rPr>
        <sz val="12"/>
        <color rgb="FF0000FF"/>
        <rFont val="Arial"/>
        <family val="2"/>
      </rPr>
      <t>[yellow]</t>
    </r>
    <r>
      <rPr>
        <sz val="12"/>
        <color theme="1"/>
        <rFont val="Arial"/>
        <family val="2"/>
      </rPr>
      <t xml:space="preserve">, material </t>
    </r>
    <r>
      <rPr>
        <sz val="12"/>
        <color rgb="FF0000FF"/>
        <rFont val="Arial"/>
        <family val="2"/>
      </rPr>
      <t>[paint]</t>
    </r>
  </si>
  <si>
    <t>60724.01S</t>
  </si>
  <si>
    <r>
      <t xml:space="preserve">Supply and installation of road lighting luminaire, </t>
    </r>
    <r>
      <rPr>
        <sz val="12"/>
        <color rgb="FF0000FF"/>
        <rFont val="Arial"/>
        <family val="2"/>
      </rPr>
      <t>[Pecan - LED Roadway], [LRL-NXT-12S-0-7-2ES-5-BK-3-CT-X-2H]</t>
    </r>
  </si>
  <si>
    <r>
      <t>Supply of mains connection equipment including the supply of mains connection cable,</t>
    </r>
    <r>
      <rPr>
        <sz val="12"/>
        <color rgb="FF0000FF"/>
        <rFont val="Arial"/>
        <family val="2"/>
      </rPr>
      <t xml:space="preserve"> [15m long], [for switchboard supply], [25mm]</t>
    </r>
    <r>
      <rPr>
        <sz val="12"/>
        <color theme="1"/>
        <rFont val="Arial"/>
        <family val="2"/>
      </rPr>
      <t>,</t>
    </r>
    <r>
      <rPr>
        <sz val="12"/>
        <color rgb="FF0000FF"/>
        <rFont val="Arial"/>
        <family val="2"/>
      </rPr>
      <t xml:space="preserve"> [2s] </t>
    </r>
    <r>
      <rPr>
        <sz val="12"/>
        <color theme="1"/>
        <rFont val="Arial"/>
        <family val="2"/>
      </rPr>
      <t>cores,</t>
    </r>
    <r>
      <rPr>
        <sz val="12"/>
        <color rgb="FF0000FF"/>
        <rFont val="Arial"/>
        <family val="2"/>
      </rPr>
      <t xml:space="preserve"> [XLPE/PVC], [sheath insulation], [Cul]</t>
    </r>
  </si>
  <si>
    <r>
      <t xml:space="preserve">Supply of underground road lighting cable, </t>
    </r>
    <r>
      <rPr>
        <sz val="12"/>
        <color rgb="FF0000FF"/>
        <rFont val="Arial"/>
        <family val="2"/>
      </rPr>
      <t>[16], [2+E]</t>
    </r>
    <r>
      <rPr>
        <sz val="12"/>
        <color theme="1"/>
        <rFont val="Arial"/>
        <family val="2"/>
      </rPr>
      <t xml:space="preserve"> cores,</t>
    </r>
    <r>
      <rPr>
        <sz val="12"/>
        <color rgb="FF0000FF"/>
        <rFont val="Arial"/>
        <family val="2"/>
      </rPr>
      <t xml:space="preserve"> [PVC], [PVC], [Cu]</t>
    </r>
  </si>
  <si>
    <r>
      <t xml:space="preserve">Supply of cable joint, </t>
    </r>
    <r>
      <rPr>
        <sz val="12"/>
        <color rgb="FF0000FF"/>
        <rFont val="Arial"/>
        <family val="2"/>
      </rPr>
      <t>[unfused]</t>
    </r>
  </si>
  <si>
    <r>
      <t xml:space="preserve">Installation, jointing and termination of cable, </t>
    </r>
    <r>
      <rPr>
        <sz val="12"/>
        <color rgb="FF0000FF"/>
        <rFont val="Arial"/>
        <family val="2"/>
      </rPr>
      <t>[Sub-mains], [2C+E]</t>
    </r>
  </si>
  <si>
    <t>9001.01S</t>
  </si>
  <si>
    <t>9003.01S</t>
  </si>
  <si>
    <t>9005.01S</t>
  </si>
  <si>
    <t>9007.01S</t>
  </si>
  <si>
    <r>
      <t>Prestressed concrete deck and kerb unit, supply on Site,</t>
    </r>
    <r>
      <rPr>
        <sz val="12"/>
        <color rgb="FF0000FF"/>
        <rFont val="Arial"/>
        <family val="2"/>
      </rPr>
      <t xml:space="preserve"> [1100] </t>
    </r>
    <r>
      <rPr>
        <sz val="12"/>
        <color theme="1"/>
        <rFont val="Arial"/>
        <family val="2"/>
      </rPr>
      <t xml:space="preserve">mm deep, </t>
    </r>
    <r>
      <rPr>
        <sz val="12"/>
        <color rgb="FF0000FF"/>
        <rFont val="Arial"/>
        <family val="2"/>
      </rPr>
      <t>[27.75]</t>
    </r>
    <r>
      <rPr>
        <sz val="12"/>
        <color theme="1"/>
        <rFont val="Arial"/>
        <family val="2"/>
      </rPr>
      <t xml:space="preserve"> metres long</t>
    </r>
  </si>
  <si>
    <r>
      <t>Prestressed concrete deck and kerb unit, supply on Site,</t>
    </r>
    <r>
      <rPr>
        <sz val="12"/>
        <color rgb="FF0000FF"/>
        <rFont val="Arial"/>
        <family val="2"/>
      </rPr>
      <t xml:space="preserve"> [1100] </t>
    </r>
    <r>
      <rPr>
        <sz val="12"/>
        <color theme="1"/>
        <rFont val="Arial"/>
        <family val="2"/>
      </rPr>
      <t xml:space="preserve">mm deep, </t>
    </r>
    <r>
      <rPr>
        <sz val="12"/>
        <color rgb="FF0000FF"/>
        <rFont val="Arial"/>
        <family val="2"/>
      </rPr>
      <t>[26.997]</t>
    </r>
    <r>
      <rPr>
        <sz val="12"/>
        <color theme="1"/>
        <rFont val="Arial"/>
        <family val="2"/>
      </rPr>
      <t xml:space="preserve"> metres long</t>
    </r>
  </si>
  <si>
    <r>
      <t>Prestressed concrete deck and kerb unit, supply on Site,</t>
    </r>
    <r>
      <rPr>
        <sz val="12"/>
        <color rgb="FF0000FF"/>
        <rFont val="Arial"/>
        <family val="2"/>
      </rPr>
      <t xml:space="preserve"> [1100] </t>
    </r>
    <r>
      <rPr>
        <sz val="12"/>
        <color theme="1"/>
        <rFont val="Arial"/>
        <family val="2"/>
      </rPr>
      <t xml:space="preserve">mm deep, </t>
    </r>
    <r>
      <rPr>
        <sz val="12"/>
        <color rgb="FF0000FF"/>
        <rFont val="Arial"/>
        <family val="2"/>
      </rPr>
      <t>[23.383]</t>
    </r>
    <r>
      <rPr>
        <sz val="12"/>
        <color theme="1"/>
        <rFont val="Arial"/>
        <family val="2"/>
      </rPr>
      <t xml:space="preserve"> metres long</t>
    </r>
  </si>
  <si>
    <r>
      <t>Prestressed concrete deck and kerb unit, supply on Site,</t>
    </r>
    <r>
      <rPr>
        <sz val="12"/>
        <color rgb="FF0000FF"/>
        <rFont val="Arial"/>
        <family val="2"/>
      </rPr>
      <t xml:space="preserve"> [1100] </t>
    </r>
    <r>
      <rPr>
        <sz val="12"/>
        <color theme="1"/>
        <rFont val="Arial"/>
        <family val="2"/>
      </rPr>
      <t xml:space="preserve">mm deep, </t>
    </r>
    <r>
      <rPr>
        <sz val="12"/>
        <color rgb="FF0000FF"/>
        <rFont val="Arial"/>
        <family val="2"/>
      </rPr>
      <t>[25.874]</t>
    </r>
    <r>
      <rPr>
        <sz val="12"/>
        <color theme="1"/>
        <rFont val="Arial"/>
        <family val="2"/>
      </rPr>
      <t xml:space="preserve"> metres long</t>
    </r>
  </si>
  <si>
    <r>
      <t>Prestressed concrete deck and kerb unit, supply on Site,</t>
    </r>
    <r>
      <rPr>
        <sz val="12"/>
        <color rgb="FF0000FF"/>
        <rFont val="Arial"/>
        <family val="2"/>
      </rPr>
      <t xml:space="preserve"> [1100] </t>
    </r>
    <r>
      <rPr>
        <sz val="12"/>
        <color theme="1"/>
        <rFont val="Arial"/>
        <family val="2"/>
      </rPr>
      <t xml:space="preserve">mm deep, </t>
    </r>
    <r>
      <rPr>
        <sz val="12"/>
        <color rgb="FF0000FF"/>
        <rFont val="Arial"/>
        <family val="2"/>
      </rPr>
      <t>[27.4]</t>
    </r>
    <r>
      <rPr>
        <sz val="12"/>
        <color theme="1"/>
        <rFont val="Arial"/>
        <family val="2"/>
      </rPr>
      <t xml:space="preserve"> metres long</t>
    </r>
  </si>
  <si>
    <r>
      <t>Prestressed concrete deck and kerb unit, supply on Site,</t>
    </r>
    <r>
      <rPr>
        <sz val="12"/>
        <color rgb="FF0000FF"/>
        <rFont val="Arial"/>
        <family val="2"/>
      </rPr>
      <t xml:space="preserve"> [1100] </t>
    </r>
    <r>
      <rPr>
        <sz val="12"/>
        <color theme="1"/>
        <rFont val="Arial"/>
        <family val="2"/>
      </rPr>
      <t xml:space="preserve">mm deep, </t>
    </r>
    <r>
      <rPr>
        <sz val="12"/>
        <color rgb="FF0000FF"/>
        <rFont val="Arial"/>
        <family val="2"/>
      </rPr>
      <t>[27.55]</t>
    </r>
    <r>
      <rPr>
        <sz val="12"/>
        <color theme="1"/>
        <rFont val="Arial"/>
        <family val="2"/>
      </rPr>
      <t xml:space="preserve"> metres long</t>
    </r>
  </si>
  <si>
    <r>
      <t>Transport of prestressed concrete deck and kerb units to the Site,</t>
    </r>
    <r>
      <rPr>
        <sz val="12"/>
        <color rgb="FF0000FF"/>
        <rFont val="Arial"/>
        <family val="2"/>
      </rPr>
      <t xml:space="preserve"> [1100] </t>
    </r>
    <r>
      <rPr>
        <sz val="12"/>
        <color theme="1"/>
        <rFont val="Arial"/>
        <family val="2"/>
      </rPr>
      <t>mm deep,</t>
    </r>
    <r>
      <rPr>
        <sz val="12"/>
        <color rgb="FF0000FF"/>
        <rFont val="Arial"/>
        <family val="2"/>
      </rPr>
      <t xml:space="preserve"> [27.75]</t>
    </r>
    <r>
      <rPr>
        <sz val="12"/>
        <color theme="1"/>
        <rFont val="Arial"/>
        <family val="2"/>
      </rPr>
      <t xml:space="preserve"> metres long, ex works </t>
    </r>
    <r>
      <rPr>
        <sz val="12"/>
        <color rgb="FF0000FF"/>
        <rFont val="Arial"/>
        <family val="2"/>
      </rPr>
      <t xml:space="preserve">[Brisbane River, </t>
    </r>
    <r>
      <rPr>
        <i/>
        <sz val="12"/>
        <color rgb="FF0000FF"/>
        <rFont val="Arial"/>
        <family val="2"/>
      </rPr>
      <t>Indooroopilly</t>
    </r>
    <r>
      <rPr>
        <sz val="12"/>
        <color rgb="FF0000FF"/>
        <rFont val="Arial"/>
        <family val="2"/>
      </rPr>
      <t>]</t>
    </r>
  </si>
  <si>
    <r>
      <t>Transport of prestressed concrete deck and kerb units to the Site,</t>
    </r>
    <r>
      <rPr>
        <sz val="12"/>
        <color rgb="FF0000FF"/>
        <rFont val="Arial"/>
        <family val="2"/>
      </rPr>
      <t xml:space="preserve"> [1100] </t>
    </r>
    <r>
      <rPr>
        <sz val="12"/>
        <color theme="1"/>
        <rFont val="Arial"/>
        <family val="2"/>
      </rPr>
      <t>mm deep,</t>
    </r>
    <r>
      <rPr>
        <sz val="12"/>
        <color rgb="FF0000FF"/>
        <rFont val="Arial"/>
        <family val="2"/>
      </rPr>
      <t xml:space="preserve"> [26.997]</t>
    </r>
    <r>
      <rPr>
        <sz val="12"/>
        <color theme="1"/>
        <rFont val="Arial"/>
        <family val="2"/>
      </rPr>
      <t xml:space="preserve"> metres long, ex works </t>
    </r>
    <r>
      <rPr>
        <sz val="12"/>
        <color rgb="FF0000FF"/>
        <rFont val="Arial"/>
        <family val="2"/>
      </rPr>
      <t xml:space="preserve">[Brisbane River, </t>
    </r>
    <r>
      <rPr>
        <i/>
        <sz val="12"/>
        <color rgb="FF0000FF"/>
        <rFont val="Arial"/>
        <family val="2"/>
      </rPr>
      <t>Indooroopilly</t>
    </r>
    <r>
      <rPr>
        <sz val="12"/>
        <color rgb="FF0000FF"/>
        <rFont val="Arial"/>
        <family val="2"/>
      </rPr>
      <t>]</t>
    </r>
  </si>
  <si>
    <r>
      <t>Transport of prestressed concrete deck and kerb units to the Site,</t>
    </r>
    <r>
      <rPr>
        <sz val="12"/>
        <color rgb="FF0000FF"/>
        <rFont val="Arial"/>
        <family val="2"/>
      </rPr>
      <t xml:space="preserve"> [1100] </t>
    </r>
    <r>
      <rPr>
        <sz val="12"/>
        <color theme="1"/>
        <rFont val="Arial"/>
        <family val="2"/>
      </rPr>
      <t>mm deep,</t>
    </r>
    <r>
      <rPr>
        <sz val="12"/>
        <color rgb="FF0000FF"/>
        <rFont val="Arial"/>
        <family val="2"/>
      </rPr>
      <t xml:space="preserve"> [23.383]</t>
    </r>
    <r>
      <rPr>
        <sz val="12"/>
        <color theme="1"/>
        <rFont val="Arial"/>
        <family val="2"/>
      </rPr>
      <t xml:space="preserve"> metres long, ex works </t>
    </r>
    <r>
      <rPr>
        <sz val="12"/>
        <color rgb="FF0000FF"/>
        <rFont val="Arial"/>
        <family val="2"/>
      </rPr>
      <t xml:space="preserve">[Brisbane River, </t>
    </r>
    <r>
      <rPr>
        <i/>
        <sz val="12"/>
        <color rgb="FF0000FF"/>
        <rFont val="Arial"/>
        <family val="2"/>
      </rPr>
      <t>Indooroopilly</t>
    </r>
    <r>
      <rPr>
        <sz val="12"/>
        <color rgb="FF0000FF"/>
        <rFont val="Arial"/>
        <family val="2"/>
      </rPr>
      <t>]</t>
    </r>
  </si>
  <si>
    <r>
      <t>Transport of prestressed concrete deck and kerb units to the Site,</t>
    </r>
    <r>
      <rPr>
        <sz val="12"/>
        <color rgb="FF0000FF"/>
        <rFont val="Arial"/>
        <family val="2"/>
      </rPr>
      <t xml:space="preserve"> [1100] </t>
    </r>
    <r>
      <rPr>
        <sz val="12"/>
        <color theme="1"/>
        <rFont val="Arial"/>
        <family val="2"/>
      </rPr>
      <t>mm deep,</t>
    </r>
    <r>
      <rPr>
        <sz val="12"/>
        <color rgb="FF0000FF"/>
        <rFont val="Arial"/>
        <family val="2"/>
      </rPr>
      <t xml:space="preserve"> [25.874]</t>
    </r>
    <r>
      <rPr>
        <sz val="12"/>
        <color theme="1"/>
        <rFont val="Arial"/>
        <family val="2"/>
      </rPr>
      <t xml:space="preserve"> metres long, ex works </t>
    </r>
    <r>
      <rPr>
        <sz val="12"/>
        <color rgb="FF0000FF"/>
        <rFont val="Arial"/>
        <family val="2"/>
      </rPr>
      <t xml:space="preserve">[Brisbane River, </t>
    </r>
    <r>
      <rPr>
        <i/>
        <sz val="12"/>
        <color rgb="FF0000FF"/>
        <rFont val="Arial"/>
        <family val="2"/>
      </rPr>
      <t>Indooroopilly</t>
    </r>
    <r>
      <rPr>
        <sz val="12"/>
        <color rgb="FF0000FF"/>
        <rFont val="Arial"/>
        <family val="2"/>
      </rPr>
      <t>]</t>
    </r>
  </si>
  <si>
    <r>
      <t>Transport of prestressed concrete deck and kerb units to the Site,</t>
    </r>
    <r>
      <rPr>
        <sz val="12"/>
        <color rgb="FF0000FF"/>
        <rFont val="Arial"/>
        <family val="2"/>
      </rPr>
      <t xml:space="preserve"> [1100] </t>
    </r>
    <r>
      <rPr>
        <sz val="12"/>
        <color theme="1"/>
        <rFont val="Arial"/>
        <family val="2"/>
      </rPr>
      <t>mm deep,</t>
    </r>
    <r>
      <rPr>
        <sz val="12"/>
        <color rgb="FF0000FF"/>
        <rFont val="Arial"/>
        <family val="2"/>
      </rPr>
      <t xml:space="preserve"> [27.4]</t>
    </r>
    <r>
      <rPr>
        <sz val="12"/>
        <color theme="1"/>
        <rFont val="Arial"/>
        <family val="2"/>
      </rPr>
      <t xml:space="preserve"> metres long, ex works </t>
    </r>
    <r>
      <rPr>
        <sz val="12"/>
        <color rgb="FF0000FF"/>
        <rFont val="Arial"/>
        <family val="2"/>
      </rPr>
      <t xml:space="preserve">[Brisbane River, </t>
    </r>
    <r>
      <rPr>
        <i/>
        <sz val="12"/>
        <color rgb="FF0000FF"/>
        <rFont val="Arial"/>
        <family val="2"/>
      </rPr>
      <t>Indooroopilly</t>
    </r>
    <r>
      <rPr>
        <sz val="12"/>
        <color rgb="FF0000FF"/>
        <rFont val="Arial"/>
        <family val="2"/>
      </rPr>
      <t>]</t>
    </r>
  </si>
  <si>
    <r>
      <t>Transport of prestressed concrete deck and kerb units to the Site,</t>
    </r>
    <r>
      <rPr>
        <sz val="12"/>
        <color rgb="FF0000FF"/>
        <rFont val="Arial"/>
        <family val="2"/>
      </rPr>
      <t xml:space="preserve"> [1100] </t>
    </r>
    <r>
      <rPr>
        <sz val="12"/>
        <color theme="1"/>
        <rFont val="Arial"/>
        <family val="2"/>
      </rPr>
      <t>mm deep,</t>
    </r>
    <r>
      <rPr>
        <sz val="12"/>
        <color rgb="FF0000FF"/>
        <rFont val="Arial"/>
        <family val="2"/>
      </rPr>
      <t xml:space="preserve"> [27.55]</t>
    </r>
    <r>
      <rPr>
        <sz val="12"/>
        <color theme="1"/>
        <rFont val="Arial"/>
        <family val="2"/>
      </rPr>
      <t xml:space="preserve"> metres long, ex works </t>
    </r>
    <r>
      <rPr>
        <sz val="12"/>
        <color rgb="FF0000FF"/>
        <rFont val="Arial"/>
        <family val="2"/>
      </rPr>
      <t xml:space="preserve">[Brisbane River, </t>
    </r>
    <r>
      <rPr>
        <i/>
        <sz val="12"/>
        <color rgb="FF0000FF"/>
        <rFont val="Arial"/>
        <family val="2"/>
      </rPr>
      <t>Indooroopilly</t>
    </r>
    <r>
      <rPr>
        <sz val="12"/>
        <color rgb="FF0000FF"/>
        <rFont val="Arial"/>
        <family val="2"/>
      </rPr>
      <t>]</t>
    </r>
  </si>
  <si>
    <r>
      <t xml:space="preserve">Erection of prestressed concrete deck and kerb units, </t>
    </r>
    <r>
      <rPr>
        <sz val="12"/>
        <color rgb="FF0000FF"/>
        <rFont val="Arial"/>
        <family val="2"/>
      </rPr>
      <t>[1100]</t>
    </r>
    <r>
      <rPr>
        <sz val="12"/>
        <color theme="1"/>
        <rFont val="Arial"/>
        <family val="2"/>
      </rPr>
      <t xml:space="preserve"> mm deep, </t>
    </r>
    <r>
      <rPr>
        <sz val="12"/>
        <color rgb="FF0000FF"/>
        <rFont val="Arial"/>
        <family val="2"/>
      </rPr>
      <t xml:space="preserve">[27.75] </t>
    </r>
    <r>
      <rPr>
        <sz val="12"/>
        <color theme="1"/>
        <rFont val="Arial"/>
        <family val="2"/>
      </rPr>
      <t>metres long</t>
    </r>
  </si>
  <si>
    <r>
      <t xml:space="preserve">Erection of prestressed concrete deck and kerb units, </t>
    </r>
    <r>
      <rPr>
        <sz val="12"/>
        <color rgb="FF0000FF"/>
        <rFont val="Arial"/>
        <family val="2"/>
      </rPr>
      <t>[1100]</t>
    </r>
    <r>
      <rPr>
        <sz val="12"/>
        <color theme="1"/>
        <rFont val="Arial"/>
        <family val="2"/>
      </rPr>
      <t xml:space="preserve"> mm deep, </t>
    </r>
    <r>
      <rPr>
        <sz val="12"/>
        <color rgb="FF0000FF"/>
        <rFont val="Arial"/>
        <family val="2"/>
      </rPr>
      <t xml:space="preserve">[26.997] </t>
    </r>
    <r>
      <rPr>
        <sz val="12"/>
        <color theme="1"/>
        <rFont val="Arial"/>
        <family val="2"/>
      </rPr>
      <t>metres long</t>
    </r>
  </si>
  <si>
    <r>
      <t xml:space="preserve">Erection of prestressed concrete deck and kerb units, </t>
    </r>
    <r>
      <rPr>
        <sz val="12"/>
        <color rgb="FF0000FF"/>
        <rFont val="Arial"/>
        <family val="2"/>
      </rPr>
      <t>[1100]</t>
    </r>
    <r>
      <rPr>
        <sz val="12"/>
        <color theme="1"/>
        <rFont val="Arial"/>
        <family val="2"/>
      </rPr>
      <t xml:space="preserve"> mm deep, </t>
    </r>
    <r>
      <rPr>
        <sz val="12"/>
        <color rgb="FF0000FF"/>
        <rFont val="Arial"/>
        <family val="2"/>
      </rPr>
      <t xml:space="preserve">[23.383] </t>
    </r>
    <r>
      <rPr>
        <sz val="12"/>
        <color theme="1"/>
        <rFont val="Arial"/>
        <family val="2"/>
      </rPr>
      <t>metres long</t>
    </r>
  </si>
  <si>
    <r>
      <t xml:space="preserve">Erection of prestressed concrete deck and kerb units, </t>
    </r>
    <r>
      <rPr>
        <sz val="12"/>
        <color rgb="FF0000FF"/>
        <rFont val="Arial"/>
        <family val="2"/>
      </rPr>
      <t>[1100]</t>
    </r>
    <r>
      <rPr>
        <sz val="12"/>
        <color theme="1"/>
        <rFont val="Arial"/>
        <family val="2"/>
      </rPr>
      <t xml:space="preserve"> mm deep, </t>
    </r>
    <r>
      <rPr>
        <sz val="12"/>
        <color rgb="FF0000FF"/>
        <rFont val="Arial"/>
        <family val="2"/>
      </rPr>
      <t xml:space="preserve">[25.874] </t>
    </r>
    <r>
      <rPr>
        <sz val="12"/>
        <color theme="1"/>
        <rFont val="Arial"/>
        <family val="2"/>
      </rPr>
      <t>metres long</t>
    </r>
  </si>
  <si>
    <r>
      <t xml:space="preserve">Erection of prestressed concrete deck and kerb units, </t>
    </r>
    <r>
      <rPr>
        <sz val="12"/>
        <color rgb="FF0000FF"/>
        <rFont val="Arial"/>
        <family val="2"/>
      </rPr>
      <t>[1100]</t>
    </r>
    <r>
      <rPr>
        <sz val="12"/>
        <color theme="1"/>
        <rFont val="Arial"/>
        <family val="2"/>
      </rPr>
      <t xml:space="preserve"> mm deep, </t>
    </r>
    <r>
      <rPr>
        <sz val="12"/>
        <color rgb="FF0000FF"/>
        <rFont val="Arial"/>
        <family val="2"/>
      </rPr>
      <t xml:space="preserve">[27.4] </t>
    </r>
    <r>
      <rPr>
        <sz val="12"/>
        <color theme="1"/>
        <rFont val="Arial"/>
        <family val="2"/>
      </rPr>
      <t>metres long</t>
    </r>
  </si>
  <si>
    <r>
      <t xml:space="preserve">Erection of prestressed concrete deck and kerb units, </t>
    </r>
    <r>
      <rPr>
        <sz val="12"/>
        <color rgb="FF0000FF"/>
        <rFont val="Arial"/>
        <family val="2"/>
      </rPr>
      <t>[1100]</t>
    </r>
    <r>
      <rPr>
        <sz val="12"/>
        <color theme="1"/>
        <rFont val="Arial"/>
        <family val="2"/>
      </rPr>
      <t xml:space="preserve"> mm deep, </t>
    </r>
    <r>
      <rPr>
        <sz val="12"/>
        <color rgb="FF0000FF"/>
        <rFont val="Arial"/>
        <family val="2"/>
      </rPr>
      <t xml:space="preserve">[27.55] </t>
    </r>
    <r>
      <rPr>
        <sz val="12"/>
        <color theme="1"/>
        <rFont val="Arial"/>
        <family val="2"/>
      </rPr>
      <t>metres long</t>
    </r>
  </si>
  <si>
    <r>
      <t>Concrete Class</t>
    </r>
    <r>
      <rPr>
        <sz val="12"/>
        <color rgb="FF0000FF"/>
        <rFont val="Arial"/>
        <family val="2"/>
      </rPr>
      <t xml:space="preserve"> [40]</t>
    </r>
    <r>
      <rPr>
        <sz val="12"/>
        <color theme="1"/>
        <rFont val="Arial"/>
        <family val="2"/>
      </rPr>
      <t xml:space="preserve"> MPa/20 in relieving slab </t>
    </r>
    <r>
      <rPr>
        <sz val="12"/>
        <color rgb="FF0000FF"/>
        <rFont val="Arial"/>
        <family val="2"/>
      </rPr>
      <t>[Abutment B]</t>
    </r>
  </si>
  <si>
    <r>
      <t xml:space="preserve">Supply and installation of </t>
    </r>
    <r>
      <rPr>
        <sz val="12"/>
        <color rgb="FF0000FF"/>
        <rFont val="Arial"/>
        <family val="2"/>
      </rPr>
      <t>[3]</t>
    </r>
    <r>
      <rPr>
        <sz val="12"/>
        <color theme="1"/>
        <rFont val="Arial"/>
        <family val="2"/>
      </rPr>
      <t xml:space="preserve"> of </t>
    </r>
    <r>
      <rPr>
        <sz val="12"/>
        <color rgb="FF0000FF"/>
        <rFont val="Arial"/>
        <family val="2"/>
      </rPr>
      <t>[50]</t>
    </r>
    <r>
      <rPr>
        <sz val="12"/>
        <color theme="1"/>
        <rFont val="Arial"/>
        <family val="2"/>
      </rPr>
      <t xml:space="preserve"> mm,</t>
    </r>
    <r>
      <rPr>
        <sz val="12"/>
        <color rgb="FF0000FF"/>
        <rFont val="Arial"/>
        <family val="2"/>
      </rPr>
      <t xml:space="preserve"> [HD], [electrical]</t>
    </r>
    <r>
      <rPr>
        <sz val="12"/>
        <color theme="1"/>
        <rFont val="Arial"/>
        <family val="2"/>
      </rPr>
      <t xml:space="preserve"> conduit(s) in concrete structure / barrier </t>
    </r>
  </si>
  <si>
    <r>
      <t xml:space="preserve">Supply and installation of </t>
    </r>
    <r>
      <rPr>
        <sz val="12"/>
        <color rgb="FF0000FF"/>
        <rFont val="Arial"/>
        <family val="2"/>
      </rPr>
      <t>[1]</t>
    </r>
    <r>
      <rPr>
        <sz val="12"/>
        <color theme="1"/>
        <rFont val="Arial"/>
        <family val="2"/>
      </rPr>
      <t xml:space="preserve"> of </t>
    </r>
    <r>
      <rPr>
        <sz val="12"/>
        <color rgb="FF0000FF"/>
        <rFont val="Arial"/>
        <family val="2"/>
      </rPr>
      <t>[50]</t>
    </r>
    <r>
      <rPr>
        <sz val="12"/>
        <color theme="1"/>
        <rFont val="Arial"/>
        <family val="2"/>
      </rPr>
      <t xml:space="preserve"> mm, </t>
    </r>
    <r>
      <rPr>
        <sz val="12"/>
        <color rgb="FF0000FF"/>
        <rFont val="Arial"/>
        <family val="2"/>
      </rPr>
      <t>[HD], [comms/spare]</t>
    </r>
    <r>
      <rPr>
        <sz val="12"/>
        <color theme="1"/>
        <rFont val="Arial"/>
        <family val="2"/>
      </rPr>
      <t xml:space="preserve"> conduit(s) in concrete structure / barrier</t>
    </r>
  </si>
  <si>
    <t>63301.01P</t>
  </si>
  <si>
    <t>61502.01P</t>
  </si>
  <si>
    <t>61551.01P</t>
  </si>
  <si>
    <r>
      <t xml:space="preserve">Supply and installation of </t>
    </r>
    <r>
      <rPr>
        <sz val="12"/>
        <color rgb="FF0000FF"/>
        <rFont val="Arial"/>
        <family val="2"/>
      </rPr>
      <t>[1]</t>
    </r>
    <r>
      <rPr>
        <sz val="12"/>
        <color theme="1"/>
        <rFont val="Arial"/>
        <family val="2"/>
      </rPr>
      <t xml:space="preserve"> of </t>
    </r>
    <r>
      <rPr>
        <sz val="12"/>
        <color rgb="FF0000FF"/>
        <rFont val="Arial"/>
        <family val="2"/>
      </rPr>
      <t>[50]</t>
    </r>
    <r>
      <rPr>
        <sz val="12"/>
        <color theme="1"/>
        <rFont val="Arial"/>
        <family val="2"/>
      </rPr>
      <t xml:space="preserve"> mm,</t>
    </r>
    <r>
      <rPr>
        <sz val="12"/>
        <color rgb="FF0000FF"/>
        <rFont val="Arial"/>
        <family val="2"/>
      </rPr>
      <t xml:space="preserve"> [HD], [electrical]</t>
    </r>
    <r>
      <rPr>
        <sz val="12"/>
        <color theme="1"/>
        <rFont val="Arial"/>
        <family val="2"/>
      </rPr>
      <t xml:space="preserve"> conduit(s) in concrete structure / barrier </t>
    </r>
  </si>
  <si>
    <r>
      <t xml:space="preserve">Supply and installation of </t>
    </r>
    <r>
      <rPr>
        <sz val="12"/>
        <color rgb="FF0000FF"/>
        <rFont val="Arial"/>
        <family val="2"/>
      </rPr>
      <t>[2]</t>
    </r>
    <r>
      <rPr>
        <sz val="12"/>
        <color theme="1"/>
        <rFont val="Arial"/>
        <family val="2"/>
      </rPr>
      <t xml:space="preserve"> of </t>
    </r>
    <r>
      <rPr>
        <sz val="12"/>
        <color rgb="FF0000FF"/>
        <rFont val="Arial"/>
        <family val="2"/>
      </rPr>
      <t>[50]</t>
    </r>
    <r>
      <rPr>
        <sz val="12"/>
        <color theme="1"/>
        <rFont val="Arial"/>
        <family val="2"/>
      </rPr>
      <t xml:space="preserve"> mm,</t>
    </r>
    <r>
      <rPr>
        <sz val="12"/>
        <color rgb="FF0000FF"/>
        <rFont val="Arial"/>
        <family val="2"/>
      </rPr>
      <t xml:space="preserve"> [HD], [electrical]</t>
    </r>
    <r>
      <rPr>
        <sz val="12"/>
        <color theme="1"/>
        <rFont val="Arial"/>
        <family val="2"/>
      </rPr>
      <t xml:space="preserve"> conduit(s) in concrete structure / barrier </t>
    </r>
  </si>
  <si>
    <r>
      <t>Supply and installation of cable jointing pit</t>
    </r>
    <r>
      <rPr>
        <sz val="12"/>
        <color rgb="FF0000FF"/>
        <rFont val="Arial"/>
        <family val="2"/>
      </rPr>
      <t xml:space="preserve"> [Type 4 pit with class B lid]</t>
    </r>
  </si>
  <si>
    <r>
      <t>Concrete Class</t>
    </r>
    <r>
      <rPr>
        <sz val="12"/>
        <color rgb="FF0000FF"/>
        <rFont val="Arial"/>
        <family val="2"/>
      </rPr>
      <t xml:space="preserve"> [40]</t>
    </r>
    <r>
      <rPr>
        <sz val="12"/>
        <color theme="1"/>
        <rFont val="Arial"/>
        <family val="2"/>
      </rPr>
      <t xml:space="preserve"> MPa/20 in abutment above </t>
    </r>
    <r>
      <rPr>
        <sz val="12"/>
        <color rgb="FF0000FF"/>
        <rFont val="Arial"/>
        <family val="2"/>
      </rPr>
      <t>[cast-in-place pile]</t>
    </r>
    <r>
      <rPr>
        <sz val="12"/>
        <color theme="1"/>
        <rFont val="Arial"/>
        <family val="2"/>
      </rPr>
      <t xml:space="preserve"> excluding parapet terminal </t>
    </r>
    <r>
      <rPr>
        <sz val="12"/>
        <color rgb="FF0000FF"/>
        <rFont val="Arial"/>
        <family val="2"/>
      </rPr>
      <t>[Abutment B Wingwall]</t>
    </r>
  </si>
  <si>
    <r>
      <t>Concrete Class</t>
    </r>
    <r>
      <rPr>
        <sz val="12"/>
        <color rgb="FF0000FF"/>
        <rFont val="Arial"/>
        <family val="2"/>
      </rPr>
      <t xml:space="preserve"> [40]</t>
    </r>
    <r>
      <rPr>
        <sz val="12"/>
        <color theme="1"/>
        <rFont val="Arial"/>
        <family val="2"/>
      </rPr>
      <t xml:space="preserve"> MPa/20 in abutment above </t>
    </r>
    <r>
      <rPr>
        <sz val="12"/>
        <color rgb="FF0000FF"/>
        <rFont val="Arial"/>
        <family val="2"/>
      </rPr>
      <t>[cast-in-place pile]</t>
    </r>
    <r>
      <rPr>
        <sz val="12"/>
        <color theme="1"/>
        <rFont val="Arial"/>
        <family val="2"/>
      </rPr>
      <t xml:space="preserve"> excluding parapet terminal </t>
    </r>
    <r>
      <rPr>
        <sz val="12"/>
        <color rgb="FF0000FF"/>
        <rFont val="Arial"/>
        <family val="2"/>
      </rPr>
      <t>[Abutment C Wingwall]</t>
    </r>
  </si>
  <si>
    <r>
      <t>Concrete Class</t>
    </r>
    <r>
      <rPr>
        <sz val="12"/>
        <color rgb="FF0000FF"/>
        <rFont val="Arial"/>
        <family val="2"/>
      </rPr>
      <t xml:space="preserve"> [40]</t>
    </r>
    <r>
      <rPr>
        <sz val="12"/>
        <color theme="1"/>
        <rFont val="Arial"/>
        <family val="2"/>
      </rPr>
      <t xml:space="preserve"> MPa/20 in relieving slab </t>
    </r>
    <r>
      <rPr>
        <sz val="12"/>
        <color rgb="FF0000FF"/>
        <rFont val="Arial"/>
        <family val="2"/>
      </rPr>
      <t>[Abutment C]</t>
    </r>
  </si>
  <si>
    <r>
      <t>Concrete Class</t>
    </r>
    <r>
      <rPr>
        <sz val="12"/>
        <color rgb="FF0000FF"/>
        <rFont val="Arial"/>
        <family val="2"/>
      </rPr>
      <t xml:space="preserve"> [compressive strength] </t>
    </r>
    <r>
      <rPr>
        <sz val="12"/>
        <color theme="1"/>
        <rFont val="Arial"/>
        <family val="2"/>
      </rPr>
      <t xml:space="preserve">MPa/20 in abutment footing </t>
    </r>
    <r>
      <rPr>
        <sz val="12"/>
        <color rgb="FF0000FF"/>
        <rFont val="Arial"/>
        <family val="2"/>
      </rPr>
      <t>[Abutment B]</t>
    </r>
  </si>
  <si>
    <r>
      <t>Concrete Class</t>
    </r>
    <r>
      <rPr>
        <sz val="12"/>
        <color rgb="FF0000FF"/>
        <rFont val="Arial"/>
        <family val="2"/>
      </rPr>
      <t xml:space="preserve"> [compressive strength] </t>
    </r>
    <r>
      <rPr>
        <sz val="12"/>
        <color theme="1"/>
        <rFont val="Arial"/>
        <family val="2"/>
      </rPr>
      <t xml:space="preserve">MPa/20 in abutment footing </t>
    </r>
    <r>
      <rPr>
        <sz val="12"/>
        <color rgb="FF0000FF"/>
        <rFont val="Arial"/>
        <family val="2"/>
      </rPr>
      <t>[Abutment C]</t>
    </r>
  </si>
  <si>
    <t>9009.01S</t>
  </si>
  <si>
    <r>
      <t xml:space="preserve">Road lighting pole footing, </t>
    </r>
    <r>
      <rPr>
        <sz val="12"/>
        <color rgb="FF0000FF"/>
        <rFont val="Arial"/>
        <family val="2"/>
      </rPr>
      <t>[600]</t>
    </r>
    <r>
      <rPr>
        <sz val="12"/>
        <color theme="1"/>
        <rFont val="Arial"/>
        <family val="2"/>
      </rPr>
      <t xml:space="preserve"> mm diameter</t>
    </r>
  </si>
  <si>
    <r>
      <t>Supply and installation of cable jointing pit lid</t>
    </r>
    <r>
      <rPr>
        <sz val="12"/>
        <color rgb="FF0000FF"/>
        <rFont val="Arial"/>
        <family val="2"/>
      </rPr>
      <t xml:space="preserve"> [Aco class D infill lid in bridge access hatch]</t>
    </r>
  </si>
  <si>
    <r>
      <t>Installation of planting</t>
    </r>
    <r>
      <rPr>
        <sz val="12"/>
        <color rgb="FF0000FF"/>
        <rFont val="Arial"/>
        <family val="2"/>
      </rPr>
      <t xml:space="preserve"> [tubestock pots] - Lomandra hystrix</t>
    </r>
  </si>
  <si>
    <r>
      <t>Installation of planting</t>
    </r>
    <r>
      <rPr>
        <sz val="12"/>
        <color rgb="FF0000FF"/>
        <rFont val="Arial"/>
        <family val="2"/>
      </rPr>
      <t xml:space="preserve"> [tubestock pots] - Juncus Usitatus</t>
    </r>
  </si>
  <si>
    <r>
      <t>Installation of planting</t>
    </r>
    <r>
      <rPr>
        <sz val="12"/>
        <color rgb="FF0000FF"/>
        <rFont val="Arial"/>
        <family val="2"/>
      </rPr>
      <t xml:space="preserve"> [140mm pots] - Liriope evergreen</t>
    </r>
  </si>
  <si>
    <r>
      <t>Installation of planting vine</t>
    </r>
    <r>
      <rPr>
        <sz val="12"/>
        <color rgb="FF0000FF"/>
        <rFont val="Arial"/>
        <family val="2"/>
      </rPr>
      <t xml:space="preserve"> [140mm pots] - Ficus pumila</t>
    </r>
  </si>
  <si>
    <r>
      <rPr>
        <sz val="12"/>
        <rFont val="Arial"/>
        <family val="2"/>
      </rPr>
      <t>Supply and install park seat</t>
    </r>
    <r>
      <rPr>
        <sz val="12"/>
        <color rgb="FF0000FF"/>
        <rFont val="Arial"/>
        <family val="2"/>
      </rPr>
      <t xml:space="preserve"> [BSD-7201-01 to 10]</t>
    </r>
    <r>
      <rPr>
        <sz val="12"/>
        <rFont val="Arial"/>
        <family val="2"/>
      </rPr>
      <t xml:space="preserve"> or an approved equivalent. (Refer CTS14)</t>
    </r>
  </si>
  <si>
    <t>Beaking back existing concrete [Path from wall]</t>
  </si>
  <si>
    <r>
      <t xml:space="preserve">Supply and placement of imported organic coloured mulch - </t>
    </r>
    <r>
      <rPr>
        <sz val="12"/>
        <color rgb="FF0000FF"/>
        <rFont val="Arial"/>
        <family val="2"/>
      </rPr>
      <t>[Pine bark]</t>
    </r>
    <r>
      <rPr>
        <sz val="12"/>
        <color theme="1"/>
        <rFont val="Arial"/>
        <family val="2"/>
      </rPr>
      <t xml:space="preserve"> (Refer CTS16) to Planting Verge areas</t>
    </r>
  </si>
  <si>
    <t xml:space="preserve">item </t>
  </si>
  <si>
    <r>
      <t xml:space="preserve">Spreading of </t>
    </r>
    <r>
      <rPr>
        <sz val="12"/>
        <color rgb="FF0000FF"/>
        <rFont val="Arial"/>
        <family val="2"/>
      </rPr>
      <t>[fertiliser, type]</t>
    </r>
    <r>
      <rPr>
        <sz val="12"/>
        <color theme="1"/>
        <rFont val="Arial"/>
        <family val="2"/>
      </rPr>
      <t xml:space="preserve"> prior to ground preparation (Provisional Quantity, if ordered) (Refer CTS16) - turf  in accordance with BCC standard drawing BSD-9051 (Refer CTS16) Order as required </t>
    </r>
  </si>
  <si>
    <t>50651.02P</t>
  </si>
  <si>
    <t>50652.03P</t>
  </si>
  <si>
    <r>
      <t xml:space="preserve">Spreading of </t>
    </r>
    <r>
      <rPr>
        <sz val="12"/>
        <color rgb="FF0000FF"/>
        <rFont val="Arial"/>
        <family val="2"/>
      </rPr>
      <t>[gypsum | lime | dolomite]</t>
    </r>
    <r>
      <rPr>
        <sz val="12"/>
        <color theme="1"/>
        <rFont val="Arial"/>
        <family val="2"/>
      </rPr>
      <t xml:space="preserve"> prior to ground preparation  to subgrade (Provisional Quantity, if ordered) (Refer CTS16) - in accordance with BCC standard drawing BSD-9051 (Refer CTS16) Order as required </t>
    </r>
  </si>
  <si>
    <r>
      <t xml:space="preserve">Spreading of </t>
    </r>
    <r>
      <rPr>
        <sz val="12"/>
        <color rgb="FF0000FF"/>
        <rFont val="Arial"/>
        <family val="2"/>
      </rPr>
      <t>[gypsum | lime | dolomite]</t>
    </r>
    <r>
      <rPr>
        <sz val="12"/>
        <color theme="1"/>
        <rFont val="Arial"/>
        <family val="2"/>
      </rPr>
      <t xml:space="preserve"> prior to ground preparation  to topsoil (Provisional Quantity, if ordered) (Refer CTS16) - in accordance with BCC standard drawing BSD-9051 (Refer CTS16) Order as required </t>
    </r>
  </si>
  <si>
    <r>
      <t xml:space="preserve">Spreading of </t>
    </r>
    <r>
      <rPr>
        <sz val="12"/>
        <color rgb="FF0000FF"/>
        <rFont val="Arial"/>
        <family val="2"/>
      </rPr>
      <t>[fertiliser, type]</t>
    </r>
    <r>
      <rPr>
        <sz val="12"/>
        <color theme="1"/>
        <rFont val="Arial"/>
        <family val="2"/>
      </rPr>
      <t xml:space="preserve"> prior to ground preparation (Provisional Quantity, if ordered) (Refer CTS16) - Planting Verge and battered slope  in accordance with BCC standard drawing BSD-9051 (Refer CTS16) Order as required </t>
    </r>
  </si>
  <si>
    <t>90801.02PS</t>
  </si>
  <si>
    <t xml:space="preserve">pellets </t>
  </si>
  <si>
    <t>90803.02PS</t>
  </si>
  <si>
    <t>Supply of regulatory, warning and hazard sign faces, [R8-2A]</t>
  </si>
  <si>
    <t>Supply of regulatory, warning and hazard sign faces, [R7-4A]</t>
  </si>
  <si>
    <t>Supply of regulatory, warning and hazard sign faces, [R1-2A]</t>
  </si>
  <si>
    <t>Supply of regulatory, warning and hazard sign faces, [TC1600A]</t>
  </si>
  <si>
    <t>Supply of regulatory, warning and hazard sign faces, [TC1231A(L)]</t>
  </si>
  <si>
    <t>Supply of regulatory, warning and hazard sign faces, [W6-8A]</t>
  </si>
  <si>
    <t>Supply of regulatory, warning and hazard sign faces, [R8-3A]</t>
  </si>
  <si>
    <t>Installation of regulatory, warning and hazard signs, [number of posts]</t>
  </si>
  <si>
    <t>Supply and place reinforcing mesh [Concrete Path, SL72] (MRS40 Jul 17)</t>
  </si>
  <si>
    <t>Supply and place reinforcing mesh [Vehicular Crossover, SL82] (MRS40 Jul 17)</t>
  </si>
  <si>
    <t>Supply and place concrete in jointed reinforced base [Concrete Pavement, Type 1] (MRS40 Jul 17)</t>
  </si>
  <si>
    <t>Supply and place concrete in jointed reinforced base [Vehiculary Crossover, Type 1] (MRS40 Jul 17)</t>
  </si>
  <si>
    <t>70404.07P</t>
  </si>
  <si>
    <t>70404.02P</t>
  </si>
  <si>
    <t>70404.09P</t>
  </si>
  <si>
    <t>70409.07P</t>
  </si>
  <si>
    <t>70409.02P</t>
  </si>
  <si>
    <t>70409.09P</t>
  </si>
  <si>
    <t>70414.02P</t>
  </si>
  <si>
    <t>70413.05P</t>
  </si>
  <si>
    <t>70413.07P</t>
  </si>
  <si>
    <r>
      <t>Concrete Class</t>
    </r>
    <r>
      <rPr>
        <sz val="12"/>
        <color rgb="FF0000FF"/>
        <rFont val="Arial"/>
        <family val="2"/>
      </rPr>
      <t xml:space="preserve"> [C2 &amp; S55]</t>
    </r>
    <r>
      <rPr>
        <sz val="12"/>
        <color theme="1"/>
        <rFont val="Arial"/>
        <family val="2"/>
      </rPr>
      <t xml:space="preserve"> 55 MPa/20 in pier lined pile</t>
    </r>
  </si>
  <si>
    <r>
      <t xml:space="preserve">Break into existing drainage pipe </t>
    </r>
    <r>
      <rPr>
        <sz val="12"/>
        <color rgb="FF0000FF"/>
        <rFont val="Arial"/>
        <family val="2"/>
      </rPr>
      <t>[at Radnor St crossing]</t>
    </r>
    <r>
      <rPr>
        <sz val="12"/>
        <color theme="1"/>
        <rFont val="Arial"/>
        <family val="2"/>
      </rPr>
      <t xml:space="preserve"> and construct concrete access chamber </t>
    </r>
    <r>
      <rPr>
        <sz val="12"/>
        <color rgb="FF0000FF"/>
        <rFont val="Arial"/>
        <family val="2"/>
      </rPr>
      <t>[1050mm dia]</t>
    </r>
    <r>
      <rPr>
        <sz val="12"/>
        <color theme="1"/>
        <rFont val="Arial"/>
        <family val="2"/>
      </rPr>
      <t>.  (Refer CTS03)</t>
    </r>
  </si>
  <si>
    <r>
      <t xml:space="preserve">Installation of concrete pipe culvert components, </t>
    </r>
    <r>
      <rPr>
        <sz val="12"/>
        <color rgb="FF0000FF"/>
        <rFont val="Arial"/>
        <family val="2"/>
      </rPr>
      <t>[300]</t>
    </r>
    <r>
      <rPr>
        <sz val="12"/>
        <color theme="1"/>
        <rFont val="Arial"/>
        <family val="2"/>
      </rPr>
      <t xml:space="preserve"> mm diameter</t>
    </r>
  </si>
  <si>
    <r>
      <t xml:space="preserve">Installation of fibre reinforced concrete pipe culvert components, </t>
    </r>
    <r>
      <rPr>
        <sz val="12"/>
        <color rgb="FF0000FF"/>
        <rFont val="Arial"/>
        <family val="2"/>
      </rPr>
      <t xml:space="preserve">[450] </t>
    </r>
    <r>
      <rPr>
        <sz val="12"/>
        <color theme="1"/>
        <rFont val="Arial"/>
        <family val="2"/>
      </rPr>
      <t>mm diameter</t>
    </r>
  </si>
  <si>
    <r>
      <t xml:space="preserve">Installation of fibre reinforced concrete pipe culvert components, </t>
    </r>
    <r>
      <rPr>
        <sz val="12"/>
        <color rgb="FF0000FF"/>
        <rFont val="Arial"/>
        <family val="2"/>
      </rPr>
      <t xml:space="preserve">[525] </t>
    </r>
    <r>
      <rPr>
        <sz val="12"/>
        <color theme="1"/>
        <rFont val="Arial"/>
        <family val="2"/>
      </rPr>
      <t>mm diameter</t>
    </r>
  </si>
  <si>
    <r>
      <t xml:space="preserve">Concrete gullies, </t>
    </r>
    <r>
      <rPr>
        <sz val="12"/>
        <color rgb="FF0000FF"/>
        <rFont val="Arial"/>
        <family val="2"/>
      </rPr>
      <t>[S | on-grade kerb in line], as per BSD - 8052</t>
    </r>
  </si>
  <si>
    <r>
      <t xml:space="preserve">Concrete gullies, </t>
    </r>
    <r>
      <rPr>
        <sz val="12"/>
        <color rgb="FF0000FF"/>
        <rFont val="Arial"/>
        <family val="2"/>
      </rPr>
      <t>[L | on-grade kerb in line], as per BSD - 8052</t>
    </r>
  </si>
  <si>
    <r>
      <t xml:space="preserve">Concrete gullies, </t>
    </r>
    <r>
      <rPr>
        <sz val="12"/>
        <color rgb="FF0000FF"/>
        <rFont val="Arial"/>
        <family val="2"/>
      </rPr>
      <t>[M | sag kerb in line], as per BSD - 8052</t>
    </r>
  </si>
  <si>
    <r>
      <t xml:space="preserve">Concrete access chambers, </t>
    </r>
    <r>
      <rPr>
        <sz val="12"/>
        <color rgb="FF0000FF"/>
        <rFont val="Arial"/>
        <family val="2"/>
      </rPr>
      <t>[1050mm | manholes], as per BSD - 8021</t>
    </r>
  </si>
  <si>
    <r>
      <t xml:space="preserve">Concrete access chambers, </t>
    </r>
    <r>
      <rPr>
        <sz val="12"/>
        <color rgb="FF0000FF"/>
        <rFont val="Arial"/>
        <family val="2"/>
      </rPr>
      <t>[1200mm | manholes], as per BSD - 8021</t>
    </r>
  </si>
  <si>
    <r>
      <t xml:space="preserve">Installation, jointing and termination of underground road lighting cable, </t>
    </r>
    <r>
      <rPr>
        <sz val="12"/>
        <color rgb="FF0000FF"/>
        <rFont val="Arial"/>
        <family val="2"/>
      </rPr>
      <t>[2C+E]</t>
    </r>
  </si>
  <si>
    <r>
      <t xml:space="preserve">Concrete retaining wall, concrete in footing, </t>
    </r>
    <r>
      <rPr>
        <sz val="12"/>
        <color rgb="FF0000FF"/>
        <rFont val="Arial"/>
        <family val="2"/>
      </rPr>
      <t>[retaining wall | MW01]</t>
    </r>
  </si>
  <si>
    <r>
      <t xml:space="preserve">Concrete retaining wall, concrete in wall, </t>
    </r>
    <r>
      <rPr>
        <sz val="12"/>
        <color rgb="FF0000FF"/>
        <rFont val="Arial"/>
        <family val="2"/>
      </rPr>
      <t>[retaining wall | MW01]</t>
    </r>
  </si>
  <si>
    <r>
      <t xml:space="preserve">Concrete retaining wall, concrete in wall, </t>
    </r>
    <r>
      <rPr>
        <sz val="12"/>
        <color rgb="FF0000FF"/>
        <rFont val="Arial"/>
        <family val="2"/>
      </rPr>
      <t>[cantilever slab | MCA02]</t>
    </r>
  </si>
  <si>
    <t>72009.03S</t>
  </si>
  <si>
    <t>72009.02S</t>
  </si>
  <si>
    <r>
      <t xml:space="preserve">Reinforcing steel in relieving slabs </t>
    </r>
    <r>
      <rPr>
        <sz val="12"/>
        <color rgb="FF0000FF"/>
        <rFont val="Arial"/>
        <family val="2"/>
      </rPr>
      <t>[galvanised and taped]</t>
    </r>
  </si>
  <si>
    <r>
      <t>Reinforcing steel in relieving slabs</t>
    </r>
    <r>
      <rPr>
        <sz val="12"/>
        <color rgb="FF0000FF"/>
        <rFont val="Arial"/>
        <family val="2"/>
      </rPr>
      <t xml:space="preserve"> [galvanised]</t>
    </r>
  </si>
  <si>
    <t>9002.01S</t>
  </si>
  <si>
    <r>
      <t xml:space="preserve">Provision of </t>
    </r>
    <r>
      <rPr>
        <sz val="12"/>
        <color rgb="FF0000FF"/>
        <rFont val="Arial"/>
        <family val="2"/>
      </rPr>
      <t>[QUU]</t>
    </r>
    <r>
      <rPr>
        <sz val="12"/>
        <color theme="1"/>
        <rFont val="Arial"/>
        <family val="2"/>
      </rPr>
      <t xml:space="preserve"> supervision during PUP relocations, modifications or abandonment/removal (Refer CTS09)</t>
    </r>
  </si>
  <si>
    <t>90102.02S</t>
  </si>
  <si>
    <r>
      <t xml:space="preserve">Provision of </t>
    </r>
    <r>
      <rPr>
        <sz val="12"/>
        <color rgb="FF0000FF"/>
        <rFont val="Arial"/>
        <family val="2"/>
      </rPr>
      <t>[Telstra]</t>
    </r>
    <r>
      <rPr>
        <sz val="12"/>
        <color theme="1"/>
        <rFont val="Arial"/>
        <family val="2"/>
      </rPr>
      <t xml:space="preserve"> supervision during PUP relocations, modifications or abandonment/removal (Refer CTS09)</t>
    </r>
  </si>
  <si>
    <r>
      <t xml:space="preserve">Co-ordination of </t>
    </r>
    <r>
      <rPr>
        <sz val="12"/>
        <color rgb="FF0000FF"/>
        <rFont val="Arial"/>
        <family val="2"/>
      </rPr>
      <t>[QUU, 25mm property connection]</t>
    </r>
    <r>
      <rPr>
        <sz val="12"/>
        <color theme="1"/>
        <rFont val="Arial"/>
        <family val="2"/>
      </rPr>
      <t xml:space="preserve"> regarding </t>
    </r>
    <r>
      <rPr>
        <sz val="12"/>
        <color rgb="FF0000FF"/>
        <rFont val="Arial"/>
        <family val="2"/>
      </rPr>
      <t>[relocation to suit revised property boundary and path level]</t>
    </r>
    <r>
      <rPr>
        <sz val="12"/>
        <color theme="1"/>
        <rFont val="Arial"/>
        <family val="2"/>
      </rPr>
      <t>. (Refer CTS09)</t>
    </r>
  </si>
  <si>
    <t>90103.02SP</t>
  </si>
  <si>
    <r>
      <t xml:space="preserve">Co-ordination of </t>
    </r>
    <r>
      <rPr>
        <sz val="12"/>
        <color rgb="FF0000FF"/>
        <rFont val="Arial"/>
        <family val="2"/>
      </rPr>
      <t>[QUU, 100mm diameter reticulation main]</t>
    </r>
    <r>
      <rPr>
        <sz val="12"/>
        <color theme="1"/>
        <rFont val="Arial"/>
        <family val="2"/>
      </rPr>
      <t xml:space="preserve"> regarding </t>
    </r>
    <r>
      <rPr>
        <sz val="12"/>
        <color rgb="FF0000FF"/>
        <rFont val="Arial"/>
        <family val="2"/>
      </rPr>
      <t>[relocation to suit new path level]</t>
    </r>
    <r>
      <rPr>
        <sz val="12"/>
        <color theme="1"/>
        <rFont val="Arial"/>
        <family val="2"/>
      </rPr>
      <t>. (Refer CTS09) (Provisional Item, if ordered)</t>
    </r>
  </si>
  <si>
    <t>90103.03S</t>
  </si>
  <si>
    <r>
      <t xml:space="preserve">Co-ordination of </t>
    </r>
    <r>
      <rPr>
        <sz val="12"/>
        <color rgb="FF0000FF"/>
        <rFont val="Arial"/>
        <family val="2"/>
      </rPr>
      <t>[Telstra, 20mm conduits and pit]</t>
    </r>
    <r>
      <rPr>
        <sz val="12"/>
        <color theme="1"/>
        <rFont val="Arial"/>
        <family val="2"/>
      </rPr>
      <t xml:space="preserve"> regarding </t>
    </r>
    <r>
      <rPr>
        <sz val="12"/>
        <color rgb="FF0000FF"/>
        <rFont val="Arial"/>
        <family val="2"/>
      </rPr>
      <t>[relocation to suit revised property boundary and path level]</t>
    </r>
    <r>
      <rPr>
        <sz val="12"/>
        <color theme="1"/>
        <rFont val="Arial"/>
        <family val="2"/>
      </rPr>
      <t>. (Refer CTS09)</t>
    </r>
  </si>
  <si>
    <r>
      <t xml:space="preserve">Raise or lower water supply service structure in road pavement </t>
    </r>
    <r>
      <rPr>
        <sz val="12"/>
        <color rgb="FF0000FF"/>
        <rFont val="Arial"/>
        <family val="2"/>
      </rPr>
      <t>[2 No. valves, meter and fire hydrant surface boxes]</t>
    </r>
    <r>
      <rPr>
        <sz val="12"/>
        <color theme="1"/>
        <rFont val="Arial"/>
        <family val="2"/>
      </rPr>
      <t>, [PUA] (Refer CTS09)</t>
    </r>
  </si>
  <si>
    <t>90130.01SP</t>
  </si>
  <si>
    <r>
      <t xml:space="preserve">Excavation to expose underground PUP, </t>
    </r>
    <r>
      <rPr>
        <sz val="12"/>
        <color rgb="FF0000FF"/>
        <rFont val="Arial"/>
        <family val="2"/>
      </rPr>
      <t>[Telstra, QUU @ Witton Road footpath]</t>
    </r>
    <r>
      <rPr>
        <sz val="12"/>
        <color theme="1"/>
        <rFont val="Arial"/>
        <family val="2"/>
      </rPr>
      <t>. (Refer CTS09) (Provisional Quantity, as directed)</t>
    </r>
  </si>
  <si>
    <r>
      <t>Supply and fabrication of bridge balustrade,</t>
    </r>
    <r>
      <rPr>
        <sz val="12"/>
        <color rgb="FF0000FF"/>
        <rFont val="Arial"/>
        <family val="2"/>
      </rPr>
      <t xml:space="preserve"> [steel HDG]</t>
    </r>
  </si>
  <si>
    <r>
      <t xml:space="preserve">Transport and erection of bridge balustrade, </t>
    </r>
    <r>
      <rPr>
        <sz val="12"/>
        <color rgb="FF0000FF"/>
        <rFont val="Arial"/>
        <family val="2"/>
      </rPr>
      <t>[steel, HDG]</t>
    </r>
  </si>
  <si>
    <t>32407.01P</t>
  </si>
  <si>
    <r>
      <t>Lamp standard brackets</t>
    </r>
    <r>
      <rPr>
        <sz val="12"/>
        <color rgb="FF0000FF"/>
        <rFont val="Arial"/>
        <family val="2"/>
      </rPr>
      <t xml:space="preserve"> [HDG fabricated]</t>
    </r>
  </si>
  <si>
    <r>
      <t>Concrete retaining wall, steel reinforcing bar,</t>
    </r>
    <r>
      <rPr>
        <sz val="12"/>
        <color rgb="FF0000FF"/>
        <rFont val="Arial"/>
        <family val="2"/>
      </rPr>
      <t xml:space="preserve"> [retaining wall | MW01]</t>
    </r>
  </si>
  <si>
    <r>
      <t>Lane line, unbroken,</t>
    </r>
    <r>
      <rPr>
        <sz val="12"/>
        <color rgb="FF0000FF"/>
        <rFont val="Arial"/>
        <family val="2"/>
      </rPr>
      <t xml:space="preserve"> [150]</t>
    </r>
    <r>
      <rPr>
        <sz val="12"/>
        <color theme="1"/>
        <rFont val="Arial"/>
        <family val="2"/>
      </rPr>
      <t xml:space="preserve"> mm wide, colour </t>
    </r>
    <r>
      <rPr>
        <sz val="12"/>
        <color rgb="FF0000FF"/>
        <rFont val="Arial"/>
        <family val="2"/>
      </rPr>
      <t>[white]</t>
    </r>
    <r>
      <rPr>
        <sz val="12"/>
        <color theme="1"/>
        <rFont val="Arial"/>
        <family val="2"/>
      </rPr>
      <t xml:space="preserve">, material </t>
    </r>
    <r>
      <rPr>
        <sz val="12"/>
        <color rgb="FF0000FF"/>
        <rFont val="Arial"/>
        <family val="2"/>
      </rPr>
      <t>[long life]</t>
    </r>
    <r>
      <rPr>
        <sz val="12"/>
        <color theme="1"/>
        <rFont val="Arial"/>
        <family val="2"/>
      </rPr>
      <t xml:space="preserve"> (Refer CTS45)</t>
    </r>
  </si>
  <si>
    <r>
      <t xml:space="preserve">Continuity line, </t>
    </r>
    <r>
      <rPr>
        <sz val="12"/>
        <color rgb="FF0000FF"/>
        <rFont val="Arial"/>
        <family val="2"/>
      </rPr>
      <t>[200]</t>
    </r>
    <r>
      <rPr>
        <sz val="12"/>
        <color theme="1"/>
        <rFont val="Arial"/>
        <family val="2"/>
      </rPr>
      <t xml:space="preserve"> mm wide, colour</t>
    </r>
    <r>
      <rPr>
        <sz val="12"/>
        <color rgb="FF0000FF"/>
        <rFont val="Arial"/>
        <family val="2"/>
      </rPr>
      <t xml:space="preserve"> [white]</t>
    </r>
    <r>
      <rPr>
        <sz val="12"/>
        <color theme="1"/>
        <rFont val="Arial"/>
        <family val="2"/>
      </rPr>
      <t>, material</t>
    </r>
    <r>
      <rPr>
        <sz val="12"/>
        <color rgb="FF0000FF"/>
        <rFont val="Arial"/>
        <family val="2"/>
      </rPr>
      <t xml:space="preserve"> [long life]</t>
    </r>
    <r>
      <rPr>
        <sz val="12"/>
        <color theme="1"/>
        <rFont val="Arial"/>
        <family val="2"/>
      </rPr>
      <t xml:space="preserve"> (Refer CTS45)</t>
    </r>
  </si>
  <si>
    <r>
      <t>Backfill with earth backfill material to</t>
    </r>
    <r>
      <rPr>
        <sz val="12"/>
        <color rgb="FF0000FF"/>
        <rFont val="Arial"/>
        <family val="2"/>
      </rPr>
      <t xml:space="preserve"> [spillthrough at Abutment A] [Fill material Class A1]</t>
    </r>
  </si>
  <si>
    <r>
      <t>Concrete masonry retaining wall, concrete in footing,</t>
    </r>
    <r>
      <rPr>
        <sz val="12"/>
        <color rgb="FF0000FF"/>
        <rFont val="Arial"/>
        <family val="2"/>
      </rPr>
      <t xml:space="preserve"> [location | wall number]</t>
    </r>
  </si>
  <si>
    <r>
      <t xml:space="preserve">Concrete masonry retaining wall, steel reinforcing bar, </t>
    </r>
    <r>
      <rPr>
        <sz val="12"/>
        <color rgb="FF0000FF"/>
        <rFont val="Arial"/>
        <family val="2"/>
      </rPr>
      <t>[Twigg Street Connections | wall number]</t>
    </r>
  </si>
  <si>
    <r>
      <t>Removing and disposing of Asbestos Containing Material on Site</t>
    </r>
    <r>
      <rPr>
        <sz val="12"/>
        <color rgb="FF0000FF"/>
        <rFont val="Arial"/>
        <family val="2"/>
      </rPr>
      <t xml:space="preserve"> [up to 10m3 of abestos containing materials] </t>
    </r>
    <r>
      <rPr>
        <sz val="12"/>
        <rFont val="Arial"/>
        <family val="2"/>
      </rPr>
      <t>(Provisional Quantity)</t>
    </r>
  </si>
  <si>
    <r>
      <t>Backfill with sand to</t>
    </r>
    <r>
      <rPr>
        <sz val="12"/>
        <color rgb="FF0000FF"/>
        <rFont val="Arial"/>
        <family val="2"/>
      </rPr>
      <t xml:space="preserve"> [replace poor soil] </t>
    </r>
    <r>
      <rPr>
        <sz val="12"/>
        <rFont val="Arial"/>
        <family val="2"/>
      </rPr>
      <t>(Provisional Quantity)</t>
    </r>
  </si>
  <si>
    <r>
      <t xml:space="preserve">Removal of existing longitudinal line, </t>
    </r>
    <r>
      <rPr>
        <sz val="12"/>
        <color rgb="FF0000FF"/>
        <rFont val="Arial"/>
        <family val="2"/>
      </rPr>
      <t>[200]</t>
    </r>
    <r>
      <rPr>
        <sz val="12"/>
        <color theme="1"/>
        <rFont val="Arial"/>
        <family val="2"/>
      </rPr>
      <t xml:space="preserve"> mm wide, by </t>
    </r>
    <r>
      <rPr>
        <sz val="12"/>
        <color rgb="FF0000FF"/>
        <rFont val="Arial"/>
        <family val="2"/>
      </rPr>
      <t>[line grinder</t>
    </r>
    <r>
      <rPr>
        <sz val="12"/>
        <color theme="1"/>
        <rFont val="Arial"/>
        <family val="2"/>
      </rPr>
      <t>] (Refer CTS45)</t>
    </r>
  </si>
  <si>
    <r>
      <t xml:space="preserve">Removal of existing transverse lines or shapes, by </t>
    </r>
    <r>
      <rPr>
        <sz val="12"/>
        <color rgb="FF0000FF"/>
        <rFont val="Arial"/>
        <family val="2"/>
      </rPr>
      <t>[line grinder]</t>
    </r>
    <r>
      <rPr>
        <sz val="12"/>
        <color theme="1"/>
        <rFont val="Arial"/>
        <family val="2"/>
      </rPr>
      <t xml:space="preserve"> (Refer CTS45)</t>
    </r>
  </si>
  <si>
    <r>
      <t xml:space="preserve">Steel pipe liners, supply on Site </t>
    </r>
    <r>
      <rPr>
        <sz val="12"/>
        <color rgb="FF0000FF"/>
        <rFont val="Arial"/>
        <family val="2"/>
      </rPr>
      <t>[1500mm dia x 16thk] [Piers]</t>
    </r>
  </si>
  <si>
    <r>
      <t xml:space="preserve">Steel pipe liners, supply on Site </t>
    </r>
    <r>
      <rPr>
        <sz val="12"/>
        <color rgb="FF0000FF"/>
        <rFont val="Arial"/>
        <family val="2"/>
      </rPr>
      <t>[600mm dia x 12thk] [Retaining wall]</t>
    </r>
  </si>
  <si>
    <r>
      <t xml:space="preserve">Steel pipe liners, supply on Site </t>
    </r>
    <r>
      <rPr>
        <sz val="12"/>
        <color rgb="FF0000FF"/>
        <rFont val="Arial"/>
        <family val="2"/>
      </rPr>
      <t>[450mm dia x 12thk] [Abutment A wingwall]</t>
    </r>
  </si>
  <si>
    <r>
      <t xml:space="preserve">Handling and pitching of steel liners </t>
    </r>
    <r>
      <rPr>
        <sz val="12"/>
        <color rgb="FF0000FF"/>
        <rFont val="Arial"/>
        <family val="2"/>
      </rPr>
      <t>[1500mm dia x 16 thk] [Piers]</t>
    </r>
  </si>
  <si>
    <r>
      <t xml:space="preserve">Handling and pitching of steel liners </t>
    </r>
    <r>
      <rPr>
        <sz val="12"/>
        <color rgb="FF0000FF"/>
        <rFont val="Arial"/>
        <family val="2"/>
      </rPr>
      <t>[600mm x 12 thk] [Retaining wall]</t>
    </r>
  </si>
  <si>
    <r>
      <t xml:space="preserve">Handling and pitching of steel liners </t>
    </r>
    <r>
      <rPr>
        <sz val="12"/>
        <color rgb="FF0000FF"/>
        <rFont val="Arial"/>
        <family val="2"/>
      </rPr>
      <t>[450mm x 12 thk] [Abutment A wingwall]</t>
    </r>
  </si>
  <si>
    <r>
      <t xml:space="preserve">Driving steel liners </t>
    </r>
    <r>
      <rPr>
        <sz val="12"/>
        <color rgb="FF0000FF"/>
        <rFont val="Arial"/>
        <family val="2"/>
      </rPr>
      <t>[1500mm x 16 thk] [Piers]</t>
    </r>
  </si>
  <si>
    <r>
      <t xml:space="preserve">Driving steel liners </t>
    </r>
    <r>
      <rPr>
        <sz val="12"/>
        <color rgb="FF0000FF"/>
        <rFont val="Arial"/>
        <family val="2"/>
      </rPr>
      <t>[600mm x 12 thk] [Retaining wall]</t>
    </r>
  </si>
  <si>
    <r>
      <t xml:space="preserve">Driving steel liners </t>
    </r>
    <r>
      <rPr>
        <sz val="12"/>
        <color rgb="FF0000FF"/>
        <rFont val="Arial"/>
        <family val="2"/>
      </rPr>
      <t>[450mm x 12 thk] [Abutment A wingwall]</t>
    </r>
  </si>
  <si>
    <r>
      <t xml:space="preserve">Excavation of liners </t>
    </r>
    <r>
      <rPr>
        <sz val="12"/>
        <color rgb="FF0000FF"/>
        <rFont val="Arial"/>
        <family val="2"/>
      </rPr>
      <t>[1500mm x 16 thk] [Piers]</t>
    </r>
  </si>
  <si>
    <r>
      <t xml:space="preserve">Excavation of liners </t>
    </r>
    <r>
      <rPr>
        <sz val="12"/>
        <color rgb="FF0000FF"/>
        <rFont val="Arial"/>
        <family val="2"/>
      </rPr>
      <t>[600mm x 12 thk] [Retaining wall]</t>
    </r>
  </si>
  <si>
    <r>
      <t xml:space="preserve">Excavation of liners </t>
    </r>
    <r>
      <rPr>
        <sz val="12"/>
        <color rgb="FF0000FF"/>
        <rFont val="Arial"/>
        <family val="2"/>
      </rPr>
      <t>[450mm x 12 thk] [Abutment A wingwall]</t>
    </r>
  </si>
  <si>
    <r>
      <t xml:space="preserve">Excavation below toes of liners </t>
    </r>
    <r>
      <rPr>
        <sz val="12"/>
        <color rgb="FF0000FF"/>
        <rFont val="Arial"/>
        <family val="2"/>
      </rPr>
      <t>[1500mm x 16 thk] [Piers]</t>
    </r>
  </si>
  <si>
    <r>
      <t xml:space="preserve">Excavation below toes of liners </t>
    </r>
    <r>
      <rPr>
        <sz val="12"/>
        <color rgb="FF0000FF"/>
        <rFont val="Arial"/>
        <family val="2"/>
      </rPr>
      <t>[600mm x 12 thk] [Retaining wall]</t>
    </r>
  </si>
  <si>
    <r>
      <t xml:space="preserve">Excavation below toes of liners </t>
    </r>
    <r>
      <rPr>
        <sz val="12"/>
        <color rgb="FF0000FF"/>
        <rFont val="Arial"/>
        <family val="2"/>
      </rPr>
      <t>[450mm x 12 thk] [Abutment A wingwall]</t>
    </r>
  </si>
  <si>
    <r>
      <t xml:space="preserve">Certification of pile capacity </t>
    </r>
    <r>
      <rPr>
        <sz val="12"/>
        <color rgb="FF0000FF"/>
        <rFont val="Arial"/>
        <family val="2"/>
      </rPr>
      <t>[1500mm x 16 thk] [Piers]</t>
    </r>
  </si>
  <si>
    <r>
      <t>Certification of pile capacity</t>
    </r>
    <r>
      <rPr>
        <sz val="12"/>
        <color rgb="FF0000FF"/>
        <rFont val="Arial"/>
        <family val="2"/>
      </rPr>
      <t xml:space="preserve"> [600mm piles] [Retaining Wall]</t>
    </r>
  </si>
  <si>
    <r>
      <t>Certification of pile capacity</t>
    </r>
    <r>
      <rPr>
        <sz val="12"/>
        <color rgb="FF0000FF"/>
        <rFont val="Arial"/>
        <family val="2"/>
      </rPr>
      <t xml:space="preserve"> [450mm piles] [Abutment A wingwall]</t>
    </r>
  </si>
  <si>
    <r>
      <t xml:space="preserve">Concrete Class </t>
    </r>
    <r>
      <rPr>
        <sz val="12"/>
        <color rgb="FF0000FF"/>
        <rFont val="Arial"/>
        <family val="2"/>
      </rPr>
      <t>[C2 &amp; S55]</t>
    </r>
    <r>
      <rPr>
        <sz val="12"/>
        <rFont val="Arial"/>
        <family val="2"/>
      </rPr>
      <t xml:space="preserve"> 55 MPa/20 in abutment lined pile </t>
    </r>
    <r>
      <rPr>
        <sz val="12"/>
        <color rgb="FF0000FF"/>
        <rFont val="Arial"/>
        <family val="2"/>
      </rPr>
      <t>[Retaining wall]</t>
    </r>
  </si>
  <si>
    <r>
      <t xml:space="preserve">Concrete Class </t>
    </r>
    <r>
      <rPr>
        <sz val="12"/>
        <color rgb="FF0000FF"/>
        <rFont val="Arial"/>
        <family val="2"/>
      </rPr>
      <t>[C2 &amp; S55]</t>
    </r>
    <r>
      <rPr>
        <sz val="12"/>
        <rFont val="Arial"/>
        <family val="2"/>
      </rPr>
      <t xml:space="preserve"> 55 MPa/20 in </t>
    </r>
    <r>
      <rPr>
        <sz val="12"/>
        <color rgb="FF0000FF"/>
        <rFont val="Arial"/>
        <family val="2"/>
      </rPr>
      <t>[Abutment A wingwall]</t>
    </r>
    <r>
      <rPr>
        <sz val="12"/>
        <rFont val="Arial"/>
        <family val="2"/>
      </rPr>
      <t xml:space="preserve"> lined pile</t>
    </r>
  </si>
  <si>
    <t>Monitoring period</t>
  </si>
  <si>
    <t>90713.02S</t>
  </si>
  <si>
    <r>
      <t xml:space="preserve">Supply and installation of switching equipment and/or switchboards in steel poles for the control of lighting circuits (Refer CTS94) </t>
    </r>
    <r>
      <rPr>
        <sz val="12"/>
        <color rgb="FF0000FF"/>
        <rFont val="Arial"/>
        <family val="2"/>
      </rPr>
      <t>[600 x 1000 x 300 pedestal mounted, IP66, lockable door and ancillary equipment]</t>
    </r>
  </si>
  <si>
    <r>
      <t xml:space="preserve">Stone pitched retaining wall bases, </t>
    </r>
    <r>
      <rPr>
        <sz val="12"/>
        <color rgb="FF0000FF"/>
        <rFont val="Arial"/>
        <family val="2"/>
      </rPr>
      <t>[8 Twigg St / ICC boundary]</t>
    </r>
    <r>
      <rPr>
        <sz val="12"/>
        <color theme="1"/>
        <rFont val="Arial"/>
        <family val="2"/>
      </rPr>
      <t xml:space="preserve"> in accordance with BCC standard drawing BSD-2221 (Refer CTS03)</t>
    </r>
  </si>
  <si>
    <r>
      <t xml:space="preserve">Stone pitched retaining walls, </t>
    </r>
    <r>
      <rPr>
        <sz val="12"/>
        <color rgb="FF0000FF"/>
        <rFont val="Arial"/>
        <family val="2"/>
      </rPr>
      <t>[8 Twigg St / ICC boundary]</t>
    </r>
    <r>
      <rPr>
        <sz val="12"/>
        <color theme="1"/>
        <rFont val="Arial"/>
        <family val="2"/>
      </rPr>
      <t xml:space="preserve"> in accordance with BCC standard drawing BSD-2221 (Refer CTS03)</t>
    </r>
  </si>
  <si>
    <t>30805.01P</t>
  </si>
  <si>
    <r>
      <t xml:space="preserve">Supply and place concrete in continuously reinforced base </t>
    </r>
    <r>
      <rPr>
        <sz val="12"/>
        <color rgb="FF0000FF"/>
        <rFont val="Arial"/>
        <family val="2"/>
      </rPr>
      <t>[location]</t>
    </r>
  </si>
  <si>
    <t>30811.01P</t>
  </si>
  <si>
    <t>not used</t>
  </si>
  <si>
    <r>
      <t xml:space="preserve">Precast concrete kerb blocks, </t>
    </r>
    <r>
      <rPr>
        <sz val="12"/>
        <color rgb="FF0000FF"/>
        <rFont val="Arial"/>
        <family val="2"/>
      </rPr>
      <t>[type]</t>
    </r>
  </si>
  <si>
    <r>
      <t xml:space="preserve">Precast concrete channel blocks, </t>
    </r>
    <r>
      <rPr>
        <sz val="12"/>
        <color rgb="FF0000FF"/>
        <rFont val="Arial"/>
        <family val="2"/>
      </rPr>
      <t>[type]</t>
    </r>
  </si>
  <si>
    <r>
      <t xml:space="preserve">Precast concrete kerb and channel blocks, </t>
    </r>
    <r>
      <rPr>
        <sz val="12"/>
        <color rgb="FF0000FF"/>
        <rFont val="Arial"/>
        <family val="2"/>
      </rPr>
      <t>[type]</t>
    </r>
  </si>
  <si>
    <t>70415.02P</t>
  </si>
  <si>
    <r>
      <t xml:space="preserve">Supply and installation of switching equipment and/or switchboards in steel poles for the control of lighting circuits (Refer CTS94) </t>
    </r>
    <r>
      <rPr>
        <sz val="12"/>
        <color rgb="FF0000FF"/>
        <rFont val="Arial"/>
        <family val="2"/>
      </rPr>
      <t>[600(W) x 400(H) x 400(D) wall mounted, IP66, lockable door and ancillary equipment]</t>
    </r>
  </si>
  <si>
    <r>
      <t xml:space="preserve">Supply and installation of </t>
    </r>
    <r>
      <rPr>
        <sz val="12"/>
        <color rgb="FF0000FF"/>
        <rFont val="Arial"/>
        <family val="2"/>
      </rPr>
      <t xml:space="preserve">[1] </t>
    </r>
    <r>
      <rPr>
        <sz val="12"/>
        <color theme="1"/>
        <rFont val="Arial"/>
        <family val="2"/>
      </rPr>
      <t>of</t>
    </r>
    <r>
      <rPr>
        <sz val="12"/>
        <color rgb="FF0000FF"/>
        <rFont val="Arial"/>
        <family val="2"/>
      </rPr>
      <t xml:space="preserve"> [50]</t>
    </r>
    <r>
      <rPr>
        <sz val="12"/>
        <color theme="1"/>
        <rFont val="Arial"/>
        <family val="2"/>
      </rPr>
      <t xml:space="preserve"> mm, </t>
    </r>
    <r>
      <rPr>
        <sz val="12"/>
        <color rgb="FF0000FF"/>
        <rFont val="Arial"/>
        <family val="2"/>
      </rPr>
      <t>[HD], [electrical]</t>
    </r>
    <r>
      <rPr>
        <sz val="12"/>
        <color theme="1"/>
        <rFont val="Arial"/>
        <family val="2"/>
      </rPr>
      <t xml:space="preserve"> conduit(s)</t>
    </r>
    <r>
      <rPr>
        <sz val="12"/>
        <color theme="1"/>
        <rFont val="Arial"/>
        <family val="2"/>
      </rPr>
      <t>, in a shared trench, in</t>
    </r>
    <r>
      <rPr>
        <sz val="12"/>
        <color rgb="FF0000FF"/>
        <rFont val="Arial"/>
        <family val="2"/>
      </rPr>
      <t xml:space="preserve"> underground infill ground</t>
    </r>
  </si>
  <si>
    <r>
      <t xml:space="preserve">Supply and installation of </t>
    </r>
    <r>
      <rPr>
        <sz val="12"/>
        <color rgb="FF0000FF"/>
        <rFont val="Arial"/>
        <family val="2"/>
      </rPr>
      <t xml:space="preserve">[1] </t>
    </r>
    <r>
      <rPr>
        <sz val="12"/>
        <color theme="1"/>
        <rFont val="Arial"/>
        <family val="2"/>
      </rPr>
      <t>of</t>
    </r>
    <r>
      <rPr>
        <sz val="12"/>
        <color rgb="FF0000FF"/>
        <rFont val="Arial"/>
        <family val="2"/>
      </rPr>
      <t xml:space="preserve"> [20]</t>
    </r>
    <r>
      <rPr>
        <sz val="12"/>
        <color theme="1"/>
        <rFont val="Arial"/>
        <family val="2"/>
      </rPr>
      <t xml:space="preserve"> mm, </t>
    </r>
    <r>
      <rPr>
        <sz val="12"/>
        <color rgb="FF0000FF"/>
        <rFont val="Arial"/>
        <family val="2"/>
      </rPr>
      <t>[HD], [earthing]</t>
    </r>
    <r>
      <rPr>
        <sz val="12"/>
        <color theme="1"/>
        <rFont val="Arial"/>
        <family val="2"/>
      </rPr>
      <t xml:space="preserve"> conduit(s), in a shared trench, in</t>
    </r>
    <r>
      <rPr>
        <sz val="12"/>
        <color rgb="FF0000FF"/>
        <rFont val="Arial"/>
        <family val="2"/>
      </rPr>
      <t xml:space="preserve"> underground infill ground</t>
    </r>
  </si>
  <si>
    <r>
      <t>Installation of planting</t>
    </r>
    <r>
      <rPr>
        <sz val="12"/>
        <color rgb="FF0000FF"/>
        <rFont val="Arial"/>
        <family val="2"/>
      </rPr>
      <t xml:space="preserve"> [140mm pots] - Myoporum ellipticum</t>
    </r>
  </si>
  <si>
    <r>
      <t>Installation of planting</t>
    </r>
    <r>
      <rPr>
        <sz val="12"/>
        <color rgb="FF0000FF"/>
        <rFont val="Arial"/>
        <family val="2"/>
      </rPr>
      <t xml:space="preserve"> [140mm pots] - Dietes grandiflora</t>
    </r>
  </si>
  <si>
    <r>
      <t>Installation of planting</t>
    </r>
    <r>
      <rPr>
        <sz val="12"/>
        <color rgb="FF0000FF"/>
        <rFont val="Arial"/>
        <family val="2"/>
      </rPr>
      <t xml:space="preserve"> [200mm pots] - Westringia mundi</t>
    </r>
  </si>
  <si>
    <r>
      <t>Installation of trees</t>
    </r>
    <r>
      <rPr>
        <sz val="12"/>
        <color rgb="FF0000FF"/>
        <rFont val="Arial"/>
        <family val="2"/>
      </rPr>
      <t xml:space="preserve"> [100L pots] - Melaleuca quinquenervia</t>
    </r>
  </si>
  <si>
    <r>
      <t>Installation of trees</t>
    </r>
    <r>
      <rPr>
        <sz val="12"/>
        <color rgb="FF0000FF"/>
        <rFont val="Arial"/>
        <family val="2"/>
      </rPr>
      <t xml:space="preserve"> [45L pots] - Sabal Palm</t>
    </r>
  </si>
  <si>
    <r>
      <t xml:space="preserve">Installation of turf </t>
    </r>
    <r>
      <rPr>
        <sz val="12"/>
        <color rgb="FF0000FF"/>
        <rFont val="Arial"/>
        <family val="2"/>
      </rPr>
      <t>[Empire Zoysia]</t>
    </r>
  </si>
  <si>
    <t>50660.04P</t>
  </si>
  <si>
    <r>
      <t xml:space="preserve">Supply and installation of road lighting luminaire, </t>
    </r>
    <r>
      <rPr>
        <sz val="12"/>
        <color rgb="FF0000FF"/>
        <rFont val="Arial"/>
        <family val="2"/>
      </rPr>
      <t>[Philips - RoadFlair], [BRP391 LED60/NW 50W DWV PSD P7 ANZ]</t>
    </r>
  </si>
  <si>
    <r>
      <t>Supply and installation of pedestrian crossing floodlight,</t>
    </r>
    <r>
      <rPr>
        <sz val="12"/>
        <color rgb="FF0000FF"/>
        <rFont val="Arial"/>
        <family val="2"/>
      </rPr>
      <t xml:space="preserve"> [with]</t>
    </r>
    <r>
      <rPr>
        <sz val="12"/>
        <color theme="1"/>
        <rFont val="Arial"/>
        <family val="2"/>
      </rPr>
      <t xml:space="preserve"> louvre,</t>
    </r>
    <r>
      <rPr>
        <sz val="12"/>
        <color rgb="FF0000FF"/>
        <rFont val="Arial"/>
        <family val="2"/>
      </rPr>
      <t xml:space="preserve"> [Philips - Tango G3 LED], [Tango G3 LED flood 120W]</t>
    </r>
  </si>
  <si>
    <r>
      <t xml:space="preserve">Supply and installation of a timber pole, </t>
    </r>
    <r>
      <rPr>
        <sz val="12"/>
        <color rgb="FF0000FF"/>
        <rFont val="Arial"/>
        <family val="2"/>
      </rPr>
      <t>[10000]</t>
    </r>
    <r>
      <rPr>
        <sz val="12"/>
        <color theme="1"/>
        <rFont val="Arial"/>
        <family val="2"/>
      </rPr>
      <t xml:space="preserve"> mm vertical height, </t>
    </r>
    <r>
      <rPr>
        <sz val="12"/>
        <color rgb="FF0000FF"/>
        <rFont val="Arial"/>
        <family val="2"/>
      </rPr>
      <t>[strength rating]</t>
    </r>
    <r>
      <rPr>
        <sz val="12"/>
        <color theme="1"/>
        <rFont val="Arial"/>
        <family val="2"/>
      </rPr>
      <t xml:space="preserve"> kN with aerial supply for road lighting. (Refer CTS94)</t>
    </r>
  </si>
  <si>
    <t>Supply and installation of switching equipment and switchboards mounted on a wall [600(W) x 400(H) x 400(D), IP54 with lockable door and ancillary equipment</t>
  </si>
  <si>
    <r>
      <t xml:space="preserve">Supply and installation of </t>
    </r>
    <r>
      <rPr>
        <sz val="12"/>
        <color rgb="FF0000FF"/>
        <rFont val="Arial"/>
        <family val="2"/>
      </rPr>
      <t>[base plate mounted ]</t>
    </r>
    <r>
      <rPr>
        <sz val="12"/>
        <color theme="1"/>
        <rFont val="Arial"/>
        <family val="2"/>
      </rPr>
      <t xml:space="preserve"> </t>
    </r>
    <r>
      <rPr>
        <strike/>
        <sz val="12"/>
        <color theme="1"/>
        <rFont val="Arial"/>
        <family val="2"/>
      </rPr>
      <t>road</t>
    </r>
    <r>
      <rPr>
        <sz val="12"/>
        <color theme="1"/>
        <rFont val="Arial"/>
        <family val="2"/>
      </rPr>
      <t xml:space="preserve"> lighting pole,</t>
    </r>
    <r>
      <rPr>
        <sz val="12"/>
        <color rgb="FF0000FF"/>
        <rFont val="Arial"/>
        <family val="2"/>
      </rPr>
      <t xml:space="preserve"> [5500]</t>
    </r>
    <r>
      <rPr>
        <sz val="12"/>
        <color theme="1"/>
        <rFont val="Arial"/>
        <family val="2"/>
      </rPr>
      <t xml:space="preserve"> mm vertical height, </t>
    </r>
    <r>
      <rPr>
        <sz val="12"/>
        <color rgb="FF0000FF"/>
        <rFont val="Arial"/>
        <family val="2"/>
      </rPr>
      <t>[150]</t>
    </r>
    <r>
      <rPr>
        <sz val="12"/>
        <color theme="1"/>
        <rFont val="Arial"/>
        <family val="2"/>
      </rPr>
      <t xml:space="preserve"> mm long </t>
    </r>
    <r>
      <rPr>
        <sz val="12"/>
        <color rgb="FF0000FF"/>
        <rFont val="Arial"/>
        <family val="2"/>
      </rPr>
      <t>[single]</t>
    </r>
    <r>
      <rPr>
        <sz val="12"/>
        <color theme="1"/>
        <rFont val="Arial"/>
        <family val="2"/>
      </rPr>
      <t xml:space="preserve"> outreach arm, [</t>
    </r>
    <r>
      <rPr>
        <sz val="12"/>
        <color rgb="FF0000FF"/>
        <rFont val="Arial"/>
        <family val="2"/>
      </rPr>
      <t>without]</t>
    </r>
    <r>
      <rPr>
        <sz val="12"/>
        <color theme="1"/>
        <rFont val="Arial"/>
        <family val="2"/>
      </rPr>
      <t xml:space="preserve"> outreach arm extension </t>
    </r>
    <r>
      <rPr>
        <sz val="12"/>
        <color rgb="FF0000FF"/>
        <rFont val="Arial"/>
        <family val="2"/>
      </rPr>
      <t>[with underground cabling and IP67 junction box in pit]</t>
    </r>
  </si>
  <si>
    <r>
      <t xml:space="preserve">Supply and installation of </t>
    </r>
    <r>
      <rPr>
        <sz val="12"/>
        <color rgb="FF0000FF"/>
        <rFont val="Arial"/>
        <family val="2"/>
      </rPr>
      <t>[base plate mounted ]</t>
    </r>
    <r>
      <rPr>
        <sz val="12"/>
        <color theme="1"/>
        <rFont val="Arial"/>
        <family val="2"/>
      </rPr>
      <t xml:space="preserve"> </t>
    </r>
    <r>
      <rPr>
        <strike/>
        <sz val="12"/>
        <color theme="1"/>
        <rFont val="Arial"/>
        <family val="2"/>
      </rPr>
      <t>road</t>
    </r>
    <r>
      <rPr>
        <sz val="12"/>
        <color theme="1"/>
        <rFont val="Arial"/>
        <family val="2"/>
      </rPr>
      <t xml:space="preserve"> lighting pole,</t>
    </r>
    <r>
      <rPr>
        <sz val="12"/>
        <color rgb="FF0000FF"/>
        <rFont val="Arial"/>
        <family val="2"/>
      </rPr>
      <t xml:space="preserve"> [5500]</t>
    </r>
    <r>
      <rPr>
        <sz val="12"/>
        <color theme="1"/>
        <rFont val="Arial"/>
        <family val="2"/>
      </rPr>
      <t xml:space="preserve"> mm vertical height, </t>
    </r>
    <r>
      <rPr>
        <sz val="12"/>
        <color rgb="FF0000FF"/>
        <rFont val="Arial"/>
        <family val="2"/>
      </rPr>
      <t>[150]</t>
    </r>
    <r>
      <rPr>
        <sz val="12"/>
        <color theme="1"/>
        <rFont val="Arial"/>
        <family val="2"/>
      </rPr>
      <t xml:space="preserve"> mm long </t>
    </r>
    <r>
      <rPr>
        <sz val="12"/>
        <color rgb="FF0000FF"/>
        <rFont val="Arial"/>
        <family val="2"/>
      </rPr>
      <t>[double]</t>
    </r>
    <r>
      <rPr>
        <sz val="12"/>
        <color theme="1"/>
        <rFont val="Arial"/>
        <family val="2"/>
      </rPr>
      <t xml:space="preserve"> outreach arm, [</t>
    </r>
    <r>
      <rPr>
        <sz val="12"/>
        <color rgb="FF0000FF"/>
        <rFont val="Arial"/>
        <family val="2"/>
      </rPr>
      <t>without]</t>
    </r>
    <r>
      <rPr>
        <sz val="12"/>
        <color theme="1"/>
        <rFont val="Arial"/>
        <family val="2"/>
      </rPr>
      <t xml:space="preserve"> outreach arm extension </t>
    </r>
    <r>
      <rPr>
        <sz val="12"/>
        <color rgb="FF0000FF"/>
        <rFont val="Arial"/>
        <family val="2"/>
      </rPr>
      <t>[with underground cabling and IP67 junction box in pit]</t>
    </r>
  </si>
  <si>
    <r>
      <t xml:space="preserve">Supply of underground road lighting cable, </t>
    </r>
    <r>
      <rPr>
        <sz val="12"/>
        <color rgb="FF0000FF"/>
        <rFont val="Arial"/>
        <family val="2"/>
      </rPr>
      <t>[2.5], [2+E]</t>
    </r>
    <r>
      <rPr>
        <sz val="12"/>
        <color theme="1"/>
        <rFont val="Arial"/>
        <family val="2"/>
      </rPr>
      <t xml:space="preserve"> cores,</t>
    </r>
    <r>
      <rPr>
        <sz val="12"/>
        <color rgb="FF0000FF"/>
        <rFont val="Arial"/>
        <family val="2"/>
      </rPr>
      <t xml:space="preserve"> [PVC], [PVC], [Cu]</t>
    </r>
  </si>
  <si>
    <r>
      <t xml:space="preserve">Supply of underground road lighting cable, </t>
    </r>
    <r>
      <rPr>
        <sz val="12"/>
        <color rgb="FF0000FF"/>
        <rFont val="Arial"/>
        <family val="2"/>
      </rPr>
      <t>[6], [1]</t>
    </r>
    <r>
      <rPr>
        <sz val="12"/>
        <color theme="1"/>
        <rFont val="Arial"/>
        <family val="2"/>
      </rPr>
      <t xml:space="preserve"> cores,</t>
    </r>
    <r>
      <rPr>
        <sz val="12"/>
        <color rgb="FF0000FF"/>
        <rFont val="Arial"/>
        <family val="2"/>
      </rPr>
      <t xml:space="preserve"> [PVC], [PVC], [Cu]</t>
    </r>
  </si>
  <si>
    <t>70401.02P</t>
  </si>
  <si>
    <r>
      <t xml:space="preserve">Steel pipe liners, supply on Site </t>
    </r>
    <r>
      <rPr>
        <sz val="12"/>
        <color rgb="FF0000FF"/>
        <rFont val="Arial"/>
        <family val="2"/>
      </rPr>
      <t>[900mm dia x 12thk] [Abutment A]</t>
    </r>
  </si>
  <si>
    <r>
      <t xml:space="preserve">Steel pipe liners, supply on Site </t>
    </r>
    <r>
      <rPr>
        <sz val="12"/>
        <color rgb="FF0000FF"/>
        <rFont val="Arial"/>
        <family val="2"/>
      </rPr>
      <t>[600mm dia x 12thk] [Abutment B, C]</t>
    </r>
  </si>
  <si>
    <r>
      <t xml:space="preserve">Handling and pitching of steel liners </t>
    </r>
    <r>
      <rPr>
        <sz val="12"/>
        <color rgb="FF0000FF"/>
        <rFont val="Arial"/>
        <family val="2"/>
      </rPr>
      <t>[900mm x 12 thk] [Abutment A]</t>
    </r>
  </si>
  <si>
    <r>
      <t xml:space="preserve">Handling and pitching of steel liners </t>
    </r>
    <r>
      <rPr>
        <sz val="12"/>
        <color rgb="FF0000FF"/>
        <rFont val="Arial"/>
        <family val="2"/>
      </rPr>
      <t>[600mm x 12 thk] [Abutment B, C]</t>
    </r>
  </si>
  <si>
    <r>
      <t xml:space="preserve">Driving steel liners </t>
    </r>
    <r>
      <rPr>
        <sz val="12"/>
        <color rgb="FF0000FF"/>
        <rFont val="Arial"/>
        <family val="2"/>
      </rPr>
      <t>[900mm x 12 thk] [Abutment A]</t>
    </r>
  </si>
  <si>
    <r>
      <t xml:space="preserve">Driving steel liners </t>
    </r>
    <r>
      <rPr>
        <sz val="12"/>
        <color rgb="FF0000FF"/>
        <rFont val="Arial"/>
        <family val="2"/>
      </rPr>
      <t>[600mm x 12 thk] [Abutment B, C]</t>
    </r>
  </si>
  <si>
    <r>
      <t xml:space="preserve">Excavation of liners </t>
    </r>
    <r>
      <rPr>
        <sz val="12"/>
        <color rgb="FF0000FF"/>
        <rFont val="Arial"/>
        <family val="2"/>
      </rPr>
      <t>[900mm x 12 thk] [Abutment A]</t>
    </r>
  </si>
  <si>
    <r>
      <t xml:space="preserve">Excavation of liners </t>
    </r>
    <r>
      <rPr>
        <sz val="12"/>
        <color rgb="FF0000FF"/>
        <rFont val="Arial"/>
        <family val="2"/>
      </rPr>
      <t>[600mm x 12 thk] [Abutment B, C]</t>
    </r>
  </si>
  <si>
    <r>
      <t xml:space="preserve">Excavation below toes of liners </t>
    </r>
    <r>
      <rPr>
        <sz val="12"/>
        <color rgb="FF0000FF"/>
        <rFont val="Arial"/>
        <family val="2"/>
      </rPr>
      <t>[900mm x 12 thk] [Abutment A]</t>
    </r>
  </si>
  <si>
    <r>
      <t xml:space="preserve">Excavation below toes of liners </t>
    </r>
    <r>
      <rPr>
        <sz val="12"/>
        <color rgb="FF0000FF"/>
        <rFont val="Arial"/>
        <family val="2"/>
      </rPr>
      <t>[600mm x 12 thk] [Abutment B, C]</t>
    </r>
  </si>
  <si>
    <r>
      <t>Certification of pile capacity</t>
    </r>
    <r>
      <rPr>
        <sz val="12"/>
        <color rgb="FF0000FF"/>
        <rFont val="Arial"/>
        <family val="2"/>
      </rPr>
      <t xml:space="preserve"> [900mm piles] [Abutment A]</t>
    </r>
  </si>
  <si>
    <r>
      <t>Certification of pile capacity</t>
    </r>
    <r>
      <rPr>
        <sz val="12"/>
        <color rgb="FF0000FF"/>
        <rFont val="Arial"/>
        <family val="2"/>
      </rPr>
      <t xml:space="preserve"> [600mm piles] [Abutment B, C]</t>
    </r>
  </si>
  <si>
    <r>
      <t xml:space="preserve">Concrete Class </t>
    </r>
    <r>
      <rPr>
        <sz val="12"/>
        <color rgb="FF0000FF"/>
        <rFont val="Arial"/>
        <family val="2"/>
      </rPr>
      <t>[C2 &amp; S55]</t>
    </r>
    <r>
      <rPr>
        <sz val="12"/>
        <rFont val="Arial"/>
        <family val="2"/>
      </rPr>
      <t xml:space="preserve"> 55 MPa/20 in abutment lined pile </t>
    </r>
    <r>
      <rPr>
        <sz val="12"/>
        <color rgb="FF0000FF"/>
        <rFont val="Arial"/>
        <family val="2"/>
      </rPr>
      <t>[Abutment A]</t>
    </r>
  </si>
  <si>
    <r>
      <t xml:space="preserve">Concrete Class </t>
    </r>
    <r>
      <rPr>
        <sz val="12"/>
        <color rgb="FF0000FF"/>
        <rFont val="Arial"/>
        <family val="2"/>
      </rPr>
      <t>[C2 &amp; S55]</t>
    </r>
    <r>
      <rPr>
        <sz val="12"/>
        <rFont val="Arial"/>
        <family val="2"/>
      </rPr>
      <t xml:space="preserve"> 55 MPa/20 in abutment lined pile </t>
    </r>
    <r>
      <rPr>
        <sz val="12"/>
        <color rgb="FF0000FF"/>
        <rFont val="Arial"/>
        <family val="2"/>
      </rPr>
      <t>[Abutment B, C]</t>
    </r>
  </si>
  <si>
    <t>70401.04P</t>
  </si>
  <si>
    <t>70401.07P</t>
  </si>
  <si>
    <t>70401.09P</t>
  </si>
  <si>
    <t>70413.02P</t>
  </si>
  <si>
    <t>30810.01P</t>
  </si>
  <si>
    <t xml:space="preserve">90351.02S </t>
  </si>
  <si>
    <t>90352.02S</t>
  </si>
  <si>
    <r>
      <t>Backfill with earth backfill material to</t>
    </r>
    <r>
      <rPr>
        <sz val="12"/>
        <color rgb="FF0000FF"/>
        <rFont val="Arial"/>
        <family val="2"/>
      </rPr>
      <t xml:space="preserve"> [Radnor Street Retainign Wall, behind free draining material] [Fill material Class B]</t>
    </r>
  </si>
  <si>
    <r>
      <t>Concrete Class</t>
    </r>
    <r>
      <rPr>
        <sz val="12"/>
        <color rgb="FF0000FF"/>
        <rFont val="Arial"/>
        <family val="2"/>
      </rPr>
      <t xml:space="preserve"> [50] </t>
    </r>
    <r>
      <rPr>
        <sz val="12"/>
        <color theme="1"/>
        <rFont val="Arial"/>
        <family val="2"/>
      </rPr>
      <t>MPa/20 in insitu kerb</t>
    </r>
  </si>
  <si>
    <t>72008.01S</t>
  </si>
  <si>
    <t xml:space="preserve">Reinforcing steel in decks, cross girders, kerbs and parapets, excluding parapet terminals </t>
  </si>
  <si>
    <r>
      <t>Reinforcing steel in medians, insitu kerbs and parapets</t>
    </r>
    <r>
      <rPr>
        <sz val="12"/>
        <color rgb="FF0000FF"/>
        <rFont val="Arial"/>
        <family val="2"/>
      </rPr>
      <t xml:space="preserve"> [stainless steel]</t>
    </r>
  </si>
  <si>
    <r>
      <t>Concrete Class</t>
    </r>
    <r>
      <rPr>
        <sz val="12"/>
        <color rgb="FF0000FF"/>
        <rFont val="Arial"/>
        <family val="2"/>
      </rPr>
      <t xml:space="preserve"> [40]</t>
    </r>
    <r>
      <rPr>
        <sz val="12"/>
        <color theme="1"/>
        <rFont val="Arial"/>
        <family val="2"/>
      </rPr>
      <t xml:space="preserve"> MPa/20 in abutment above </t>
    </r>
    <r>
      <rPr>
        <sz val="12"/>
        <color rgb="FF0000FF"/>
        <rFont val="Arial"/>
        <family val="2"/>
      </rPr>
      <t>[cast-in-place pile]</t>
    </r>
    <r>
      <rPr>
        <sz val="12"/>
        <color theme="1"/>
        <rFont val="Arial"/>
        <family val="2"/>
      </rPr>
      <t xml:space="preserve"> excluding parapet terminal </t>
    </r>
    <r>
      <rPr>
        <sz val="12"/>
        <color rgb="FF0000FF"/>
        <rFont val="Arial"/>
        <family val="2"/>
      </rPr>
      <t>[Abutment A transition structure]</t>
    </r>
  </si>
  <si>
    <r>
      <t xml:space="preserve">Concrete Class </t>
    </r>
    <r>
      <rPr>
        <sz val="12"/>
        <color rgb="FF0000FF"/>
        <rFont val="Arial"/>
        <family val="2"/>
      </rPr>
      <t>[40]</t>
    </r>
    <r>
      <rPr>
        <sz val="12"/>
        <color theme="1"/>
        <rFont val="Arial"/>
        <family val="2"/>
      </rPr>
      <t xml:space="preserve"> MPa/20 in abutment headstock excluding parapet terminal</t>
    </r>
    <r>
      <rPr>
        <sz val="12"/>
        <color rgb="FF0000FF"/>
        <rFont val="Arial"/>
        <family val="2"/>
      </rPr>
      <t xml:space="preserve"> [Abutment A]</t>
    </r>
  </si>
  <si>
    <r>
      <t xml:space="preserve">Concrete Class </t>
    </r>
    <r>
      <rPr>
        <sz val="12"/>
        <color rgb="FF0000FF"/>
        <rFont val="Arial"/>
        <family val="2"/>
      </rPr>
      <t>[40]</t>
    </r>
    <r>
      <rPr>
        <sz val="12"/>
        <color theme="1"/>
        <rFont val="Arial"/>
        <family val="2"/>
      </rPr>
      <t xml:space="preserve"> MPa/20 in abutment headstock excluding parapet terminal </t>
    </r>
    <r>
      <rPr>
        <sz val="12"/>
        <color rgb="FF0000FF"/>
        <rFont val="Arial"/>
        <family val="2"/>
      </rPr>
      <t>[Abutment B]</t>
    </r>
  </si>
  <si>
    <r>
      <t xml:space="preserve">Concrete Class </t>
    </r>
    <r>
      <rPr>
        <sz val="12"/>
        <color rgb="FF0000FF"/>
        <rFont val="Arial"/>
        <family val="2"/>
      </rPr>
      <t>[40]</t>
    </r>
    <r>
      <rPr>
        <sz val="12"/>
        <color theme="1"/>
        <rFont val="Arial"/>
        <family val="2"/>
      </rPr>
      <t xml:space="preserve"> MPa/20 in abutment headstock excluding parapet terminal</t>
    </r>
    <r>
      <rPr>
        <sz val="12"/>
        <color rgb="FF0000FF"/>
        <rFont val="Arial"/>
        <family val="2"/>
      </rPr>
      <t xml:space="preserve"> [Abutment C]</t>
    </r>
  </si>
  <si>
    <t>At sag west of Foxton St intersection
Subject to change for Foxton Street issue</t>
  </si>
  <si>
    <t>Supply and installation of micropiles (Refer to PSS 9007)</t>
  </si>
  <si>
    <t>Co-ordination of manufactured elements and preparation of shop drawings (Refer to PSS 9009)</t>
  </si>
  <si>
    <t>Supply and install the pedestrian and bike eco counter system (Refer to PSS 9001)</t>
  </si>
  <si>
    <r>
      <t xml:space="preserve">Shotcreting </t>
    </r>
    <r>
      <rPr>
        <sz val="12"/>
        <color rgb="FF0000FF"/>
        <rFont val="Arial"/>
        <family val="2"/>
      </rPr>
      <t>(Refer PSS 9008, Provisional Quantity, if ordered)</t>
    </r>
  </si>
  <si>
    <r>
      <t xml:space="preserve">Soil nailing </t>
    </r>
    <r>
      <rPr>
        <sz val="12"/>
        <color rgb="FF0000FF"/>
        <rFont val="Arial"/>
        <family val="2"/>
      </rPr>
      <t>(Refer PSS 9008, Provisional Quantity, if ordered)</t>
    </r>
  </si>
  <si>
    <r>
      <t xml:space="preserve">Passive rock dowels </t>
    </r>
    <r>
      <rPr>
        <sz val="12"/>
        <color rgb="FF0000FF"/>
        <rFont val="Arial"/>
        <family val="2"/>
      </rPr>
      <t>(Refer PSS 9008, Provisional Quantity, if ordered)</t>
    </r>
  </si>
  <si>
    <r>
      <t xml:space="preserve">Active rock bolts </t>
    </r>
    <r>
      <rPr>
        <sz val="12"/>
        <color rgb="FF0000FF"/>
        <rFont val="Arial"/>
        <family val="2"/>
      </rPr>
      <t>(Refer PSS 9008, Provisional Quantity, if ordered)</t>
    </r>
  </si>
  <si>
    <t>9005.02S</t>
  </si>
  <si>
    <t>Supply and installation of 200 Micron Polyethylene Film Debonding Layer (Refer to PSS 9005)</t>
  </si>
  <si>
    <r>
      <t>Bridge abutment protection Type 4 – rockwork over road embankment spillthrough,</t>
    </r>
    <r>
      <rPr>
        <sz val="12"/>
        <color rgb="FF0000FF"/>
        <rFont val="Arial"/>
        <family val="2"/>
      </rPr>
      <t xml:space="preserve"> [Abutment A] </t>
    </r>
    <r>
      <rPr>
        <sz val="12"/>
        <color theme="1"/>
        <rFont val="Arial"/>
        <family val="2"/>
      </rPr>
      <t>abutment</t>
    </r>
  </si>
  <si>
    <t>9004.01S</t>
  </si>
  <si>
    <t>9004.02S</t>
  </si>
  <si>
    <t>9004.03S</t>
  </si>
  <si>
    <r>
      <t xml:space="preserve">Bar grip coupler fittings for future widening, </t>
    </r>
    <r>
      <rPr>
        <sz val="12"/>
        <color rgb="FF0000FF"/>
        <rFont val="Arial"/>
        <family val="2"/>
      </rPr>
      <t>[16]</t>
    </r>
    <r>
      <rPr>
        <sz val="12"/>
        <color theme="1"/>
        <rFont val="Arial"/>
        <family val="2"/>
      </rPr>
      <t xml:space="preserve"> mm diameter</t>
    </r>
  </si>
  <si>
    <r>
      <t xml:space="preserve">Precast concrete access chambers, </t>
    </r>
    <r>
      <rPr>
        <sz val="12"/>
        <color rgb="FF0000FF"/>
        <rFont val="Arial"/>
        <family val="2"/>
      </rPr>
      <t>[type]</t>
    </r>
  </si>
  <si>
    <t>9004.04S</t>
  </si>
  <si>
    <t>9004.05S</t>
  </si>
  <si>
    <t>9004.06S</t>
  </si>
  <si>
    <t>9004.07S</t>
  </si>
  <si>
    <r>
      <t xml:space="preserve">Supply and installation of </t>
    </r>
    <r>
      <rPr>
        <sz val="12"/>
        <color rgb="FF0000FF"/>
        <rFont val="Arial"/>
        <family val="2"/>
      </rPr>
      <t>[ACO K100 KLASSIKDRAIN, load class B heelsafe grate]</t>
    </r>
    <r>
      <rPr>
        <sz val="12"/>
        <color theme="1"/>
        <rFont val="Arial"/>
        <family val="2"/>
      </rPr>
      <t xml:space="preserve"> (Refer to PSS 9004)</t>
    </r>
  </si>
  <si>
    <r>
      <t xml:space="preserve">Supply and installation of </t>
    </r>
    <r>
      <rPr>
        <sz val="12"/>
        <color rgb="FF0000FF"/>
        <rFont val="Arial"/>
        <family val="2"/>
      </rPr>
      <t>[ACO K200 KLASSIKDRAIN, load class B heelsafe grate]</t>
    </r>
    <r>
      <rPr>
        <sz val="12"/>
        <color theme="1"/>
        <rFont val="Arial"/>
        <family val="2"/>
      </rPr>
      <t xml:space="preserve"> (Refer to PSS 9004)</t>
    </r>
  </si>
  <si>
    <r>
      <t xml:space="preserve">Supply and installation of </t>
    </r>
    <r>
      <rPr>
        <sz val="12"/>
        <color rgb="FF0000FF"/>
        <rFont val="Arial"/>
        <family val="2"/>
      </rPr>
      <t>[ACO K200 KLASSIKDRAIN with sloped invert, load class B heelsafe grate]</t>
    </r>
    <r>
      <rPr>
        <sz val="12"/>
        <color theme="1"/>
        <rFont val="Arial"/>
        <family val="2"/>
      </rPr>
      <t xml:space="preserve"> (Refer to PSS 9004)</t>
    </r>
  </si>
  <si>
    <r>
      <t>Supply and installation of</t>
    </r>
    <r>
      <rPr>
        <sz val="12"/>
        <color rgb="FF0000FF"/>
        <rFont val="Arial"/>
        <family val="2"/>
      </rPr>
      <t xml:space="preserve"> [PVC half pipe]</t>
    </r>
    <r>
      <rPr>
        <sz val="12"/>
        <rFont val="Arial"/>
        <family val="2"/>
      </rPr>
      <t xml:space="preserve"> culvert components,</t>
    </r>
    <r>
      <rPr>
        <sz val="12"/>
        <color rgb="FF0000FF"/>
        <rFont val="Arial"/>
        <family val="2"/>
      </rPr>
      <t xml:space="preserve"> [200]</t>
    </r>
    <r>
      <rPr>
        <sz val="12"/>
        <rFont val="Arial"/>
        <family val="2"/>
      </rPr>
      <t xml:space="preserve"> mm diameter (Refer to PSS 9004)</t>
    </r>
  </si>
  <si>
    <r>
      <t xml:space="preserve">Supply and installation of </t>
    </r>
    <r>
      <rPr>
        <sz val="12"/>
        <color rgb="FF0000FF"/>
        <rFont val="Arial"/>
        <family val="2"/>
      </rPr>
      <t>[PVC full pipe]</t>
    </r>
    <r>
      <rPr>
        <sz val="12"/>
        <rFont val="Arial"/>
        <family val="2"/>
      </rPr>
      <t xml:space="preserve"> culvert components, </t>
    </r>
    <r>
      <rPr>
        <sz val="12"/>
        <color rgb="FF0000FF"/>
        <rFont val="Arial"/>
        <family val="2"/>
      </rPr>
      <t>[200]</t>
    </r>
    <r>
      <rPr>
        <sz val="12"/>
        <rFont val="Arial"/>
        <family val="2"/>
      </rPr>
      <t xml:space="preserve"> mm diameter (Refer to PSS 9004)</t>
    </r>
  </si>
  <si>
    <r>
      <t xml:space="preserve">Supply and installation of </t>
    </r>
    <r>
      <rPr>
        <sz val="12"/>
        <color rgb="FF0000FF"/>
        <rFont val="Arial"/>
        <family val="2"/>
      </rPr>
      <t xml:space="preserve">[ACO K100 in-line pit, load class B heelsafe grate]  </t>
    </r>
    <r>
      <rPr>
        <sz val="12"/>
        <rFont val="Arial"/>
        <family val="2"/>
      </rPr>
      <t>(Refer to PSS 9004)</t>
    </r>
  </si>
  <si>
    <r>
      <t xml:space="preserve">Supply and installation of </t>
    </r>
    <r>
      <rPr>
        <sz val="12"/>
        <color rgb="FF0000FF"/>
        <rFont val="Arial"/>
        <family val="2"/>
      </rPr>
      <t xml:space="preserve">[ACO K200 in-line pit, load class B heelsafe grate]  </t>
    </r>
    <r>
      <rPr>
        <sz val="12"/>
        <rFont val="Arial"/>
        <family val="2"/>
      </rPr>
      <t>(Refer to PSS 9004)</t>
    </r>
  </si>
  <si>
    <t>9006.01S</t>
  </si>
  <si>
    <t>90101.02S</t>
  </si>
  <si>
    <t>90101.03S</t>
  </si>
  <si>
    <r>
      <t xml:space="preserve">Co-ordination of PUP relocation(s) – </t>
    </r>
    <r>
      <rPr>
        <sz val="12"/>
        <color rgb="FF0000FF"/>
        <rFont val="Arial"/>
        <family val="2"/>
      </rPr>
      <t>[Telstra]</t>
    </r>
    <r>
      <rPr>
        <sz val="12"/>
        <color theme="1"/>
        <rFont val="Arial"/>
        <family val="2"/>
      </rPr>
      <t xml:space="preserve"> (Refer CTS09)</t>
    </r>
  </si>
  <si>
    <r>
      <t xml:space="preserve">Co-ordination of PUP relocation(s) – </t>
    </r>
    <r>
      <rPr>
        <sz val="12"/>
        <color rgb="FF0000FF"/>
        <rFont val="Arial"/>
        <family val="2"/>
      </rPr>
      <t>[Energex]</t>
    </r>
    <r>
      <rPr>
        <sz val="12"/>
        <color theme="1"/>
        <rFont val="Arial"/>
        <family val="2"/>
      </rPr>
      <t xml:space="preserve"> (Refer CTS09)</t>
    </r>
  </si>
  <si>
    <r>
      <t xml:space="preserve">Co-ordination of PUP relocation(s) – </t>
    </r>
    <r>
      <rPr>
        <sz val="12"/>
        <color rgb="FF0000FF"/>
        <rFont val="Arial"/>
        <family val="2"/>
      </rPr>
      <t>[QUU]</t>
    </r>
    <r>
      <rPr>
        <sz val="12"/>
        <color theme="1"/>
        <rFont val="Arial"/>
        <family val="2"/>
      </rPr>
      <t xml:space="preserve"> (Refer CTS09)</t>
    </r>
  </si>
  <si>
    <t>90101.04S</t>
  </si>
  <si>
    <r>
      <t xml:space="preserve">Co-ordination of PUP relocation(s) – </t>
    </r>
    <r>
      <rPr>
        <sz val="12"/>
        <color rgb="FF0000FF"/>
        <rFont val="Arial"/>
        <family val="2"/>
      </rPr>
      <t>[BCC]</t>
    </r>
    <r>
      <rPr>
        <sz val="12"/>
        <color theme="1"/>
        <rFont val="Arial"/>
        <family val="2"/>
      </rPr>
      <t xml:space="preserve"> (Refer CTS09)</t>
    </r>
  </si>
  <si>
    <t>90102.03S</t>
  </si>
  <si>
    <r>
      <t xml:space="preserve">Provision of </t>
    </r>
    <r>
      <rPr>
        <sz val="12"/>
        <color rgb="FF0000FF"/>
        <rFont val="Arial"/>
        <family val="2"/>
      </rPr>
      <t>[Energex]</t>
    </r>
    <r>
      <rPr>
        <sz val="12"/>
        <color theme="1"/>
        <rFont val="Arial"/>
        <family val="2"/>
      </rPr>
      <t xml:space="preserve"> supervision during PUP relocations, modifications or abandonment/removal (Refer CTS09)</t>
    </r>
  </si>
  <si>
    <r>
      <t xml:space="preserve">Provision of </t>
    </r>
    <r>
      <rPr>
        <sz val="12"/>
        <color rgb="FF0000FF"/>
        <rFont val="Arial"/>
        <family val="2"/>
      </rPr>
      <t>[BCC]</t>
    </r>
    <r>
      <rPr>
        <sz val="12"/>
        <color theme="1"/>
        <rFont val="Arial"/>
        <family val="2"/>
      </rPr>
      <t xml:space="preserve"> supervision during PUP relocations, modifications or abandonment/removal (Refer CTS09)</t>
    </r>
  </si>
  <si>
    <t>90102.04S</t>
  </si>
  <si>
    <r>
      <t xml:space="preserve">Supply and installation of </t>
    </r>
    <r>
      <rPr>
        <sz val="12"/>
        <color rgb="FF0000FF"/>
        <rFont val="Arial"/>
        <family val="2"/>
      </rPr>
      <t xml:space="preserve">[3] </t>
    </r>
    <r>
      <rPr>
        <sz val="12"/>
        <color theme="1"/>
        <rFont val="Arial"/>
        <family val="2"/>
      </rPr>
      <t>of</t>
    </r>
    <r>
      <rPr>
        <sz val="12"/>
        <color rgb="FF0000FF"/>
        <rFont val="Arial"/>
        <family val="2"/>
      </rPr>
      <t xml:space="preserve"> [50]</t>
    </r>
    <r>
      <rPr>
        <sz val="12"/>
        <color theme="1"/>
        <rFont val="Arial"/>
        <family val="2"/>
      </rPr>
      <t xml:space="preserve"> mm, </t>
    </r>
    <r>
      <rPr>
        <sz val="12"/>
        <color rgb="FF0000FF"/>
        <rFont val="Arial"/>
        <family val="2"/>
      </rPr>
      <t>[HD], [electrical]</t>
    </r>
    <r>
      <rPr>
        <sz val="12"/>
        <color theme="1"/>
        <rFont val="Arial"/>
        <family val="2"/>
      </rPr>
      <t xml:space="preserve"> conduit(s) and </t>
    </r>
    <r>
      <rPr>
        <sz val="12"/>
        <color rgb="FF0000FF"/>
        <rFont val="Arial"/>
        <family val="2"/>
      </rPr>
      <t>[1]</t>
    </r>
    <r>
      <rPr>
        <sz val="12"/>
        <color theme="1"/>
        <rFont val="Arial"/>
        <family val="2"/>
      </rPr>
      <t xml:space="preserve"> of</t>
    </r>
    <r>
      <rPr>
        <sz val="12"/>
        <color rgb="FF0000FF"/>
        <rFont val="Arial"/>
        <family val="2"/>
      </rPr>
      <t xml:space="preserve"> [50]</t>
    </r>
    <r>
      <rPr>
        <sz val="12"/>
        <color theme="1"/>
        <rFont val="Arial"/>
        <family val="2"/>
      </rPr>
      <t xml:space="preserve"> mm, </t>
    </r>
    <r>
      <rPr>
        <sz val="12"/>
        <color rgb="FF0000FF"/>
        <rFont val="Arial"/>
        <family val="2"/>
      </rPr>
      <t>[HD], [comms]</t>
    </r>
    <r>
      <rPr>
        <sz val="12"/>
        <color theme="1"/>
        <rFont val="Arial"/>
        <family val="2"/>
      </rPr>
      <t xml:space="preserve"> conduit(s), in a shared trench, in</t>
    </r>
    <r>
      <rPr>
        <sz val="12"/>
        <color rgb="FF0000FF"/>
        <rFont val="Arial"/>
        <family val="2"/>
      </rPr>
      <t xml:space="preserve"> underground infill ground</t>
    </r>
  </si>
  <si>
    <t>70404.04P</t>
  </si>
  <si>
    <t>70409.04P</t>
  </si>
  <si>
    <r>
      <t>Installation of trees</t>
    </r>
    <r>
      <rPr>
        <sz val="12"/>
        <color rgb="FF0000FF"/>
        <rFont val="Arial"/>
        <family val="2"/>
      </rPr>
      <t xml:space="preserve"> [45L pots] - Melaleuca quinquenervia - 
Addiational item if existing trees are removed after arborist reivew of retained trees along Radnor St. To be confrimed with superintendent</t>
    </r>
  </si>
  <si>
    <t>50660.05P</t>
  </si>
  <si>
    <r>
      <t xml:space="preserve">Supply and placement of imported organic coloured mulch - </t>
    </r>
    <r>
      <rPr>
        <sz val="12"/>
        <color rgb="FF0000FF"/>
        <rFont val="Arial"/>
        <family val="2"/>
      </rPr>
      <t>[Hoop pine]</t>
    </r>
    <r>
      <rPr>
        <sz val="12"/>
        <color theme="1"/>
        <rFont val="Arial"/>
        <family val="2"/>
      </rPr>
      <t xml:space="preserve"> (Refer CTS16) to Batter Planting Area and Batter Slope Planting Area</t>
    </r>
  </si>
  <si>
    <r>
      <t xml:space="preserve">Supply and installation of Energex works as per </t>
    </r>
    <r>
      <rPr>
        <sz val="12"/>
        <color rgb="FF0000FF"/>
        <rFont val="Arial"/>
        <family val="2"/>
      </rPr>
      <t>[Contract Drawing No. 1051, new pole]</t>
    </r>
    <r>
      <rPr>
        <sz val="12"/>
        <color theme="1"/>
        <rFont val="Arial"/>
        <family val="2"/>
      </rPr>
      <t xml:space="preserve"> (Refer CTS09)</t>
    </r>
  </si>
  <si>
    <t>90140.02S</t>
  </si>
  <si>
    <r>
      <t xml:space="preserve">Supply and installation of Energex works </t>
    </r>
    <r>
      <rPr>
        <sz val="12"/>
        <color rgb="FF0000FF"/>
        <rFont val="Arial"/>
        <family val="2"/>
      </rPr>
      <t>[type 4 pit with cable junction box within the pit]</t>
    </r>
    <r>
      <rPr>
        <sz val="12"/>
        <color theme="1"/>
        <rFont val="Arial"/>
        <family val="2"/>
      </rPr>
      <t xml:space="preserve"> (Refer CTS09)</t>
    </r>
  </si>
  <si>
    <t>90140.03S</t>
  </si>
  <si>
    <r>
      <t xml:space="preserve">Supply and installation of Energex works </t>
    </r>
    <r>
      <rPr>
        <sz val="12"/>
        <color rgb="FF0000FF"/>
        <rFont val="Arial"/>
        <family val="2"/>
      </rPr>
      <t>[40 mm underground electrical conduit, in ground]</t>
    </r>
    <r>
      <rPr>
        <sz val="12"/>
        <color theme="1"/>
        <rFont val="Arial"/>
        <family val="2"/>
      </rPr>
      <t xml:space="preserve"> (Refer CTS09)</t>
    </r>
  </si>
  <si>
    <t>90140.04S</t>
  </si>
  <si>
    <r>
      <t xml:space="preserve">Supply and installation of Energex works </t>
    </r>
    <r>
      <rPr>
        <sz val="12"/>
        <color rgb="FF0000FF"/>
        <rFont val="Arial"/>
        <family val="2"/>
      </rPr>
      <t>[11m timber poles with concrete foundation]</t>
    </r>
    <r>
      <rPr>
        <sz val="12"/>
        <color theme="1"/>
        <rFont val="Arial"/>
        <family val="2"/>
      </rPr>
      <t xml:space="preserve"> (Refer CTS09)</t>
    </r>
  </si>
  <si>
    <t>90140.05S</t>
  </si>
  <si>
    <r>
      <t xml:space="preserve">Supply and installation of Energex works </t>
    </r>
    <r>
      <rPr>
        <sz val="12"/>
        <color rgb="FF0000FF"/>
        <rFont val="Arial"/>
        <family val="2"/>
      </rPr>
      <t>[12.5m timber poles with concrete foundation]</t>
    </r>
    <r>
      <rPr>
        <sz val="12"/>
        <color theme="1"/>
        <rFont val="Arial"/>
        <family val="2"/>
      </rPr>
      <t xml:space="preserve"> (Refer CTS09)</t>
    </r>
  </si>
  <si>
    <t>90140.06S</t>
  </si>
  <si>
    <r>
      <t xml:space="preserve">Supply and installation of Energex works </t>
    </r>
    <r>
      <rPr>
        <sz val="12"/>
        <color rgb="FF0000FF"/>
        <rFont val="Arial"/>
        <family val="2"/>
      </rPr>
      <t>[road lighting [single outreach] mounted on timber pole, 1200mm]</t>
    </r>
    <r>
      <rPr>
        <sz val="12"/>
        <color theme="1"/>
        <rFont val="Arial"/>
        <family val="2"/>
      </rPr>
      <t xml:space="preserve"> (Refer CTS09)</t>
    </r>
  </si>
  <si>
    <t>90140.07S</t>
  </si>
  <si>
    <r>
      <t xml:space="preserve">Supply and installation of Energex works </t>
    </r>
    <r>
      <rPr>
        <sz val="12"/>
        <color rgb="FF0000FF"/>
        <rFont val="Arial"/>
        <family val="2"/>
      </rPr>
      <t>[road lighting [single outreach] mounted on timber pole, 3000mm with 2000mm uplift]</t>
    </r>
    <r>
      <rPr>
        <sz val="12"/>
        <color theme="1"/>
        <rFont val="Arial"/>
        <family val="2"/>
      </rPr>
      <t xml:space="preserve"> (Refer CTS09)</t>
    </r>
  </si>
  <si>
    <t>90140.08S</t>
  </si>
  <si>
    <r>
      <t xml:space="preserve">Supply and installation of Energex works </t>
    </r>
    <r>
      <rPr>
        <sz val="12"/>
        <color rgb="FF0000FF"/>
        <rFont val="Arial"/>
        <family val="2"/>
      </rPr>
      <t>[road lighting [single outreach] mounted on timber pole, 3000mm with 4000mm uplift]</t>
    </r>
    <r>
      <rPr>
        <sz val="12"/>
        <color theme="1"/>
        <rFont val="Arial"/>
        <family val="2"/>
      </rPr>
      <t xml:space="preserve"> (Refer CTS09)</t>
    </r>
  </si>
  <si>
    <t>90140.09S</t>
  </si>
  <si>
    <r>
      <t xml:space="preserve">Supply and installation of Energex works </t>
    </r>
    <r>
      <rPr>
        <sz val="12"/>
        <color rgb="FF0000FF"/>
        <rFont val="Arial"/>
        <family val="2"/>
      </rPr>
      <t>[road lighting [single outreach] mounted on timber pole, 3000mm with 4500mm uplift]</t>
    </r>
    <r>
      <rPr>
        <sz val="12"/>
        <color theme="1"/>
        <rFont val="Arial"/>
        <family val="2"/>
      </rPr>
      <t xml:space="preserve"> (Refer CTS09)</t>
    </r>
  </si>
  <si>
    <t>90140.10S</t>
  </si>
  <si>
    <r>
      <t xml:space="preserve">Supply and installation of Energex works </t>
    </r>
    <r>
      <rPr>
        <sz val="12"/>
        <color rgb="FF0000FF"/>
        <rFont val="Arial"/>
        <family val="2"/>
      </rPr>
      <t>[road lighting LED luminaire Gerard StreetLED MKII 18W]</t>
    </r>
    <r>
      <rPr>
        <sz val="12"/>
        <color theme="1"/>
        <rFont val="Arial"/>
        <family val="2"/>
      </rPr>
      <t xml:space="preserve"> (Refer CTS09)</t>
    </r>
  </si>
  <si>
    <t>90140.11S</t>
  </si>
  <si>
    <r>
      <t xml:space="preserve">Supply and installation of Energex works </t>
    </r>
    <r>
      <rPr>
        <sz val="12"/>
        <color rgb="FF0000FF"/>
        <rFont val="Arial"/>
        <family val="2"/>
      </rPr>
      <t>[road lighting LED luminaire Philips Roadflair 50W]</t>
    </r>
    <r>
      <rPr>
        <sz val="12"/>
        <color theme="1"/>
        <rFont val="Arial"/>
        <family val="2"/>
      </rPr>
      <t xml:space="preserve"> (Refer CTS09)</t>
    </r>
  </si>
  <si>
    <t>90140.12S</t>
  </si>
  <si>
    <r>
      <t xml:space="preserve">Supply and installation of Energex works </t>
    </r>
    <r>
      <rPr>
        <sz val="12"/>
        <color rgb="FF0000FF"/>
        <rFont val="Arial"/>
        <family val="2"/>
      </rPr>
      <t>[road lighting LED luminaire Philips Roadflair 90W]</t>
    </r>
    <r>
      <rPr>
        <sz val="12"/>
        <color theme="1"/>
        <rFont val="Arial"/>
        <family val="2"/>
      </rPr>
      <t xml:space="preserve"> (Refer CTS09)</t>
    </r>
  </si>
  <si>
    <t>90140.13S</t>
  </si>
  <si>
    <r>
      <t xml:space="preserve">Supply and installation of Energex works </t>
    </r>
    <r>
      <rPr>
        <sz val="12"/>
        <color rgb="FF0000FF"/>
        <rFont val="Arial"/>
        <family val="2"/>
      </rPr>
      <t>[road lighting LED luminaire Philips Tango G3 LED flood 120W symmetrical wide beam]</t>
    </r>
    <r>
      <rPr>
        <sz val="12"/>
        <color theme="1"/>
        <rFont val="Arial"/>
        <family val="2"/>
      </rPr>
      <t xml:space="preserve"> (Refer CTS09)</t>
    </r>
  </si>
  <si>
    <t>90140.14S</t>
  </si>
  <si>
    <r>
      <t xml:space="preserve">Supply and installation of Energex works </t>
    </r>
    <r>
      <rPr>
        <sz val="12"/>
        <color rgb="FF0000FF"/>
        <rFont val="Arial"/>
        <family val="2"/>
      </rPr>
      <t>[mains connection equipment including the supply of overhead mains connection cable for new lighting circuit 2x25mm, XLPE ABC black, Al 23m]</t>
    </r>
    <r>
      <rPr>
        <sz val="12"/>
        <color theme="1"/>
        <rFont val="Arial"/>
        <family val="2"/>
      </rPr>
      <t xml:space="preserve"> (Refer CTS09)</t>
    </r>
  </si>
  <si>
    <t>90140.15S</t>
  </si>
  <si>
    <r>
      <t xml:space="preserve">Supply and installation of Energex works </t>
    </r>
    <r>
      <rPr>
        <sz val="12"/>
        <color rgb="FF0000FF"/>
        <rFont val="Arial"/>
        <family val="2"/>
      </rPr>
      <t>[street lighting mains connection equipment including the supply of mains connection cable for new lighting circuit]</t>
    </r>
    <r>
      <rPr>
        <sz val="12"/>
        <color theme="1"/>
        <rFont val="Arial"/>
        <family val="2"/>
      </rPr>
      <t xml:space="preserve"> (Refer CTS09)</t>
    </r>
  </si>
  <si>
    <t>90140.16S</t>
  </si>
  <si>
    <r>
      <t xml:space="preserve">Supply and installation of Energex works </t>
    </r>
    <r>
      <rPr>
        <sz val="12"/>
        <color rgb="FF0000FF"/>
        <rFont val="Arial"/>
        <family val="2"/>
      </rPr>
      <t>[mains connection equipment for luminaires mounted on timber pole]</t>
    </r>
    <r>
      <rPr>
        <sz val="12"/>
        <color theme="1"/>
        <rFont val="Arial"/>
        <family val="2"/>
      </rPr>
      <t xml:space="preserve"> (Refer CTS09)</t>
    </r>
  </si>
  <si>
    <t>90140.17S</t>
  </si>
  <si>
    <r>
      <t xml:space="preserve">Supply and installation of Energex works </t>
    </r>
    <r>
      <rPr>
        <sz val="12"/>
        <color rgb="FF0000FF"/>
        <rFont val="Arial"/>
        <family val="2"/>
      </rPr>
      <t>[street lighting cables 16mm2, 2C PVC Cu]</t>
    </r>
    <r>
      <rPr>
        <sz val="12"/>
        <color theme="1"/>
        <rFont val="Arial"/>
        <family val="2"/>
      </rPr>
      <t xml:space="preserve"> (Refer CTS09)</t>
    </r>
  </si>
  <si>
    <t>42903.01P</t>
  </si>
  <si>
    <t>42903.02P</t>
  </si>
  <si>
    <r>
      <t>Concrete masonry retaining wall, masonry in wall,</t>
    </r>
    <r>
      <rPr>
        <sz val="12"/>
        <color rgb="FF0000FF"/>
        <rFont val="Arial"/>
        <family val="2"/>
      </rPr>
      <t xml:space="preserve"> [Repair of Existing blockwork wall at 8Twigg St] (Provisional Quantity, as directed)</t>
    </r>
  </si>
  <si>
    <t>Handling and pitching of steel tubes</t>
  </si>
  <si>
    <t>Driving steel tubes</t>
  </si>
  <si>
    <t>Extension of steel tubes (Provisional Quantity, as directed)</t>
  </si>
  <si>
    <t>Excavation of tubes</t>
  </si>
  <si>
    <t>Certification of pile capacity</t>
  </si>
  <si>
    <r>
      <t xml:space="preserve">Steel pipe liners, supply on Site </t>
    </r>
    <r>
      <rPr>
        <sz val="12"/>
        <color rgb="FF0000FF"/>
        <rFont val="Arial"/>
        <family val="2"/>
      </rPr>
      <t>[diameter]</t>
    </r>
  </si>
  <si>
    <r>
      <t xml:space="preserve">Concrete Class </t>
    </r>
    <r>
      <rPr>
        <sz val="12"/>
        <color rgb="FF0000FF"/>
        <rFont val="Arial"/>
        <family val="2"/>
      </rPr>
      <t xml:space="preserve">[Class &amp; compressive strength] </t>
    </r>
    <r>
      <rPr>
        <sz val="12"/>
        <color theme="1"/>
        <rFont val="Arial"/>
        <family val="2"/>
      </rPr>
      <t>MPa/20 in abutment pile</t>
    </r>
  </si>
  <si>
    <r>
      <t>Concrete Class</t>
    </r>
    <r>
      <rPr>
        <sz val="12"/>
        <color rgb="FF0000FF"/>
        <rFont val="Arial"/>
        <family val="2"/>
      </rPr>
      <t xml:space="preserve"> [Class &amp; compressive strength] </t>
    </r>
    <r>
      <rPr>
        <sz val="12"/>
        <color theme="1"/>
        <rFont val="Arial"/>
        <family val="2"/>
      </rPr>
      <t>MPa/20 in pier pile</t>
    </r>
  </si>
  <si>
    <t>32403.01P</t>
  </si>
  <si>
    <t>32104.02P</t>
  </si>
  <si>
    <r>
      <t xml:space="preserve">Site Exit Point – Shaker Ramp </t>
    </r>
    <r>
      <rPr>
        <sz val="12"/>
        <color rgb="FF0000FF"/>
        <rFont val="Arial"/>
        <family val="2"/>
      </rPr>
      <t>[At Twigg Street and Foxton Street Site Entrance/Exit]</t>
    </r>
    <r>
      <rPr>
        <sz val="12"/>
        <color theme="1"/>
        <rFont val="Arial"/>
        <family val="2"/>
      </rPr>
      <t xml:space="preserve"> (Provisional Quantity)</t>
    </r>
  </si>
  <si>
    <t>32210.01P</t>
  </si>
  <si>
    <r>
      <t xml:space="preserve">Supply and installation of steel-reinforced concrete pipe culvert components, Class </t>
    </r>
    <r>
      <rPr>
        <sz val="12"/>
        <color rgb="FF0000FF"/>
        <rFont val="Arial"/>
        <family val="2"/>
      </rPr>
      <t>[3]</t>
    </r>
    <r>
      <rPr>
        <sz val="12"/>
        <color theme="1"/>
        <rFont val="Arial"/>
        <family val="2"/>
      </rPr>
      <t xml:space="preserve">, </t>
    </r>
    <r>
      <rPr>
        <sz val="12"/>
        <color rgb="FF0000FF"/>
        <rFont val="Arial"/>
        <family val="2"/>
      </rPr>
      <t>[375]</t>
    </r>
    <r>
      <rPr>
        <sz val="12"/>
        <color theme="1"/>
        <rFont val="Arial"/>
        <family val="2"/>
      </rPr>
      <t xml:space="preserve"> mm diameter, </t>
    </r>
    <r>
      <rPr>
        <sz val="12"/>
        <color rgb="FF0000FF"/>
        <rFont val="Arial"/>
        <family val="2"/>
      </rPr>
      <t>[marine]</t>
    </r>
    <r>
      <rPr>
        <sz val="12"/>
        <color theme="1"/>
        <rFont val="Arial"/>
        <family val="2"/>
      </rPr>
      <t xml:space="preserve"> environment</t>
    </r>
  </si>
  <si>
    <r>
      <t xml:space="preserve">Supply and installation of steel-reinforced concrete pipe culvert components, Class </t>
    </r>
    <r>
      <rPr>
        <sz val="12"/>
        <color rgb="FF0000FF"/>
        <rFont val="Arial"/>
        <family val="2"/>
      </rPr>
      <t>[3]</t>
    </r>
    <r>
      <rPr>
        <sz val="12"/>
        <color theme="1"/>
        <rFont val="Arial"/>
        <family val="2"/>
      </rPr>
      <t xml:space="preserve">, </t>
    </r>
    <r>
      <rPr>
        <sz val="12"/>
        <color rgb="FF0000FF"/>
        <rFont val="Arial"/>
        <family val="2"/>
      </rPr>
      <t>[300]</t>
    </r>
    <r>
      <rPr>
        <sz val="12"/>
        <color theme="1"/>
        <rFont val="Arial"/>
        <family val="2"/>
      </rPr>
      <t xml:space="preserve"> mm diameter, </t>
    </r>
    <r>
      <rPr>
        <sz val="12"/>
        <color rgb="FF0000FF"/>
        <rFont val="Arial"/>
        <family val="2"/>
      </rPr>
      <t>[marine]</t>
    </r>
    <r>
      <rPr>
        <sz val="12"/>
        <color theme="1"/>
        <rFont val="Arial"/>
        <family val="2"/>
      </rPr>
      <t xml:space="preserve"> environment</t>
    </r>
  </si>
  <si>
    <r>
      <t xml:space="preserve">Supply and installation of steel-reinforced concrete pipe culvert components, Class </t>
    </r>
    <r>
      <rPr>
        <sz val="12"/>
        <color rgb="FF0000FF"/>
        <rFont val="Arial"/>
        <family val="2"/>
      </rPr>
      <t>[3]</t>
    </r>
    <r>
      <rPr>
        <sz val="12"/>
        <color theme="1"/>
        <rFont val="Arial"/>
        <family val="2"/>
      </rPr>
      <t xml:space="preserve">, </t>
    </r>
    <r>
      <rPr>
        <sz val="12"/>
        <color rgb="FF0000FF"/>
        <rFont val="Arial"/>
        <family val="2"/>
      </rPr>
      <t>[525]</t>
    </r>
    <r>
      <rPr>
        <sz val="12"/>
        <color theme="1"/>
        <rFont val="Arial"/>
        <family val="2"/>
      </rPr>
      <t xml:space="preserve"> mm diameter, </t>
    </r>
    <r>
      <rPr>
        <sz val="12"/>
        <color rgb="FF0000FF"/>
        <rFont val="Arial"/>
        <family val="2"/>
      </rPr>
      <t>[marine]</t>
    </r>
    <r>
      <rPr>
        <sz val="12"/>
        <color theme="1"/>
        <rFont val="Arial"/>
        <family val="2"/>
      </rPr>
      <t xml:space="preserve"> environment</t>
    </r>
  </si>
  <si>
    <t>30251.03P</t>
  </si>
  <si>
    <r>
      <t xml:space="preserve">Supply and installation of steel-reinforced concrete pipe culvert components, Class </t>
    </r>
    <r>
      <rPr>
        <sz val="12"/>
        <color rgb="FF0000FF"/>
        <rFont val="Arial"/>
        <family val="2"/>
      </rPr>
      <t>[4]</t>
    </r>
    <r>
      <rPr>
        <sz val="12"/>
        <color theme="1"/>
        <rFont val="Arial"/>
        <family val="2"/>
      </rPr>
      <t xml:space="preserve">, </t>
    </r>
    <r>
      <rPr>
        <sz val="12"/>
        <color rgb="FF0000FF"/>
        <rFont val="Arial"/>
        <family val="2"/>
      </rPr>
      <t>[375]</t>
    </r>
    <r>
      <rPr>
        <sz val="12"/>
        <color theme="1"/>
        <rFont val="Arial"/>
        <family val="2"/>
      </rPr>
      <t xml:space="preserve"> mm diameter, </t>
    </r>
    <r>
      <rPr>
        <sz val="12"/>
        <color rgb="FF0000FF"/>
        <rFont val="Arial"/>
        <family val="2"/>
      </rPr>
      <t>[marine]</t>
    </r>
    <r>
      <rPr>
        <sz val="12"/>
        <color theme="1"/>
        <rFont val="Arial"/>
        <family val="2"/>
      </rPr>
      <t xml:space="preserve"> environment</t>
    </r>
  </si>
  <si>
    <t>Precast concrete end structures to culverts, [375mm dia.]</t>
  </si>
  <si>
    <t>Removal or demolition of culverts, complete [Refer to drawings]</t>
  </si>
  <si>
    <t>Removal or demolition of culverts, excluding end structures [Refer to drawings]</t>
  </si>
  <si>
    <r>
      <t>Subsoil drain outlet connection,</t>
    </r>
    <r>
      <rPr>
        <sz val="12"/>
        <color rgb="FF0000FF"/>
        <rFont val="Arial"/>
        <family val="2"/>
      </rPr>
      <t xml:space="preserve"> [100] </t>
    </r>
    <r>
      <rPr>
        <sz val="12"/>
        <rFont val="Arial"/>
        <family val="2"/>
      </rPr>
      <t xml:space="preserve">mm diameter, </t>
    </r>
    <r>
      <rPr>
        <sz val="12"/>
        <color rgb="FF0000FF"/>
        <rFont val="Arial"/>
        <family val="2"/>
      </rPr>
      <t>[B] connect to kerb adaptor in accordance with BSD-8114</t>
    </r>
  </si>
  <si>
    <t>30665.01P</t>
  </si>
  <si>
    <t>30666.01P</t>
  </si>
  <si>
    <t>32008.01P</t>
  </si>
  <si>
    <t>32108.01P</t>
  </si>
  <si>
    <t>90201.02S</t>
  </si>
  <si>
    <r>
      <t xml:space="preserve">Cold planing existing pavement </t>
    </r>
    <r>
      <rPr>
        <sz val="12"/>
        <color rgb="FF0000FF"/>
        <rFont val="Arial"/>
        <family val="2"/>
      </rPr>
      <t>[Match Existing Base Material]</t>
    </r>
    <r>
      <rPr>
        <sz val="12"/>
        <color theme="1"/>
        <rFont val="Arial"/>
        <family val="2"/>
      </rPr>
      <t xml:space="preserve"> mm below finished surface, </t>
    </r>
    <r>
      <rPr>
        <sz val="12"/>
        <color rgb="FF0000FF"/>
        <rFont val="Arial"/>
        <family val="2"/>
      </rPr>
      <t>[Twigg Street Kerb Realignment]</t>
    </r>
    <r>
      <rPr>
        <sz val="12"/>
        <color theme="1"/>
        <rFont val="Arial"/>
        <family val="2"/>
      </rPr>
      <t xml:space="preserve"> (Refer CTS05)</t>
    </r>
  </si>
  <si>
    <r>
      <t xml:space="preserve">Cold planing existing pavement </t>
    </r>
    <r>
      <rPr>
        <sz val="12"/>
        <color rgb="FF0000FF"/>
        <rFont val="Arial"/>
        <family val="2"/>
      </rPr>
      <t>[Match Existing Base Material]</t>
    </r>
    <r>
      <rPr>
        <sz val="12"/>
        <color theme="1"/>
        <rFont val="Arial"/>
        <family val="2"/>
      </rPr>
      <t xml:space="preserve"> mm below finished surface, </t>
    </r>
    <r>
      <rPr>
        <sz val="12"/>
        <color rgb="FF0000FF"/>
        <rFont val="Arial"/>
        <family val="2"/>
      </rPr>
      <t>[Foxton Street Kerb Realignment]</t>
    </r>
    <r>
      <rPr>
        <sz val="12"/>
        <color theme="1"/>
        <rFont val="Arial"/>
        <family val="2"/>
      </rPr>
      <t xml:space="preserve"> (Refer CTS05)</t>
    </r>
  </si>
  <si>
    <r>
      <t xml:space="preserve">Cold planing existing pavement </t>
    </r>
    <r>
      <rPr>
        <sz val="12"/>
        <color rgb="FF0000FF"/>
        <rFont val="Arial"/>
        <family val="2"/>
      </rPr>
      <t>[Match Existing Base Material]</t>
    </r>
    <r>
      <rPr>
        <sz val="12"/>
        <color theme="1"/>
        <rFont val="Arial"/>
        <family val="2"/>
      </rPr>
      <t xml:space="preserve"> mm below finished surface, </t>
    </r>
    <r>
      <rPr>
        <sz val="12"/>
        <color rgb="FF0000FF"/>
        <rFont val="Arial"/>
        <family val="2"/>
      </rPr>
      <t>[Traffic Islands]</t>
    </r>
    <r>
      <rPr>
        <sz val="12"/>
        <color theme="1"/>
        <rFont val="Arial"/>
        <family val="2"/>
      </rPr>
      <t xml:space="preserve"> (Refer CTS05)</t>
    </r>
  </si>
  <si>
    <t>40501.01P</t>
  </si>
  <si>
    <r>
      <t xml:space="preserve">Prime, grade </t>
    </r>
    <r>
      <rPr>
        <sz val="12"/>
        <color rgb="FF0000FF"/>
        <rFont val="Arial"/>
        <family val="2"/>
      </rPr>
      <t>[AMC0]</t>
    </r>
    <r>
      <rPr>
        <sz val="12"/>
        <color theme="1"/>
        <rFont val="Arial"/>
        <family val="2"/>
      </rPr>
      <t>, spray rate</t>
    </r>
    <r>
      <rPr>
        <sz val="12"/>
        <color rgb="FF0000FF"/>
        <rFont val="Arial"/>
        <family val="2"/>
      </rPr>
      <t xml:space="preserve"> [0.8L/m²]</t>
    </r>
    <r>
      <rPr>
        <sz val="12"/>
        <color theme="1"/>
        <rFont val="Arial"/>
        <family val="2"/>
      </rPr>
      <t xml:space="preserve">, </t>
    </r>
    <r>
      <rPr>
        <sz val="12"/>
        <color rgb="FF0000FF"/>
        <rFont val="Arial"/>
        <family val="2"/>
      </rPr>
      <t>[including]</t>
    </r>
    <r>
      <rPr>
        <sz val="12"/>
        <color theme="1"/>
        <rFont val="Arial"/>
        <family val="2"/>
      </rPr>
      <t xml:space="preserve"> supply of binder, </t>
    </r>
    <r>
      <rPr>
        <sz val="12"/>
        <color rgb="FF0000FF"/>
        <rFont val="Arial"/>
        <family val="2"/>
      </rPr>
      <t>[kerb replacement/traffic islands]</t>
    </r>
  </si>
  <si>
    <r>
      <t>Seal, grade</t>
    </r>
    <r>
      <rPr>
        <sz val="12"/>
        <color rgb="FF0000FF"/>
        <rFont val="Arial"/>
        <family val="2"/>
      </rPr>
      <t xml:space="preserve"> [C170]</t>
    </r>
    <r>
      <rPr>
        <sz val="12"/>
        <color theme="1"/>
        <rFont val="Arial"/>
        <family val="2"/>
      </rPr>
      <t>, spray rate</t>
    </r>
    <r>
      <rPr>
        <sz val="12"/>
        <color rgb="FF0000FF"/>
        <rFont val="Arial"/>
        <family val="2"/>
      </rPr>
      <t xml:space="preserve"> [1.2L/m²]</t>
    </r>
    <r>
      <rPr>
        <sz val="12"/>
        <color theme="1"/>
        <rFont val="Arial"/>
        <family val="2"/>
      </rPr>
      <t>,</t>
    </r>
    <r>
      <rPr>
        <sz val="12"/>
        <color rgb="FF0000FF"/>
        <rFont val="Arial"/>
        <family val="2"/>
      </rPr>
      <t xml:space="preserve"> [including]</t>
    </r>
    <r>
      <rPr>
        <sz val="12"/>
        <color theme="1"/>
        <rFont val="Arial"/>
        <family val="2"/>
      </rPr>
      <t xml:space="preserve"> supply of binder,</t>
    </r>
    <r>
      <rPr>
        <sz val="12"/>
        <color rgb="FF0000FF"/>
        <rFont val="Arial"/>
        <family val="2"/>
      </rPr>
      <t xml:space="preserve"> [kerb replacement/traffic islands]</t>
    </r>
  </si>
  <si>
    <r>
      <t xml:space="preserve">Supply of cover aggregate </t>
    </r>
    <r>
      <rPr>
        <sz val="12"/>
        <color rgb="FF0000FF"/>
        <rFont val="Arial"/>
        <family val="2"/>
      </rPr>
      <t>[precoated]</t>
    </r>
    <r>
      <rPr>
        <sz val="12"/>
        <color theme="1"/>
        <rFont val="Arial"/>
        <family val="2"/>
      </rPr>
      <t>,</t>
    </r>
    <r>
      <rPr>
        <sz val="12"/>
        <color rgb="FF0000FF"/>
        <rFont val="Arial"/>
        <family val="2"/>
      </rPr>
      <t xml:space="preserve"> [10] </t>
    </r>
    <r>
      <rPr>
        <sz val="12"/>
        <color theme="1"/>
        <rFont val="Arial"/>
        <family val="2"/>
      </rPr>
      <t>mm nominal size</t>
    </r>
  </si>
  <si>
    <r>
      <t>Spreading cover aggregate</t>
    </r>
    <r>
      <rPr>
        <sz val="12"/>
        <color rgb="FF0000FF"/>
        <rFont val="Arial"/>
        <family val="2"/>
      </rPr>
      <t xml:space="preserve"> [10mm]</t>
    </r>
    <r>
      <rPr>
        <sz val="12"/>
        <color theme="1"/>
        <rFont val="Arial"/>
        <family val="2"/>
      </rPr>
      <t xml:space="preserve">, </t>
    </r>
    <r>
      <rPr>
        <sz val="12"/>
        <color rgb="FF0000FF"/>
        <rFont val="Arial"/>
        <family val="2"/>
      </rPr>
      <t>[110m2/m3]</t>
    </r>
    <r>
      <rPr>
        <sz val="12"/>
        <rFont val="Arial"/>
        <family val="2"/>
      </rPr>
      <t>,</t>
    </r>
    <r>
      <rPr>
        <sz val="12"/>
        <color rgb="FF0000FF"/>
        <rFont val="Arial"/>
        <family val="2"/>
      </rPr>
      <t>[kerb replacement/traffic islands]</t>
    </r>
  </si>
  <si>
    <r>
      <t>Steel beam guardrail, terminal type</t>
    </r>
    <r>
      <rPr>
        <sz val="12"/>
        <color rgb="FF0000FF"/>
        <rFont val="Arial"/>
        <family val="2"/>
      </rPr>
      <t xml:space="preserve"> [Energy Absorbing Bollard Guardrail End Treatment as per BSD-7091]</t>
    </r>
  </si>
  <si>
    <r>
      <t>Steel beam guardrail, terminal type</t>
    </r>
    <r>
      <rPr>
        <sz val="12"/>
        <color rgb="FF0000FF"/>
        <rFont val="Arial"/>
        <family val="2"/>
      </rPr>
      <t xml:space="preserve"> [MELT As Per DTMR SD1474 and SD1475]</t>
    </r>
  </si>
  <si>
    <t>Demolition of existing ICC Storage Shed (Refer to PSS 9002)</t>
  </si>
  <si>
    <t>9002.02PS</t>
  </si>
  <si>
    <t>Design, certification and construction of replacement ICC storage shed (Provisional Item, if ordered) (Refer to PSS 9002)</t>
  </si>
  <si>
    <t>9002.03PS</t>
  </si>
  <si>
    <t>Design, certification and construction of replacement  ICC pontoon and gangway (Provisional Item, if ordered) (Refer to PSS 9002)</t>
  </si>
  <si>
    <t>9002.04PS</t>
  </si>
  <si>
    <t>Provision of temporary canoe storage (Provisional Item, if ordered) (Refer to PSS 9002)</t>
  </si>
  <si>
    <t xml:space="preserve">90351.03S </t>
  </si>
  <si>
    <r>
      <t xml:space="preserve">Steel wire gabion protection work </t>
    </r>
    <r>
      <rPr>
        <sz val="12"/>
        <color rgb="FF0000FF"/>
        <rFont val="Arial"/>
        <family val="2"/>
      </rPr>
      <t>[Type 2 and Type 3, refer Drg 4818]</t>
    </r>
  </si>
  <si>
    <r>
      <t xml:space="preserve">Steel wire gabion protection work </t>
    </r>
    <r>
      <rPr>
        <sz val="12"/>
        <color rgb="FF0000FF"/>
        <rFont val="Arial"/>
        <family val="2"/>
      </rPr>
      <t>[Type 4, D50=200, refer Drg 4818]</t>
    </r>
  </si>
  <si>
    <r>
      <t>Fencing,</t>
    </r>
    <r>
      <rPr>
        <sz val="12"/>
        <color rgb="FF0000FF"/>
        <rFont val="Arial"/>
        <family val="2"/>
      </rPr>
      <t xml:space="preserve"> [1000] </t>
    </r>
    <r>
      <rPr>
        <sz val="12"/>
        <color theme="1"/>
        <rFont val="Arial"/>
        <family val="2"/>
      </rPr>
      <t xml:space="preserve">mm high, </t>
    </r>
    <r>
      <rPr>
        <sz val="12"/>
        <color rgb="FF0000FF"/>
        <rFont val="Arial"/>
        <family val="2"/>
      </rPr>
      <t>[galvanised tubular handrail, BSD-7001 - at MCA7]</t>
    </r>
  </si>
  <si>
    <r>
      <t>Fencing,</t>
    </r>
    <r>
      <rPr>
        <sz val="12"/>
        <color rgb="FF0000FF"/>
        <rFont val="Arial"/>
        <family val="2"/>
      </rPr>
      <t xml:space="preserve"> [1000] </t>
    </r>
    <r>
      <rPr>
        <sz val="12"/>
        <color theme="1"/>
        <rFont val="Arial"/>
        <family val="2"/>
      </rPr>
      <t xml:space="preserve">mm high, </t>
    </r>
    <r>
      <rPr>
        <sz val="12"/>
        <color rgb="FF0000FF"/>
        <rFont val="Arial"/>
        <family val="2"/>
      </rPr>
      <t>[galvanised tubular handrail, BSD-5281 - at Riverview Terrace Stairs]</t>
    </r>
  </si>
  <si>
    <r>
      <t>Fencing,</t>
    </r>
    <r>
      <rPr>
        <sz val="12"/>
        <color rgb="FF0000FF"/>
        <rFont val="Arial"/>
        <family val="2"/>
      </rPr>
      <t xml:space="preserve"> [1000] </t>
    </r>
    <r>
      <rPr>
        <sz val="12"/>
        <color theme="1"/>
        <rFont val="Arial"/>
        <family val="2"/>
      </rPr>
      <t xml:space="preserve">mm high, </t>
    </r>
    <r>
      <rPr>
        <sz val="12"/>
        <color rgb="FF0000FF"/>
        <rFont val="Arial"/>
        <family val="2"/>
      </rPr>
      <t>[galvanised tubular handrail, BSD-7001 - behind gate to 8 Twigg St]</t>
    </r>
  </si>
  <si>
    <r>
      <t>Fencing,</t>
    </r>
    <r>
      <rPr>
        <sz val="12"/>
        <color rgb="FF0000FF"/>
        <rFont val="Arial"/>
        <family val="2"/>
      </rPr>
      <t xml:space="preserve"> [1000] </t>
    </r>
    <r>
      <rPr>
        <sz val="12"/>
        <color theme="1"/>
        <rFont val="Arial"/>
        <family val="2"/>
      </rPr>
      <t xml:space="preserve">mm high, </t>
    </r>
    <r>
      <rPr>
        <sz val="12"/>
        <color rgb="FF0000FF"/>
        <rFont val="Arial"/>
        <family val="2"/>
      </rPr>
      <t>[galvanised tubular handrail, BSD-7006 - Foxton St connection, Cycle friendly handrail]</t>
    </r>
  </si>
  <si>
    <r>
      <t>Fencing,</t>
    </r>
    <r>
      <rPr>
        <sz val="12"/>
        <color rgb="FF0000FF"/>
        <rFont val="Arial"/>
        <family val="2"/>
      </rPr>
      <t xml:space="preserve"> [1200] </t>
    </r>
    <r>
      <rPr>
        <sz val="12"/>
        <color theme="1"/>
        <rFont val="Arial"/>
        <family val="2"/>
      </rPr>
      <t xml:space="preserve">mm high, </t>
    </r>
    <r>
      <rPr>
        <sz val="12"/>
        <color rgb="FF0000FF"/>
        <rFont val="Arial"/>
        <family val="2"/>
      </rPr>
      <t>[weldmesh fencing, BSD-7002 - at boundary between ICC property and 8 Twigg St]</t>
    </r>
  </si>
  <si>
    <r>
      <t xml:space="preserve">Condition Surveys, if ordered </t>
    </r>
    <r>
      <rPr>
        <sz val="12"/>
        <color rgb="FF0000FF"/>
        <rFont val="Arial"/>
        <family val="2"/>
      </rPr>
      <t>[8 Twigg Street (wall and apartment block), heritage ferry ramp, QUU Sewer, ICC clubhouse, ICC pontoon, septic tank]</t>
    </r>
    <r>
      <rPr>
        <sz val="12"/>
        <color theme="1"/>
        <rFont val="Arial"/>
        <family val="2"/>
      </rPr>
      <t xml:space="preserve"> (Provisional Quantity)</t>
    </r>
  </si>
  <si>
    <r>
      <t>Supply and fabrication of bridge balustrade,</t>
    </r>
    <r>
      <rPr>
        <strike/>
        <sz val="12"/>
        <color rgb="FF0000FF"/>
        <rFont val="Cambria"/>
        <family val="1"/>
      </rPr>
      <t xml:space="preserve"> [steel HDG]</t>
    </r>
  </si>
  <si>
    <r>
      <t>Breaking back existing concrete</t>
    </r>
    <r>
      <rPr>
        <sz val="12"/>
        <color rgb="FF0000FF"/>
        <rFont val="Arial"/>
        <family val="2"/>
      </rPr>
      <t xml:space="preserve"> [Retaining wall structure]</t>
    </r>
  </si>
  <si>
    <r>
      <t>Concrete masonry retaining wall, masonry in wall,</t>
    </r>
    <r>
      <rPr>
        <sz val="12"/>
        <color rgb="FF0000FF"/>
        <rFont val="Arial"/>
        <family val="2"/>
      </rPr>
      <t xml:space="preserve"> [Twigg Street Connections | split faced charcoal blocks]</t>
    </r>
  </si>
  <si>
    <r>
      <t>Concrete Class</t>
    </r>
    <r>
      <rPr>
        <sz val="12"/>
        <color rgb="FF0000FF"/>
        <rFont val="Arial"/>
        <family val="2"/>
      </rPr>
      <t xml:space="preserve"> [50]</t>
    </r>
    <r>
      <rPr>
        <sz val="12"/>
        <color theme="1"/>
        <rFont val="Arial"/>
        <family val="2"/>
      </rPr>
      <t xml:space="preserve"> MPa/20 in deck </t>
    </r>
    <r>
      <rPr>
        <sz val="12"/>
        <color rgb="FF0000FF"/>
        <rFont val="Arial"/>
        <family val="2"/>
      </rPr>
      <t>[Stage 2 (&amp;3 for Pier 8) deck pour]</t>
    </r>
  </si>
  <si>
    <r>
      <t>Concrete Class</t>
    </r>
    <r>
      <rPr>
        <sz val="12"/>
        <color rgb="FF0000FF"/>
        <rFont val="Arial"/>
        <family val="2"/>
      </rPr>
      <t xml:space="preserve"> [50]</t>
    </r>
    <r>
      <rPr>
        <sz val="12"/>
        <color theme="1"/>
        <rFont val="Arial"/>
        <family val="2"/>
      </rPr>
      <t xml:space="preserve"> MPa/20 in deck </t>
    </r>
    <r>
      <rPr>
        <sz val="12"/>
        <color rgb="FF0000FF"/>
        <rFont val="Arial"/>
        <family val="2"/>
      </rPr>
      <t>[Stage 1 deck pour]</t>
    </r>
  </si>
  <si>
    <r>
      <t xml:space="preserve">Application of target herbicide (Provisional Quantity, if ordered - extent to be determined on site) </t>
    </r>
    <r>
      <rPr>
        <sz val="12"/>
        <color rgb="FF0000FF"/>
        <rFont val="Arial"/>
        <family val="2"/>
      </rPr>
      <t>[description]</t>
    </r>
  </si>
  <si>
    <r>
      <t xml:space="preserve">Manufactured site topsoil </t>
    </r>
    <r>
      <rPr>
        <sz val="12"/>
        <color rgb="FF0000FF"/>
        <rFont val="Arial"/>
        <family val="2"/>
      </rPr>
      <t>[Planting Verge]</t>
    </r>
    <r>
      <rPr>
        <sz val="12"/>
        <color theme="1"/>
        <rFont val="Arial"/>
        <family val="2"/>
      </rPr>
      <t xml:space="preserve"> (Provisional Quantity, if ordered)</t>
    </r>
  </si>
  <si>
    <r>
      <t xml:space="preserve">Manufactured site topsoil </t>
    </r>
    <r>
      <rPr>
        <sz val="12"/>
        <color rgb="FF0000FF"/>
        <rFont val="Arial"/>
        <family val="2"/>
      </rPr>
      <t>[Turf]</t>
    </r>
    <r>
      <rPr>
        <sz val="12"/>
        <color theme="1"/>
        <rFont val="Arial"/>
        <family val="2"/>
      </rPr>
      <t xml:space="preserve"> (Provisional Quantity, if ordered)</t>
    </r>
  </si>
  <si>
    <r>
      <t>Manufactured site topsoil</t>
    </r>
    <r>
      <rPr>
        <sz val="12"/>
        <color rgb="FF0000FF"/>
        <rFont val="Arial"/>
        <family val="2"/>
      </rPr>
      <t xml:space="preserve"> [Batter Planting Area]</t>
    </r>
    <r>
      <rPr>
        <sz val="12"/>
        <color theme="1"/>
        <rFont val="Arial"/>
        <family val="2"/>
      </rPr>
      <t xml:space="preserve"> (Provisional Quantity, if ordered)</t>
    </r>
  </si>
  <si>
    <r>
      <t xml:space="preserve">Manufactured site topsoil </t>
    </r>
    <r>
      <rPr>
        <sz val="12"/>
        <color rgb="FF0000FF"/>
        <rFont val="Arial"/>
        <family val="2"/>
      </rPr>
      <t>[Vine planting below bridge]</t>
    </r>
    <r>
      <rPr>
        <sz val="12"/>
        <color theme="1"/>
        <rFont val="Arial"/>
        <family val="2"/>
      </rPr>
      <t xml:space="preserve"> (Provisional Quantity, if ordered)</t>
    </r>
  </si>
  <si>
    <r>
      <t>Manufactured site topsoil</t>
    </r>
    <r>
      <rPr>
        <sz val="12"/>
        <color rgb="FF0000FF"/>
        <rFont val="Arial"/>
        <family val="2"/>
      </rPr>
      <t xml:space="preserve"> [Batter Slope Planting Area]</t>
    </r>
    <r>
      <rPr>
        <sz val="12"/>
        <color theme="1"/>
        <rFont val="Arial"/>
        <family val="2"/>
      </rPr>
      <t xml:space="preserve">  (Provisional Quantity, if ordered)</t>
    </r>
  </si>
  <si>
    <t>Installation of ameliorants to subsoil - Planting Verge</t>
  </si>
  <si>
    <t>Installation of ameliorants to subsoil - Batter Planting Area</t>
  </si>
  <si>
    <t>Installation of ameliorants to subsoil - Turf</t>
  </si>
  <si>
    <t>Ripping, cultivation, roughening - Planting Verge</t>
  </si>
  <si>
    <t xml:space="preserve">Ripping, cultivation, roughening - Batter Planting Area </t>
  </si>
  <si>
    <t>Ripping, cultivation, roughening - Turf</t>
  </si>
  <si>
    <t xml:space="preserve">Ripping, cultivation, roughening - Batter Slope Planting Area </t>
  </si>
  <si>
    <r>
      <t>Installation of topsoil</t>
    </r>
    <r>
      <rPr>
        <sz val="12"/>
        <color rgb="FF0000FF"/>
        <rFont val="Arial"/>
        <family val="2"/>
      </rPr>
      <t xml:space="preserve"> [depth as per standand details specified]</t>
    </r>
  </si>
  <si>
    <r>
      <t xml:space="preserve">Concrete kerb, </t>
    </r>
    <r>
      <rPr>
        <sz val="12"/>
        <color rgb="FF0000FF"/>
        <rFont val="Arial"/>
        <family val="2"/>
      </rPr>
      <t>[Standard Type E] as per BSD - 2001</t>
    </r>
  </si>
  <si>
    <r>
      <t xml:space="preserve">Concrete kerb, </t>
    </r>
    <r>
      <rPr>
        <sz val="12"/>
        <color rgb="FF0000FF"/>
        <rFont val="Arial"/>
        <family val="2"/>
      </rPr>
      <t>[Edge retraint] as per BSD - 2001</t>
    </r>
  </si>
  <si>
    <r>
      <t xml:space="preserve">Concrete kerb, </t>
    </r>
    <r>
      <rPr>
        <sz val="12"/>
        <color rgb="FF0000FF"/>
        <rFont val="Arial"/>
        <family val="2"/>
      </rPr>
      <t>[Mountable] as per BSD - 2001</t>
    </r>
  </si>
  <si>
    <r>
      <t xml:space="preserve">Concrete kerb crossings, </t>
    </r>
    <r>
      <rPr>
        <sz val="12"/>
        <color rgb="FF0000FF"/>
        <rFont val="Arial"/>
        <family val="2"/>
      </rPr>
      <t xml:space="preserve">[Kerb ramp on across mountable kerb] </t>
    </r>
  </si>
  <si>
    <r>
      <t xml:space="preserve">Concrete channel, </t>
    </r>
    <r>
      <rPr>
        <sz val="12"/>
        <color rgb="FF0000FF"/>
        <rFont val="Arial"/>
        <family val="2"/>
      </rPr>
      <t>[Invert] as per BSD - 2001</t>
    </r>
  </si>
  <si>
    <r>
      <t xml:space="preserve">Concrete kerb and channel, </t>
    </r>
    <r>
      <rPr>
        <sz val="12"/>
        <color rgb="FF0000FF"/>
        <rFont val="Arial"/>
        <family val="2"/>
      </rPr>
      <t>[BCC Standard Type E as per BSD-2001, including all materials, resources and equipment involved with tying to existing kerbs where specified] (MRS03 Jul 17)</t>
    </r>
  </si>
  <si>
    <r>
      <t xml:space="preserve">Concrete kerb and channel crossings, </t>
    </r>
    <r>
      <rPr>
        <sz val="12"/>
        <color rgb="FF0000FF"/>
        <rFont val="Arial"/>
        <family val="2"/>
      </rPr>
      <t>[Standard Type E, as per BSD-5231, including all materials, resources and equipment involved with tying to existing kerbs where specified]  (MRS03 Jul 17)</t>
    </r>
  </si>
  <si>
    <r>
      <t>Subtype 2.3, Unbound pavement,</t>
    </r>
    <r>
      <rPr>
        <sz val="12"/>
        <color rgb="FF0000FF"/>
        <rFont val="Arial"/>
        <family val="2"/>
      </rPr>
      <t xml:space="preserve"> [As specified on the design drawings] </t>
    </r>
    <r>
      <rPr>
        <sz val="12"/>
        <rFont val="Arial"/>
        <family val="2"/>
      </rPr>
      <t>(MRS05 Jul 17)</t>
    </r>
  </si>
  <si>
    <r>
      <t xml:space="preserve">Subtype 2.3, Unbound pavement, </t>
    </r>
    <r>
      <rPr>
        <sz val="12"/>
        <color rgb="FF0000FF"/>
        <rFont val="Arial"/>
        <family val="2"/>
      </rPr>
      <t>[As specified on the design drawings]</t>
    </r>
    <r>
      <rPr>
        <sz val="12"/>
        <color theme="1"/>
        <rFont val="Arial"/>
        <family val="2"/>
      </rPr>
      <t xml:space="preserve"> (MRS05 Jul 17)</t>
    </r>
  </si>
  <si>
    <t>90201.03S</t>
  </si>
  <si>
    <r>
      <t xml:space="preserve">Subsoil drain clean-out, </t>
    </r>
    <r>
      <rPr>
        <sz val="12"/>
        <color rgb="FF0000FF"/>
        <rFont val="Arial"/>
        <family val="2"/>
      </rPr>
      <t xml:space="preserve">[100] </t>
    </r>
    <r>
      <rPr>
        <sz val="12"/>
        <rFont val="Arial"/>
        <family val="2"/>
      </rPr>
      <t>mm diameter</t>
    </r>
    <r>
      <rPr>
        <sz val="12"/>
        <color rgb="FF0000FF"/>
        <rFont val="Arial"/>
        <family val="2"/>
      </rPr>
      <t>, [B]</t>
    </r>
  </si>
  <si>
    <t>32104.01P</t>
  </si>
  <si>
    <t>30551.02P</t>
  </si>
  <si>
    <t>30554.02P</t>
  </si>
  <si>
    <r>
      <t xml:space="preserve">Subsoil drains, Type B, </t>
    </r>
    <r>
      <rPr>
        <sz val="12"/>
        <color rgb="FF0000FF"/>
        <rFont val="Arial"/>
        <family val="2"/>
      </rPr>
      <t>[100] mm diameter, Foxton Street</t>
    </r>
  </si>
  <si>
    <r>
      <t>Supply and installation of cable jointing pit</t>
    </r>
    <r>
      <rPr>
        <sz val="12"/>
        <color rgb="FF0000FF"/>
        <rFont val="Arial"/>
        <family val="2"/>
      </rPr>
      <t xml:space="preserve"> [Type 45 concrete pit with class D lid and 300mm riser]</t>
    </r>
  </si>
  <si>
    <t xml:space="preserve">Shotcreting </t>
  </si>
  <si>
    <t>30809.02P</t>
  </si>
  <si>
    <t>Soil nailing</t>
  </si>
  <si>
    <t>30675.02P</t>
  </si>
  <si>
    <t>9008.01P</t>
  </si>
  <si>
    <t>Supply and install rockfall mesh (Refer to PSS 9008)</t>
  </si>
  <si>
    <r>
      <t xml:space="preserve">Supply and place concrete in jointed reinforced base </t>
    </r>
    <r>
      <rPr>
        <sz val="12"/>
        <color rgb="FF0000FF"/>
        <rFont val="Arial"/>
        <family val="2"/>
      </rPr>
      <t>[Piled slab as per Drg 4831] (Provisional Quantity)</t>
    </r>
  </si>
  <si>
    <r>
      <t xml:space="preserve">Supply and place concrete in jointed reinforced base </t>
    </r>
    <r>
      <rPr>
        <sz val="12"/>
        <color rgb="FF0000FF"/>
        <rFont val="Arial"/>
        <family val="2"/>
      </rPr>
      <t>[Stairs as per BSD-5284 or similar] (Provisional Quantity)</t>
    </r>
  </si>
  <si>
    <r>
      <t xml:space="preserve">Excavation for structures, all materials </t>
    </r>
    <r>
      <rPr>
        <sz val="12"/>
        <color rgb="FF0000FF"/>
        <rFont val="Arial"/>
        <family val="2"/>
      </rPr>
      <t>[Twigg Street Connection] (Provisional Quantity)</t>
    </r>
  </si>
  <si>
    <r>
      <t xml:space="preserve">Excavation for structures, all materials </t>
    </r>
    <r>
      <rPr>
        <sz val="12"/>
        <color rgb="FF0000FF"/>
        <rFont val="Arial"/>
        <family val="2"/>
      </rPr>
      <t>[Radnor Street Connections] (Provisional Quantity)</t>
    </r>
  </si>
  <si>
    <t>30003.02P</t>
  </si>
  <si>
    <t>Removal or demolition of culverts, excluding end structures [B/07 to B/06 and B/06 to B/05 if found to be in poor condition] (Provisional Quantity, if ordered)</t>
  </si>
  <si>
    <t>9010.01SP</t>
  </si>
  <si>
    <t>Clean out of existing pipe culverts and inlets [Pit B/07 and pipes B/07 to B/06 and B/06 to B/05 if retained] (Refer to PSS 9010) (Provisional Quantity, if ordered)</t>
  </si>
  <si>
    <t>32302.02P</t>
  </si>
  <si>
    <r>
      <t xml:space="preserve">Subgrade testing </t>
    </r>
    <r>
      <rPr>
        <sz val="12"/>
        <color rgb="FF0000FF"/>
        <rFont val="Arial"/>
        <family val="2"/>
      </rPr>
      <t>[Backfill materials, Item 9 of Appendix A MRTS04]</t>
    </r>
    <r>
      <rPr>
        <sz val="12"/>
        <color theme="1"/>
        <rFont val="Arial"/>
        <family val="2"/>
      </rPr>
      <t xml:space="preserve"> (Provisional Quantity, if ordered)</t>
    </r>
  </si>
  <si>
    <r>
      <t xml:space="preserve">Subgrade testing </t>
    </r>
    <r>
      <rPr>
        <sz val="12"/>
        <color rgb="FF0000FF"/>
        <rFont val="Arial"/>
        <family val="2"/>
      </rPr>
      <t>[Earth fill materials, Item 10 of Appendix A MRTS04]</t>
    </r>
    <r>
      <rPr>
        <sz val="12"/>
        <color theme="1"/>
        <rFont val="Arial"/>
        <family val="2"/>
      </rPr>
      <t xml:space="preserve"> (Provisional Quantity, if ordered)</t>
    </r>
  </si>
  <si>
    <r>
      <t>Fencing,</t>
    </r>
    <r>
      <rPr>
        <sz val="12"/>
        <color rgb="FF0000FF"/>
        <rFont val="Arial"/>
        <family val="2"/>
      </rPr>
      <t xml:space="preserve"> [1000] </t>
    </r>
    <r>
      <rPr>
        <sz val="12"/>
        <color theme="1"/>
        <rFont val="Arial"/>
        <family val="2"/>
      </rPr>
      <t xml:space="preserve">mm high, </t>
    </r>
    <r>
      <rPr>
        <sz val="12"/>
        <color rgb="FF0000FF"/>
        <rFont val="Arial"/>
        <family val="2"/>
      </rPr>
      <t>[galvanised tubular handrail, BSD-7006 - At 8 Twigg St Driveway]</t>
    </r>
  </si>
  <si>
    <r>
      <t>Fencing,</t>
    </r>
    <r>
      <rPr>
        <sz val="12"/>
        <color rgb="FF0000FF"/>
        <rFont val="Arial"/>
        <family val="2"/>
      </rPr>
      <t xml:space="preserve"> [1000] </t>
    </r>
    <r>
      <rPr>
        <sz val="12"/>
        <color theme="1"/>
        <rFont val="Arial"/>
        <family val="2"/>
      </rPr>
      <t xml:space="preserve">mm high, </t>
    </r>
    <r>
      <rPr>
        <sz val="12"/>
        <color rgb="FF0000FF"/>
        <rFont val="Arial"/>
        <family val="2"/>
      </rPr>
      <t>[galvanised tubular handrail, BSD-7001 - At existing footpath along Radnor St]</t>
    </r>
  </si>
  <si>
    <t>50168.01S</t>
  </si>
  <si>
    <r>
      <t>Gates,</t>
    </r>
    <r>
      <rPr>
        <sz val="12"/>
        <color rgb="FF0000FF"/>
        <rFont val="Arial"/>
        <family val="2"/>
      </rPr>
      <t xml:space="preserve"> [relocate existing gate, supply of new fixings]</t>
    </r>
  </si>
  <si>
    <r>
      <t>Fencing,</t>
    </r>
    <r>
      <rPr>
        <sz val="12"/>
        <color rgb="FF0000FF"/>
        <rFont val="Arial"/>
        <family val="2"/>
      </rPr>
      <t xml:space="preserve"> [Relocate existing fence at Riverview Tce]</t>
    </r>
  </si>
  <si>
    <t>77308.01P</t>
  </si>
  <si>
    <r>
      <t xml:space="preserve">Site civil works </t>
    </r>
    <r>
      <rPr>
        <sz val="12"/>
        <color rgb="FF0000FF"/>
        <rFont val="Arial"/>
        <family val="2"/>
      </rPr>
      <t>[relocation of stay wires] (Provisional Quantity, if ordered)</t>
    </r>
  </si>
  <si>
    <r>
      <t xml:space="preserve">Stone pitched retaining walls, </t>
    </r>
    <r>
      <rPr>
        <sz val="12"/>
        <color rgb="FF0000FF"/>
        <rFont val="Arial"/>
        <family val="2"/>
      </rPr>
      <t>[8 Twigg St / ICC boundary - existing terraced wall]</t>
    </r>
    <r>
      <rPr>
        <sz val="12"/>
        <color theme="1"/>
        <rFont val="Arial"/>
        <family val="2"/>
      </rPr>
      <t xml:space="preserve"> in accordance with BCC standard drawing BSD-2221 (Refer CTS03) (Provisional Sum, if ordered)</t>
    </r>
  </si>
  <si>
    <r>
      <t xml:space="preserve">Backfill with free draining granular material to </t>
    </r>
    <r>
      <rPr>
        <sz val="12"/>
        <color rgb="FF0000FF"/>
        <rFont val="Arial"/>
        <family val="2"/>
      </rPr>
      <t>[Piled slab, Abutment A and Radnor Street Retaining Walls] (Provisional Quantity)</t>
    </r>
  </si>
  <si>
    <r>
      <t xml:space="preserve">Steel pipe liners, supply on Site </t>
    </r>
    <r>
      <rPr>
        <sz val="12"/>
        <color rgb="FF0000FF"/>
        <rFont val="Arial"/>
        <family val="2"/>
      </rPr>
      <t xml:space="preserve">[1500mm dia x 16thk] [Piers] </t>
    </r>
    <r>
      <rPr>
        <sz val="12"/>
        <rFont val="Arial"/>
        <family val="2"/>
      </rPr>
      <t>(Provisional Quantity, if ordered)</t>
    </r>
  </si>
  <si>
    <r>
      <t xml:space="preserve">Steel pipe liners, supply on Site </t>
    </r>
    <r>
      <rPr>
        <sz val="12"/>
        <color rgb="FF0000FF"/>
        <rFont val="Arial"/>
        <family val="2"/>
      </rPr>
      <t>[900mm dia x 12thk] [Abutment A]</t>
    </r>
    <r>
      <rPr>
        <sz val="12"/>
        <rFont val="Arial"/>
        <family val="2"/>
      </rPr>
      <t xml:space="preserve"> (Provisional Quantity, if ordered)</t>
    </r>
  </si>
  <si>
    <r>
      <t xml:space="preserve">Steel pipe liners, supply on Site </t>
    </r>
    <r>
      <rPr>
        <sz val="12"/>
        <color rgb="FF0000FF"/>
        <rFont val="Arial"/>
        <family val="2"/>
      </rPr>
      <t>[600mm dia x 12thk] [Abutment B, C &amp; Retaining wall]</t>
    </r>
    <r>
      <rPr>
        <sz val="12"/>
        <rFont val="Arial"/>
        <family val="2"/>
      </rPr>
      <t xml:space="preserve"> (Provisional Quantity, if ordered)</t>
    </r>
  </si>
  <si>
    <r>
      <t xml:space="preserve">Steel pipe liners, supply on Site </t>
    </r>
    <r>
      <rPr>
        <sz val="12"/>
        <color rgb="FF0000FF"/>
        <rFont val="Arial"/>
        <family val="2"/>
      </rPr>
      <t xml:space="preserve">[450mm dia x 12thk] [Abutment A wingwall] </t>
    </r>
    <r>
      <rPr>
        <sz val="12"/>
        <rFont val="Arial"/>
        <family val="2"/>
      </rPr>
      <t>(Provisional Quantity, if ordered)</t>
    </r>
  </si>
  <si>
    <r>
      <t xml:space="preserve">Driving steel liners </t>
    </r>
    <r>
      <rPr>
        <sz val="12"/>
        <color rgb="FF0000FF"/>
        <rFont val="Arial"/>
        <family val="2"/>
      </rPr>
      <t xml:space="preserve">[1500mm x 16 thk] [Piers] </t>
    </r>
    <r>
      <rPr>
        <sz val="12"/>
        <rFont val="Arial"/>
        <family val="2"/>
      </rPr>
      <t>(Provisional Quantity, if ordered)</t>
    </r>
  </si>
  <si>
    <r>
      <t xml:space="preserve">Driving steel liners </t>
    </r>
    <r>
      <rPr>
        <sz val="12"/>
        <color rgb="FF0000FF"/>
        <rFont val="Arial"/>
        <family val="2"/>
      </rPr>
      <t xml:space="preserve">[900mm x 12 thk] [Abutment A] </t>
    </r>
    <r>
      <rPr>
        <sz val="12"/>
        <rFont val="Arial"/>
        <family val="2"/>
      </rPr>
      <t>(Provisional Quantity, if ordered)</t>
    </r>
  </si>
  <si>
    <r>
      <t xml:space="preserve">Driving steel liners </t>
    </r>
    <r>
      <rPr>
        <sz val="12"/>
        <color rgb="FF0000FF"/>
        <rFont val="Arial"/>
        <family val="2"/>
      </rPr>
      <t xml:space="preserve">[600mm x 12 thk] [Abutment B, C &amp; Retaining wall] </t>
    </r>
    <r>
      <rPr>
        <sz val="12"/>
        <rFont val="Arial"/>
        <family val="2"/>
      </rPr>
      <t>(Provisional Quantity, if ordered)</t>
    </r>
  </si>
  <si>
    <r>
      <t xml:space="preserve">Driving steel liners </t>
    </r>
    <r>
      <rPr>
        <sz val="12"/>
        <color rgb="FF0000FF"/>
        <rFont val="Arial"/>
        <family val="2"/>
      </rPr>
      <t xml:space="preserve">[450mm x 12 thk] [Abutment A wingwall] </t>
    </r>
    <r>
      <rPr>
        <sz val="12"/>
        <rFont val="Arial"/>
        <family val="2"/>
      </rPr>
      <t>(Provisional Quantity, if ordered)</t>
    </r>
  </si>
  <si>
    <r>
      <t xml:space="preserve">Excavation of liners </t>
    </r>
    <r>
      <rPr>
        <sz val="12"/>
        <color rgb="FF0000FF"/>
        <rFont val="Arial"/>
        <family val="2"/>
      </rPr>
      <t xml:space="preserve">[1500mm x 16 thk] [Piers] </t>
    </r>
    <r>
      <rPr>
        <sz val="12"/>
        <rFont val="Arial"/>
        <family val="2"/>
      </rPr>
      <t>(Provisional Quantity, if ordered)</t>
    </r>
  </si>
  <si>
    <r>
      <t xml:space="preserve">Excavation of liners </t>
    </r>
    <r>
      <rPr>
        <sz val="12"/>
        <color rgb="FF0000FF"/>
        <rFont val="Arial"/>
        <family val="2"/>
      </rPr>
      <t xml:space="preserve">[900mm x 12 thk] [Abutment A] </t>
    </r>
    <r>
      <rPr>
        <sz val="12"/>
        <rFont val="Arial"/>
        <family val="2"/>
      </rPr>
      <t>(Provisional Quantity, if ordered)</t>
    </r>
  </si>
  <si>
    <r>
      <t xml:space="preserve">Excavation of liners </t>
    </r>
    <r>
      <rPr>
        <sz val="12"/>
        <color rgb="FF0000FF"/>
        <rFont val="Arial"/>
        <family val="2"/>
      </rPr>
      <t xml:space="preserve">[600mm x 12 thk] [Abutment B, C &amp; Retaining wall] </t>
    </r>
    <r>
      <rPr>
        <sz val="12"/>
        <rFont val="Arial"/>
        <family val="2"/>
      </rPr>
      <t>(Provisional Quantity, if ordered)</t>
    </r>
  </si>
  <si>
    <r>
      <t xml:space="preserve">Excavation of liners </t>
    </r>
    <r>
      <rPr>
        <sz val="12"/>
        <color rgb="FF0000FF"/>
        <rFont val="Arial"/>
        <family val="2"/>
      </rPr>
      <t xml:space="preserve">[450mm x 12 thk] [Abutment A wingwall] </t>
    </r>
    <r>
      <rPr>
        <sz val="12"/>
        <rFont val="Arial"/>
        <family val="2"/>
      </rPr>
      <t>(Provisional Quantity, if ordered)</t>
    </r>
  </si>
  <si>
    <r>
      <t xml:space="preserve">Concrete Class </t>
    </r>
    <r>
      <rPr>
        <sz val="12"/>
        <color rgb="FF0000FF"/>
        <rFont val="Arial"/>
        <family val="2"/>
      </rPr>
      <t xml:space="preserve">[C2 &amp; S55] </t>
    </r>
    <r>
      <rPr>
        <sz val="12"/>
        <rFont val="Arial"/>
        <family val="2"/>
      </rPr>
      <t xml:space="preserve">55 MPa/20 in abutment lined pile </t>
    </r>
    <r>
      <rPr>
        <sz val="12"/>
        <color rgb="FF0000FF"/>
        <rFont val="Arial"/>
        <family val="2"/>
      </rPr>
      <t xml:space="preserve">[Abutment A] </t>
    </r>
    <r>
      <rPr>
        <sz val="12"/>
        <rFont val="Arial"/>
        <family val="2"/>
      </rPr>
      <t>(Provisional Quantity, if ordered)</t>
    </r>
  </si>
  <si>
    <r>
      <t xml:space="preserve">Concrete Class </t>
    </r>
    <r>
      <rPr>
        <sz val="12"/>
        <color rgb="FF0000FF"/>
        <rFont val="Arial"/>
        <family val="2"/>
      </rPr>
      <t xml:space="preserve">[C2 &amp; S55] </t>
    </r>
    <r>
      <rPr>
        <sz val="12"/>
        <rFont val="Arial"/>
        <family val="2"/>
      </rPr>
      <t xml:space="preserve">55 MPa/20 in abutment lined pile </t>
    </r>
    <r>
      <rPr>
        <sz val="12"/>
        <color rgb="FF0000FF"/>
        <rFont val="Arial"/>
        <family val="2"/>
      </rPr>
      <t xml:space="preserve">[Abutment B, C &amp; Retaining wall] </t>
    </r>
    <r>
      <rPr>
        <sz val="12"/>
        <rFont val="Arial"/>
        <family val="2"/>
      </rPr>
      <t>(Provisional Quantity, if ordered)</t>
    </r>
  </si>
  <si>
    <r>
      <t xml:space="preserve">Concrete Class </t>
    </r>
    <r>
      <rPr>
        <sz val="12"/>
        <color rgb="FF0000FF"/>
        <rFont val="Arial"/>
        <family val="2"/>
      </rPr>
      <t>[C2 &amp; S55]</t>
    </r>
    <r>
      <rPr>
        <sz val="12"/>
        <rFont val="Arial"/>
        <family val="2"/>
      </rPr>
      <t xml:space="preserve"> 55 MPa/20 in </t>
    </r>
    <r>
      <rPr>
        <sz val="12"/>
        <color rgb="FF0000FF"/>
        <rFont val="Arial"/>
        <family val="2"/>
      </rPr>
      <t>[Abutment A wingwall]</t>
    </r>
    <r>
      <rPr>
        <sz val="12"/>
        <rFont val="Arial"/>
        <family val="2"/>
      </rPr>
      <t xml:space="preserve"> lined pile</t>
    </r>
    <r>
      <rPr>
        <sz val="12"/>
        <color rgb="FF0000FF"/>
        <rFont val="Arial"/>
        <family val="2"/>
      </rPr>
      <t xml:space="preserve"> </t>
    </r>
    <r>
      <rPr>
        <sz val="12"/>
        <rFont val="Arial"/>
        <family val="2"/>
      </rPr>
      <t>(Provisional Quantity, if ordered)</t>
    </r>
  </si>
  <si>
    <r>
      <t>Concrete Class</t>
    </r>
    <r>
      <rPr>
        <sz val="12"/>
        <color rgb="FF0000FF"/>
        <rFont val="Arial"/>
        <family val="2"/>
      </rPr>
      <t xml:space="preserve"> [C2 &amp; S55]</t>
    </r>
    <r>
      <rPr>
        <sz val="12"/>
        <color theme="1"/>
        <rFont val="Arial"/>
        <family val="2"/>
      </rPr>
      <t xml:space="preserve"> 55 MPa/20 in pier lined pile</t>
    </r>
    <r>
      <rPr>
        <sz val="12"/>
        <color rgb="FF0000FF"/>
        <rFont val="Arial"/>
        <family val="2"/>
      </rPr>
      <t xml:space="preserve"> </t>
    </r>
    <r>
      <rPr>
        <sz val="12"/>
        <rFont val="Arial"/>
        <family val="2"/>
      </rPr>
      <t>(Provisional Quantity, if ordered)</t>
    </r>
  </si>
  <si>
    <t>Steel reinforcing bar in piles (Provisional Quantity, if ordered)</t>
  </si>
  <si>
    <t>Mulch (Provisional Quantity, if ordered)</t>
  </si>
  <si>
    <t>30002.01P</t>
  </si>
  <si>
    <t>Removal or demolition of culvert end structures [Refer to drawings] (Provisional Quantity, if ordered)</t>
  </si>
  <si>
    <r>
      <t xml:space="preserve">Subsoil drains, Type B, </t>
    </r>
    <r>
      <rPr>
        <sz val="12"/>
        <color rgb="FF0000FF"/>
        <rFont val="Arial"/>
        <family val="2"/>
      </rPr>
      <t>[100] mm diameter, Twigg Street</t>
    </r>
    <r>
      <rPr>
        <sz val="12"/>
        <rFont val="Arial"/>
        <family val="2"/>
      </rPr>
      <t xml:space="preserve"> (Provisional quantity, if ordered)</t>
    </r>
  </si>
  <si>
    <r>
      <t xml:space="preserve">Subsoil drain clean-out, </t>
    </r>
    <r>
      <rPr>
        <sz val="12"/>
        <color rgb="FF0000FF"/>
        <rFont val="Arial"/>
        <family val="2"/>
      </rPr>
      <t xml:space="preserve">[100] </t>
    </r>
    <r>
      <rPr>
        <sz val="12"/>
        <rFont val="Arial"/>
        <family val="2"/>
      </rPr>
      <t>mm diameter</t>
    </r>
    <r>
      <rPr>
        <sz val="12"/>
        <color rgb="FF0000FF"/>
        <rFont val="Arial"/>
        <family val="2"/>
      </rPr>
      <t xml:space="preserve">, [B] </t>
    </r>
    <r>
      <rPr>
        <sz val="12"/>
        <rFont val="Arial"/>
        <family val="2"/>
      </rPr>
      <t>(Provisional quantity, if ordered)</t>
    </r>
  </si>
  <si>
    <r>
      <t>Hand placed concrete paving,</t>
    </r>
    <r>
      <rPr>
        <sz val="12"/>
        <color rgb="FF0000FF"/>
        <rFont val="Arial"/>
        <family val="2"/>
      </rPr>
      <t xml:space="preserve"> [125]</t>
    </r>
    <r>
      <rPr>
        <sz val="12"/>
        <color theme="1"/>
        <rFont val="Arial"/>
        <family val="2"/>
      </rPr>
      <t xml:space="preserve"> </t>
    </r>
    <r>
      <rPr>
        <sz val="12"/>
        <color rgb="FF0000FF"/>
        <rFont val="Arial"/>
        <family val="2"/>
      </rPr>
      <t>mm thick, Twigg Street. Concrete bikepath with edge thickening 32MPa, SL72 mesh (Refer to supplementary requirements in MRTS03.1)</t>
    </r>
  </si>
  <si>
    <r>
      <t>Hand placed concrete paving,</t>
    </r>
    <r>
      <rPr>
        <sz val="12"/>
        <color rgb="FF0000FF"/>
        <rFont val="Arial"/>
        <family val="2"/>
      </rPr>
      <t xml:space="preserve"> [125]</t>
    </r>
    <r>
      <rPr>
        <sz val="12"/>
        <color theme="1"/>
        <rFont val="Arial"/>
        <family val="2"/>
      </rPr>
      <t xml:space="preserve"> </t>
    </r>
    <r>
      <rPr>
        <sz val="12"/>
        <color rgb="FF0000FF"/>
        <rFont val="Arial"/>
        <family val="2"/>
      </rPr>
      <t>mm thick, Foxton Street. Concrete bikepath with edge thickening 32MPa, SL72 mesh (Refer to supplementary requirements in MRTS03.1)</t>
    </r>
  </si>
  <si>
    <r>
      <t xml:space="preserve">Reinstatement of concrete driveway </t>
    </r>
    <r>
      <rPr>
        <sz val="12"/>
        <color rgb="FF0000FF"/>
        <rFont val="Arial"/>
        <family val="2"/>
      </rPr>
      <t>[165mm concrete slab]</t>
    </r>
    <r>
      <rPr>
        <sz val="12"/>
        <color theme="1"/>
        <rFont val="Arial"/>
        <family val="2"/>
      </rPr>
      <t xml:space="preserve"> in accordance with BCC standard drawing [BSD-2021, BSD-2022, BSD-2024, BSD-2025] (Refer CTS05)</t>
    </r>
  </si>
  <si>
    <t>90201.04SP</t>
  </si>
  <si>
    <r>
      <t xml:space="preserve">Cold planing existing pavement </t>
    </r>
    <r>
      <rPr>
        <sz val="12"/>
        <color rgb="FF0000FF"/>
        <rFont val="Arial"/>
        <family val="2"/>
      </rPr>
      <t>[Match Existing Surface Material]</t>
    </r>
    <r>
      <rPr>
        <sz val="12"/>
        <color theme="1"/>
        <rFont val="Arial"/>
        <family val="2"/>
      </rPr>
      <t xml:space="preserve"> mm below finished surface, </t>
    </r>
    <r>
      <rPr>
        <sz val="12"/>
        <color rgb="FF0000FF"/>
        <rFont val="Arial"/>
        <family val="2"/>
      </rPr>
      <t>[Foxton Street intersection]</t>
    </r>
    <r>
      <rPr>
        <sz val="12"/>
        <color theme="1"/>
        <rFont val="Arial"/>
        <family val="2"/>
      </rPr>
      <t xml:space="preserve"> (Refer CTS05) (Provisional quantity, if ordered)</t>
    </r>
  </si>
  <si>
    <r>
      <t>Mill existing pavement material and dispose of it</t>
    </r>
    <r>
      <rPr>
        <sz val="12"/>
        <color rgb="FF0000FF"/>
        <rFont val="Arial"/>
        <family val="2"/>
      </rPr>
      <t xml:space="preserve"> [depth, location]</t>
    </r>
  </si>
  <si>
    <r>
      <t>Medium duty dense graded asphalt in base course, AC</t>
    </r>
    <r>
      <rPr>
        <sz val="12"/>
        <color rgb="FF0000FF"/>
        <rFont val="Arial"/>
        <family val="2"/>
      </rPr>
      <t xml:space="preserve"> [20]</t>
    </r>
    <r>
      <rPr>
        <sz val="12"/>
        <color theme="1"/>
        <rFont val="Arial"/>
        <family val="2"/>
      </rPr>
      <t xml:space="preserve"> M mix, (based on density 2500kg/m³)</t>
    </r>
  </si>
  <si>
    <r>
      <t xml:space="preserve">Medium duty dense graded asphalt in surfacing course, AC </t>
    </r>
    <r>
      <rPr>
        <sz val="12"/>
        <color rgb="FF0000FF"/>
        <rFont val="Arial"/>
        <family val="2"/>
      </rPr>
      <t>[14]</t>
    </r>
    <r>
      <rPr>
        <sz val="12"/>
        <color theme="1"/>
        <rFont val="Arial"/>
        <family val="2"/>
      </rPr>
      <t xml:space="preserve"> M mix (based on density 2500kg/m³)</t>
    </r>
  </si>
  <si>
    <t>41754.02P</t>
  </si>
  <si>
    <r>
      <t xml:space="preserve">Medium duty dense graded asphalt in surfacing course, AC </t>
    </r>
    <r>
      <rPr>
        <sz val="12"/>
        <color rgb="FF0000FF"/>
        <rFont val="Arial"/>
        <family val="2"/>
      </rPr>
      <t>[14]</t>
    </r>
    <r>
      <rPr>
        <sz val="12"/>
        <color theme="1"/>
        <rFont val="Arial"/>
        <family val="2"/>
      </rPr>
      <t xml:space="preserve"> M mix (based on density 2500kg/m³) (Provisional quantity, if ordered)</t>
    </r>
  </si>
  <si>
    <t>30661.03P</t>
  </si>
  <si>
    <r>
      <t>Supply and installation of bollards</t>
    </r>
    <r>
      <rPr>
        <sz val="12"/>
        <color theme="1"/>
        <rFont val="Arial"/>
        <family val="2"/>
      </rPr>
      <t xml:space="preserve"> in accordance with BCC standard drawing [BSD-7091,BSD-7092, BSD-7093, BSD-7094] (Refer CTS14)</t>
    </r>
  </si>
  <si>
    <t>9011.01S</t>
  </si>
  <si>
    <t>9011.02S</t>
  </si>
  <si>
    <t>Supply and installation of Saferoads rubber kerb separators, male end (or approved equivalent) (Refer to PSS 9011)</t>
  </si>
  <si>
    <t>Supply and installation of Saferoads rubber kerb separators, female end (or approved equivalent) (Refer to PSS 9011)</t>
  </si>
  <si>
    <t>Excavation, all materials (Provisional Quantity, if ordered)</t>
  </si>
  <si>
    <t>Special excavation, all materials (Provisional Quantity, if ordered)</t>
  </si>
  <si>
    <r>
      <t xml:space="preserve">Supply and installation of steel-reinforced concrete pipe culvert components, Class </t>
    </r>
    <r>
      <rPr>
        <sz val="12"/>
        <color rgb="FF0000FF"/>
        <rFont val="Arial"/>
        <family val="2"/>
      </rPr>
      <t>[3]</t>
    </r>
    <r>
      <rPr>
        <sz val="12"/>
        <color theme="1"/>
        <rFont val="Arial"/>
        <family val="2"/>
      </rPr>
      <t xml:space="preserve">, </t>
    </r>
    <r>
      <rPr>
        <sz val="12"/>
        <color rgb="FF0000FF"/>
        <rFont val="Arial"/>
        <family val="2"/>
      </rPr>
      <t>[450]</t>
    </r>
    <r>
      <rPr>
        <sz val="12"/>
        <color theme="1"/>
        <rFont val="Arial"/>
        <family val="2"/>
      </rPr>
      <t xml:space="preserve"> mm diameter, </t>
    </r>
    <r>
      <rPr>
        <sz val="12"/>
        <color rgb="FF0000FF"/>
        <rFont val="Arial"/>
        <family val="2"/>
      </rPr>
      <t>[marine]</t>
    </r>
    <r>
      <rPr>
        <sz val="12"/>
        <color theme="1"/>
        <rFont val="Arial"/>
        <family val="2"/>
      </rPr>
      <t xml:space="preserve"> environment (Provisional Quantity, if ordered)</t>
    </r>
  </si>
  <si>
    <r>
      <t xml:space="preserve">Concrete kerb and channel crossings, </t>
    </r>
    <r>
      <rPr>
        <sz val="12"/>
        <color rgb="FF0000FF"/>
        <rFont val="Arial"/>
        <family val="2"/>
      </rPr>
      <t>[Standard Type E, as per BSD-2021, including all materials, resources and equipment involved with tying to existing kerbs where specified]  (MRS03 Jul 17)</t>
    </r>
  </si>
  <si>
    <r>
      <t xml:space="preserve">Supply and place flowable fill in abandoned PUP, </t>
    </r>
    <r>
      <rPr>
        <sz val="12"/>
        <color rgb="FF0000FF"/>
        <rFont val="Arial"/>
        <family val="2"/>
      </rPr>
      <t>[size and material to be confirmed on site]</t>
    </r>
    <r>
      <rPr>
        <sz val="12"/>
        <color theme="1"/>
        <rFont val="Arial"/>
        <family val="2"/>
      </rPr>
      <t xml:space="preserve"> (Refer CTS09)</t>
    </r>
  </si>
  <si>
    <r>
      <t xml:space="preserve">Removal and disposal of abandoned PUP, </t>
    </r>
    <r>
      <rPr>
        <sz val="12"/>
        <color rgb="FF0000FF"/>
        <rFont val="Arial"/>
        <family val="2"/>
      </rPr>
      <t>[size and material to be confirmed on site]</t>
    </r>
    <r>
      <rPr>
        <sz val="12"/>
        <color theme="1"/>
        <rFont val="Arial"/>
        <family val="2"/>
      </rPr>
      <t xml:space="preserve"> (Refer CTS09)</t>
    </r>
  </si>
  <si>
    <r>
      <t xml:space="preserve">Supply and installation of geotextile, strength class </t>
    </r>
    <r>
      <rPr>
        <sz val="12"/>
        <color rgb="FF0000FF"/>
        <rFont val="Arial"/>
        <family val="2"/>
      </rPr>
      <t>[A]</t>
    </r>
    <r>
      <rPr>
        <sz val="12"/>
        <rFont val="Arial"/>
        <family val="2"/>
      </rPr>
      <t xml:space="preserve">, filtration class </t>
    </r>
    <r>
      <rPr>
        <sz val="12"/>
        <color rgb="FF0000FF"/>
        <rFont val="Arial"/>
        <family val="2"/>
      </rPr>
      <t>[3] (Provisional Quantity)</t>
    </r>
  </si>
  <si>
    <r>
      <t xml:space="preserve">Supply and installation of geotextile, strength class </t>
    </r>
    <r>
      <rPr>
        <sz val="12"/>
        <color rgb="FF0000FF"/>
        <rFont val="Arial"/>
        <family val="2"/>
      </rPr>
      <t>[E]</t>
    </r>
    <r>
      <rPr>
        <sz val="12"/>
        <rFont val="Arial"/>
        <family val="2"/>
      </rPr>
      <t xml:space="preserve">, filtration class </t>
    </r>
    <r>
      <rPr>
        <sz val="12"/>
        <color rgb="FF0000FF"/>
        <rFont val="Arial"/>
        <family val="2"/>
      </rPr>
      <t>[3]  (Provisional Quantity)</t>
    </r>
  </si>
  <si>
    <t>30562.01P</t>
  </si>
  <si>
    <t>30562.02P</t>
  </si>
  <si>
    <r>
      <t xml:space="preserve">Remove existing pavement </t>
    </r>
    <r>
      <rPr>
        <sz val="12"/>
        <color rgb="FF0000FF"/>
        <rFont val="Arial"/>
        <family val="2"/>
      </rPr>
      <t>[Match Existing Pavement]</t>
    </r>
    <r>
      <rPr>
        <sz val="12"/>
        <color theme="1"/>
        <rFont val="Arial"/>
        <family val="2"/>
      </rPr>
      <t xml:space="preserve"> mm below surface,</t>
    </r>
    <r>
      <rPr>
        <sz val="12"/>
        <color rgb="FF0000FF"/>
        <rFont val="Arial"/>
        <family val="2"/>
      </rPr>
      <t xml:space="preserve"> [At all kerb reinstatements]</t>
    </r>
    <r>
      <rPr>
        <sz val="12"/>
        <color theme="1"/>
        <rFont val="Arial"/>
        <family val="2"/>
      </rPr>
      <t xml:space="preserve"> and backfill with </t>
    </r>
    <r>
      <rPr>
        <sz val="12"/>
        <color rgb="FF0000FF"/>
        <rFont val="Arial"/>
        <family val="2"/>
      </rPr>
      <t>[asphalt]</t>
    </r>
    <r>
      <rPr>
        <sz val="12"/>
        <color theme="1"/>
        <rFont val="Arial"/>
        <family val="2"/>
      </rPr>
      <t xml:space="preserve"> (Refer CTS05) (Provisional quantity, if ordered)</t>
    </r>
  </si>
  <si>
    <r>
      <t>Remove existing pavement</t>
    </r>
    <r>
      <rPr>
        <sz val="12"/>
        <color rgb="FF0000FF"/>
        <rFont val="Arial"/>
        <family val="2"/>
      </rPr>
      <t xml:space="preserve"> [Match Existing Pavement]</t>
    </r>
    <r>
      <rPr>
        <sz val="12"/>
        <color theme="1"/>
        <rFont val="Arial"/>
        <family val="2"/>
      </rPr>
      <t xml:space="preserve"> mm below surface, </t>
    </r>
    <r>
      <rPr>
        <sz val="12"/>
        <color rgb="FF0000FF"/>
        <rFont val="Arial"/>
        <family val="2"/>
      </rPr>
      <t>[At all kerb reinstatements]</t>
    </r>
    <r>
      <rPr>
        <sz val="12"/>
        <color theme="1"/>
        <rFont val="Arial"/>
        <family val="2"/>
      </rPr>
      <t xml:space="preserve"> and backfill with </t>
    </r>
    <r>
      <rPr>
        <sz val="12"/>
        <color rgb="FF0000FF"/>
        <rFont val="Arial"/>
        <family val="2"/>
      </rPr>
      <t>[unbound pavement material]</t>
    </r>
    <r>
      <rPr>
        <sz val="12"/>
        <color theme="1"/>
        <rFont val="Arial"/>
        <family val="2"/>
      </rPr>
      <t xml:space="preserve"> (Refer CTS05) (Provisional quantity, if ordered)</t>
    </r>
  </si>
  <si>
    <t>90230.02PS</t>
  </si>
  <si>
    <t>Quantity</t>
  </si>
  <si>
    <r>
      <t xml:space="preserve">Tack coat </t>
    </r>
    <r>
      <rPr>
        <sz val="12"/>
        <color rgb="FF0000FF"/>
        <rFont val="Arial"/>
        <family val="2"/>
      </rPr>
      <t>[0.2]</t>
    </r>
    <r>
      <rPr>
        <sz val="12"/>
        <color theme="1"/>
        <rFont val="Arial"/>
        <family val="2"/>
      </rPr>
      <t xml:space="preserve"> litres/m², residual bitumen (Provisional Quantity) (Refer CTS30)</t>
    </r>
  </si>
  <si>
    <t>70405.02P</t>
  </si>
  <si>
    <t>70405.03P</t>
  </si>
  <si>
    <t>70405.04P</t>
  </si>
  <si>
    <r>
      <t xml:space="preserve">Extension of steel liners </t>
    </r>
    <r>
      <rPr>
        <sz val="12"/>
        <color rgb="FF0000FF"/>
        <rFont val="Arial"/>
        <family val="2"/>
      </rPr>
      <t>[1500mm dia Piers]</t>
    </r>
    <r>
      <rPr>
        <sz val="12"/>
        <rFont val="Arial"/>
        <family val="2"/>
      </rPr>
      <t xml:space="preserve"> (Provisional Quantity, if ordered)</t>
    </r>
  </si>
  <si>
    <r>
      <t xml:space="preserve">Extension of steel liners </t>
    </r>
    <r>
      <rPr>
        <sz val="12"/>
        <color rgb="FF0000FF"/>
        <rFont val="Arial"/>
        <family val="2"/>
      </rPr>
      <t>[900mm dia Abutment A]</t>
    </r>
    <r>
      <rPr>
        <sz val="12"/>
        <rFont val="Arial"/>
        <family val="2"/>
      </rPr>
      <t xml:space="preserve"> (Provisional Quantity, if ordered)</t>
    </r>
  </si>
  <si>
    <r>
      <t xml:space="preserve">Extension of steel liners </t>
    </r>
    <r>
      <rPr>
        <sz val="12"/>
        <color rgb="FF0000FF"/>
        <rFont val="Arial"/>
        <family val="2"/>
      </rPr>
      <t>[600mm dia Abutment B,C &amp; Retaining wall]</t>
    </r>
    <r>
      <rPr>
        <sz val="12"/>
        <rFont val="Arial"/>
        <family val="2"/>
      </rPr>
      <t xml:space="preserve"> (Provisional Quantity, if ordered)</t>
    </r>
  </si>
  <si>
    <r>
      <t xml:space="preserve">Extension of steel liners </t>
    </r>
    <r>
      <rPr>
        <sz val="12"/>
        <color rgb="FF0000FF"/>
        <rFont val="Arial"/>
        <family val="2"/>
      </rPr>
      <t>[450mm dia Abutment A transition structure]</t>
    </r>
    <r>
      <rPr>
        <sz val="12"/>
        <rFont val="Arial"/>
        <family val="2"/>
      </rPr>
      <t xml:space="preserve"> (Provisional Quantity, if ordered)</t>
    </r>
  </si>
  <si>
    <t>PS</t>
  </si>
  <si>
    <r>
      <t>Hand placed concrete paving,</t>
    </r>
    <r>
      <rPr>
        <sz val="12"/>
        <color rgb="FF0000FF"/>
        <rFont val="Arial"/>
        <family val="2"/>
      </rPr>
      <t xml:space="preserve"> [thickness varies], Riverview Terrace and Witton Road connections. Concrete stairs as per BSD-5284 or similar. (Refer to supplementary requirements in MRTS03.1) (Provisional quantity)</t>
    </r>
  </si>
  <si>
    <t>90630.01PS</t>
  </si>
  <si>
    <t>Removal and re-erection of park furniture, provsional sum if ordered</t>
  </si>
  <si>
    <t>provisional sum</t>
  </si>
  <si>
    <r>
      <t xml:space="preserve">    PROTECTIVE TREATMENTS</t>
    </r>
    <r>
      <rPr>
        <b/>
        <sz val="12"/>
        <color rgb="FF0000FF"/>
        <rFont val="Arial"/>
        <family val="2"/>
      </rPr>
      <t xml:space="preserve"> (MRS03 JUL 17)</t>
    </r>
    <r>
      <rPr>
        <b/>
        <sz val="12"/>
        <color theme="1"/>
        <rFont val="Arial"/>
        <family val="2"/>
      </rPr>
      <t xml:space="preserve"> &amp; (PSS9017)</t>
    </r>
  </si>
  <si>
    <r>
      <t xml:space="preserve">CONCRETE AND REINFORCEMENTS </t>
    </r>
    <r>
      <rPr>
        <b/>
        <sz val="12"/>
        <color rgb="FF0000FF"/>
        <rFont val="Arial"/>
        <family val="2"/>
      </rPr>
      <t>(MRS77 JUL 17)</t>
    </r>
    <r>
      <rPr>
        <b/>
        <sz val="12"/>
        <color theme="1"/>
        <rFont val="Arial"/>
        <family val="2"/>
      </rPr>
      <t xml:space="preserve"> &amp; PSS9017</t>
    </r>
  </si>
  <si>
    <r>
      <t xml:space="preserve">    ROAD SURFACE DELINEATION </t>
    </r>
    <r>
      <rPr>
        <b/>
        <sz val="12"/>
        <color rgb="FF0000FF"/>
        <rFont val="Arial"/>
        <family val="2"/>
      </rPr>
      <t>(CTS45 Jan 18)</t>
    </r>
    <r>
      <rPr>
        <b/>
        <sz val="12"/>
        <color theme="1"/>
        <rFont val="Arial"/>
        <family val="2"/>
      </rPr>
      <t xml:space="preserve"> &amp; (PSS9017)</t>
    </r>
  </si>
  <si>
    <t>Supply and installation of green, red and yellow paint surface treatment, to maintain a minimum enduring skid resistance of 65BPN, colour G27 Hombush Green, colour R13 Signal Red and colour Y13 Vivid Yellow in accordance with AS 2700.  (Refer PSS 9017)</t>
  </si>
  <si>
    <r>
      <t xml:space="preserve">Concrete retaining wall, concrete in footing, </t>
    </r>
    <r>
      <rPr>
        <sz val="12"/>
        <color rgb="FF0000FF"/>
        <rFont val="Arial"/>
        <family val="2"/>
      </rPr>
      <t>[Piled slab as per Drg 4821]</t>
    </r>
  </si>
  <si>
    <r>
      <t>Concrete retaining wall, steel reinforcing bar,</t>
    </r>
    <r>
      <rPr>
        <sz val="12"/>
        <color rgb="FF0000FF"/>
        <rFont val="Arial"/>
        <family val="2"/>
      </rPr>
      <t xml:space="preserve"> [Piled slab as per Drg 4821]</t>
    </r>
  </si>
  <si>
    <t>90352.03P</t>
  </si>
  <si>
    <t>90352.04S</t>
  </si>
  <si>
    <r>
      <t xml:space="preserve">Stone pitched retaining wall bases, </t>
    </r>
    <r>
      <rPr>
        <sz val="12"/>
        <color rgb="FF0000FF"/>
        <rFont val="Arial"/>
        <family val="2"/>
      </rPr>
      <t>[at Foxton Street, refer Dwg 1353]</t>
    </r>
    <r>
      <rPr>
        <sz val="12"/>
        <color theme="1"/>
        <rFont val="Arial"/>
        <family val="2"/>
      </rPr>
      <t xml:space="preserve"> in accordance with BCC standard drawing BSD-2221 (Refer CTS03)</t>
    </r>
  </si>
  <si>
    <r>
      <t xml:space="preserve">Stone pitched retaining wall bases, </t>
    </r>
    <r>
      <rPr>
        <sz val="12"/>
        <color rgb="FF0000FF"/>
        <rFont val="Arial"/>
        <family val="2"/>
      </rPr>
      <t>[Riverview Terrace Connection, refer Drg 1354]</t>
    </r>
    <r>
      <rPr>
        <sz val="12"/>
        <color theme="1"/>
        <rFont val="Arial"/>
        <family val="2"/>
      </rPr>
      <t xml:space="preserve"> in accordance with BCC standard drawing BSD-2221 (Refer CTS03)</t>
    </r>
  </si>
  <si>
    <r>
      <t xml:space="preserve">Stone pitched retaining walls, </t>
    </r>
    <r>
      <rPr>
        <sz val="12"/>
        <color rgb="FF0000FF"/>
        <rFont val="Arial"/>
        <family val="2"/>
      </rPr>
      <t>[Riverview Terrace Connection, refer Drg 1354]</t>
    </r>
    <r>
      <rPr>
        <sz val="12"/>
        <color theme="1"/>
        <rFont val="Arial"/>
        <family val="2"/>
      </rPr>
      <t xml:space="preserve"> in accordance with BCC standard drawing BSD-2221 (Refer CTS03)</t>
    </r>
  </si>
  <si>
    <r>
      <t xml:space="preserve">Stone pitched retaining walls, </t>
    </r>
    <r>
      <rPr>
        <sz val="12"/>
        <color rgb="FF0000FF"/>
        <rFont val="Arial"/>
        <family val="2"/>
      </rPr>
      <t>[at Foxton Street, refer Dwg 1353]</t>
    </r>
    <r>
      <rPr>
        <sz val="12"/>
        <color theme="1"/>
        <rFont val="Arial"/>
        <family val="2"/>
      </rPr>
      <t xml:space="preserve"> in accordance with BCC standard drawing BSD-2221 (Refer CTS03)</t>
    </r>
  </si>
  <si>
    <r>
      <t xml:space="preserve">Design and construct house services </t>
    </r>
    <r>
      <rPr>
        <sz val="12"/>
        <color rgb="FF0000FF"/>
        <rFont val="Arial"/>
        <family val="2"/>
      </rPr>
      <t>[sewer / water / sewer and water/electrical/gas]</t>
    </r>
    <r>
      <rPr>
        <sz val="12"/>
        <color theme="1"/>
        <rFont val="Arial"/>
        <family val="2"/>
      </rPr>
      <t xml:space="preserve"> (Refer CTS09) (provisonal sum, if ordered)</t>
    </r>
  </si>
  <si>
    <t>90120.01PS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</si>
</sst>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6" formatCode="0.0"/>
  </numFmts>
  <fonts count="58">
    <font>
      <sz val="9"/>
      <color theme="1"/>
      <name val="Droid Sans"/>
      <family val="2"/>
    </font>
    <font>
      <sz val="11"/>
      <color theme="1"/>
      <name val="Calibri"/>
      <family val="2"/>
      <scheme val="minor"/>
    </font>
    <font>
      <sz val="7.5"/>
      <color theme="1"/>
      <name val="Arial"/>
      <family val="2"/>
    </font>
    <font>
      <sz val="9"/>
      <color theme="1"/>
      <name val="Droid Sans"/>
      <family val="2"/>
    </font>
    <font>
      <b/>
      <sz val="18"/>
      <color theme="3"/>
      <name val="Cambria"/>
      <family val="2"/>
      <scheme val="major"/>
    </font>
    <font>
      <b/>
      <sz val="15"/>
      <color theme="3"/>
      <name val="Droid Sans"/>
      <family val="2"/>
    </font>
    <font>
      <b/>
      <sz val="13"/>
      <color theme="3"/>
      <name val="Droid Sans"/>
      <family val="2"/>
    </font>
    <font>
      <b/>
      <sz val="11"/>
      <color theme="3"/>
      <name val="Droid Sans"/>
      <family val="2"/>
    </font>
    <font>
      <sz val="9"/>
      <color rgb="FF006100"/>
      <name val="Droid Sans"/>
      <family val="2"/>
    </font>
    <font>
      <sz val="9"/>
      <color rgb="FF9C0006"/>
      <name val="Droid Sans"/>
      <family val="2"/>
    </font>
    <font>
      <sz val="9"/>
      <color rgb="FF9C6500"/>
      <name val="Droid Sans"/>
      <family val="2"/>
    </font>
    <font>
      <sz val="9"/>
      <color rgb="FF3F3F76"/>
      <name val="Droid Sans"/>
      <family val="2"/>
    </font>
    <font>
      <b/>
      <sz val="9"/>
      <color rgb="FF3F3F3F"/>
      <name val="Droid Sans"/>
      <family val="2"/>
    </font>
    <font>
      <b/>
      <sz val="9"/>
      <color rgb="FFFA7D00"/>
      <name val="Droid Sans"/>
      <family val="2"/>
    </font>
    <font>
      <sz val="9"/>
      <color rgb="FFFA7D00"/>
      <name val="Droid Sans"/>
      <family val="2"/>
    </font>
    <font>
      <b/>
      <sz val="9"/>
      <color theme="0"/>
      <name val="Droid Sans"/>
      <family val="2"/>
    </font>
    <font>
      <sz val="9"/>
      <color rgb="FFFF0000"/>
      <name val="Droid Sans"/>
      <family val="2"/>
    </font>
    <font>
      <i/>
      <sz val="9"/>
      <color rgb="FF7F7F7F"/>
      <name val="Droid Sans"/>
      <family val="2"/>
    </font>
    <font>
      <b/>
      <sz val="9"/>
      <color theme="1"/>
      <name val="Droid Sans"/>
      <family val="2"/>
    </font>
    <font>
      <sz val="9"/>
      <color theme="0"/>
      <name val="Droid Sans"/>
      <family val="2"/>
    </font>
    <font>
      <sz val="7.5"/>
      <color theme="1"/>
      <name val="Arial"/>
      <family val="2"/>
    </font>
    <font>
      <b/>
      <sz val="12"/>
      <name val="Arial"/>
      <family val="2"/>
    </font>
    <font>
      <b/>
      <sz val="11"/>
      <name val="Arial"/>
      <family val="2"/>
    </font>
    <font>
      <sz val="9"/>
      <name val="Arial"/>
      <family val="2"/>
    </font>
    <font>
      <sz val="12"/>
      <color theme="1"/>
      <name val="Arial"/>
      <family val="2"/>
    </font>
    <font>
      <sz val="12"/>
      <name val="Arial"/>
      <family val="2"/>
    </font>
    <font>
      <sz val="12"/>
      <color theme="1"/>
      <name val="Droid Sans"/>
      <family val="2"/>
    </font>
    <font>
      <sz val="11"/>
      <name val="Calibri"/>
      <family val="2"/>
    </font>
    <font>
      <sz val="11"/>
      <name val="Calibri"/>
      <family val="2"/>
    </font>
    <font>
      <sz val="10"/>
      <name val="Arial"/>
      <family val="2"/>
    </font>
    <font>
      <sz val="10"/>
      <color theme="1"/>
      <name val="Droid Sans"/>
      <family val="2"/>
    </font>
    <font>
      <b/>
      <sz val="10"/>
      <color rgb="FFFF0000"/>
      <name val="Arial"/>
      <family val="2"/>
    </font>
    <font>
      <b/>
      <sz val="12"/>
      <color theme="1"/>
      <name val="Arial"/>
      <family val="2"/>
    </font>
    <font>
      <b/>
      <sz val="12"/>
      <color rgb="FF0000FF"/>
      <name val="Arial"/>
      <family val="2"/>
    </font>
    <font>
      <vertAlign val="superscript"/>
      <sz val="12"/>
      <color theme="1"/>
      <name val="Arial"/>
      <family val="2"/>
    </font>
    <font>
      <sz val="12"/>
      <color rgb="FF0000FF"/>
      <name val="Arial"/>
      <family val="2"/>
    </font>
    <font>
      <sz val="14"/>
      <color theme="1"/>
      <name val="Arial"/>
      <family val="2"/>
    </font>
    <font>
      <b/>
      <sz val="14"/>
      <name val="Arial"/>
      <family val="2"/>
    </font>
    <font>
      <sz val="14"/>
      <name val="Arial"/>
      <family val="2"/>
    </font>
    <font>
      <sz val="14"/>
      <color theme="1"/>
      <name val="Droid Sans"/>
      <family val="2"/>
    </font>
    <font>
      <b/>
      <sz val="14"/>
      <color indexed="12"/>
      <name val="Arial"/>
      <family val="2"/>
    </font>
    <font>
      <sz val="10"/>
      <color theme="1"/>
      <name val="Arial"/>
      <family val="2"/>
    </font>
    <font>
      <b/>
      <sz val="1"/>
      <name val="Arial"/>
      <family val="2"/>
    </font>
    <font>
      <u/>
      <sz val="9"/>
      <color theme="10"/>
      <name val="Droid Sans"/>
      <family val="2"/>
    </font>
    <font>
      <u/>
      <sz val="9"/>
      <color theme="11"/>
      <name val="Droid Sans"/>
      <family val="2"/>
    </font>
    <font>
      <b/>
      <sz val="14"/>
      <color theme="1"/>
      <name val="Arial"/>
      <family val="2"/>
    </font>
    <font>
      <i/>
      <sz val="12"/>
      <color rgb="FF0000FF"/>
      <name val="Arial"/>
      <family val="2"/>
    </font>
    <font>
      <strike/>
      <sz val="12"/>
      <color theme="1"/>
      <name val="Arial"/>
      <family val="2"/>
    </font>
    <font>
      <sz val="12"/>
      <color rgb="FFFF0000"/>
      <name val="Arial"/>
      <family val="2"/>
    </font>
    <font>
      <sz val="7.5"/>
      <name val="Arial"/>
      <family val="2"/>
    </font>
    <font>
      <sz val="1"/>
      <name val="Arial"/>
      <family val="2"/>
    </font>
    <font>
      <strike/>
      <sz val="12"/>
      <color theme="1"/>
      <name val="Cambria"/>
      <family val="1"/>
    </font>
    <font>
      <strike/>
      <sz val="12"/>
      <color rgb="FF0000FF"/>
      <name val="Cambria"/>
      <family val="1"/>
    </font>
    <font>
      <strike/>
      <sz val="12"/>
      <name val="Cambria"/>
      <family val="1"/>
    </font>
    <font>
      <b/>
      <sz val="12"/>
      <color theme="1"/>
      <name val="Droid Sans"/>
      <family val="2"/>
    </font>
    <font>
      <sz val="11"/>
      <color theme="9"/>
      <name val="Calibri"/>
      <family val="2"/>
      <scheme val="minor"/>
    </font>
    <font>
      <sz val="11"/>
      <color rgb="FF9C0006"/>
      <name val="Calibri"/>
      <family val="2"/>
      <scheme val="minor"/>
    </font>
    <font>
      <sz val="11"/>
      <color rgb="FF3F3F76"/>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FFFFCC"/>
        <bgColor indexed="64"/>
      </patternFill>
    </fill>
    <fill>
      <patternFill patternType="solid">
        <fgColor rgb="FFFFFF00"/>
        <bgColor indexed="64"/>
      </patternFill>
    </fill>
    <fill>
      <patternFill patternType="solid">
        <fgColor rgb="FFFFFF99"/>
        <bgColor indexed="64"/>
      </patternFill>
    </fill>
  </fills>
  <borders count="5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diagonal/>
    </border>
    <border>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bottom style="thin">
        <color theme="1"/>
      </bottom>
      <diagonal/>
    </border>
    <border>
      <left style="thin">
        <color auto="1"/>
      </left>
      <right style="thin">
        <color auto="1"/>
      </right>
      <top/>
      <bottom style="thin">
        <color theme="1"/>
      </bottom>
      <diagonal/>
    </border>
    <border>
      <left style="thin">
        <color auto="1"/>
      </left>
      <right style="thin">
        <color auto="1"/>
      </right>
      <top style="thin">
        <color theme="1"/>
      </top>
      <bottom style="thin">
        <color theme="1"/>
      </bottom>
      <diagonal/>
    </border>
    <border>
      <left style="medium">
        <color auto="1"/>
      </left>
      <right style="thin">
        <color auto="1"/>
      </right>
      <top style="thin">
        <color theme="1"/>
      </top>
      <bottom style="thin">
        <color theme="1"/>
      </bottom>
      <diagonal/>
    </border>
    <border>
      <left style="medium">
        <color auto="1"/>
      </left>
      <right style="thin">
        <color auto="1"/>
      </right>
      <top style="thin">
        <color theme="1"/>
      </top>
      <bottom/>
      <diagonal/>
    </border>
    <border>
      <left style="thin">
        <color auto="1"/>
      </left>
      <right style="thin">
        <color auto="1"/>
      </right>
      <top style="thin">
        <color theme="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medium">
        <color auto="1"/>
      </right>
      <top/>
      <bottom/>
      <diagonal/>
    </border>
    <border>
      <left style="thin">
        <color auto="1"/>
      </left>
      <right style="medium">
        <color auto="1"/>
      </right>
      <top style="thin">
        <color auto="1"/>
      </top>
      <bottom style="medium">
        <color auto="1"/>
      </bottom>
      <diagonal/>
    </border>
    <border>
      <left style="thin">
        <color auto="1"/>
      </left>
      <right style="medium">
        <color auto="1"/>
      </right>
      <top/>
      <bottom/>
      <diagonal/>
    </border>
    <border>
      <left style="medium">
        <color indexed="64"/>
      </left>
      <right style="medium">
        <color indexed="64"/>
      </right>
      <top style="thin">
        <color auto="1"/>
      </top>
      <bottom style="thin">
        <color auto="1"/>
      </bottom>
      <diagonal/>
    </border>
    <border>
      <left/>
      <right style="thin">
        <color auto="1"/>
      </right>
      <top style="medium">
        <color auto="1"/>
      </top>
      <bottom style="thin">
        <color auto="1"/>
      </bottom>
      <diagonal/>
    </border>
  </borders>
  <cellStyleXfs count="89">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9" fillId="32" borderId="0" applyNumberFormat="0" applyBorder="0" applyAlignment="0" applyProtection="0"/>
    <xf numFmtId="44" fontId="3" fillId="0" borderId="0" applyFont="0" applyFill="0" applyBorder="0" applyAlignment="0" applyProtection="0"/>
    <xf numFmtId="0" fontId="27" fillId="0" borderId="0"/>
    <xf numFmtId="44" fontId="3" fillId="0" borderId="0" applyFont="0" applyFill="0" applyBorder="0" applyAlignment="0" applyProtection="0"/>
    <xf numFmtId="0" fontId="28" fillId="0" borderId="0"/>
    <xf numFmtId="0" fontId="43" fillId="0" borderId="0" applyNumberFormat="0" applyFill="0" applyBorder="0" applyAlignment="0" applyProtection="0"/>
    <xf numFmtId="0" fontId="44" fillId="0" borderId="0" applyNumberFormat="0" applyFill="0" applyBorder="0" applyAlignment="0" applyProtection="0"/>
    <xf numFmtId="0" fontId="3" fillId="0" borderId="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27" fillId="0" borderId="0"/>
    <xf numFmtId="0" fontId="1" fillId="0" borderId="0"/>
    <xf numFmtId="0" fontId="55" fillId="0" borderId="0">
      <alignment horizontal="center" vertical="center" wrapText="1"/>
    </xf>
    <xf numFmtId="44" fontId="1" fillId="0" borderId="0" applyFont="0" applyFill="0" applyBorder="0" applyAlignment="0" applyProtection="0"/>
    <xf numFmtId="9" fontId="1" fillId="0" borderId="0" applyFont="0" applyFill="0" applyBorder="0" applyAlignment="0" applyProtection="0"/>
    <xf numFmtId="0" fontId="56" fillId="3" borderId="0" applyNumberFormat="0" applyBorder="0" applyAlignment="0" applyProtection="0"/>
    <xf numFmtId="0" fontId="57" fillId="5" borderId="4" applyNumberFormat="0" applyAlignment="0" applyProtection="0"/>
    <xf numFmtId="0" fontId="1" fillId="8" borderId="8" applyNumberFormat="0" applyFont="0" applyAlignment="0" applyProtection="0"/>
  </cellStyleXfs>
  <cellXfs count="332">
    <xf numFmtId="0" fontId="0" fillId="0" borderId="0" xfId="0"/>
    <xf numFmtId="0" fontId="20" fillId="0" borderId="0" xfId="0" applyFont="1" applyAlignment="1">
      <alignment vertical="top"/>
    </xf>
    <xf numFmtId="44" fontId="0" fillId="0" borderId="0" xfId="42" applyFont="1"/>
    <xf numFmtId="2" fontId="0" fillId="0" borderId="0" xfId="0" applyNumberFormat="1" applyAlignment="1">
      <alignment horizontal="left" vertical="center"/>
    </xf>
    <xf numFmtId="0" fontId="21" fillId="0" borderId="0" xfId="0" applyFont="1" applyAlignment="1">
      <alignment horizontal="center" vertical="center"/>
    </xf>
    <xf numFmtId="164" fontId="22" fillId="0" borderId="0" xfId="42" applyNumberFormat="1" applyFont="1" applyAlignment="1">
      <alignment horizontal="right"/>
    </xf>
    <xf numFmtId="0" fontId="0" fillId="0" borderId="10" xfId="0" applyBorder="1" applyAlignment="1">
      <alignment horizontal="left" wrapText="1"/>
    </xf>
    <xf numFmtId="164" fontId="0" fillId="0" borderId="10" xfId="42" applyNumberFormat="1" applyFont="1" applyBorder="1"/>
    <xf numFmtId="0" fontId="24" fillId="0" borderId="0" xfId="0" applyFont="1" applyAlignment="1">
      <alignment vertical="top"/>
    </xf>
    <xf numFmtId="0" fontId="2" fillId="0" borderId="38" xfId="0" applyFont="1" applyBorder="1" applyAlignment="1" applyProtection="1">
      <alignment horizontal="center" vertical="center"/>
      <protection locked="0"/>
    </xf>
    <xf numFmtId="44" fontId="2" fillId="0" borderId="10" xfId="42" applyFont="1" applyFill="1" applyBorder="1" applyAlignment="1" applyProtection="1">
      <alignment vertical="center"/>
      <protection locked="0"/>
    </xf>
    <xf numFmtId="0" fontId="2" fillId="0" borderId="39" xfId="0" applyFont="1" applyBorder="1" applyAlignment="1" applyProtection="1">
      <alignment horizontal="center" vertical="center"/>
      <protection locked="0"/>
    </xf>
    <xf numFmtId="0" fontId="2" fillId="0" borderId="40" xfId="0" applyFont="1" applyBorder="1" applyAlignment="1" applyProtection="1">
      <alignment horizontal="center" vertical="center"/>
      <protection locked="0"/>
    </xf>
    <xf numFmtId="44" fontId="31" fillId="0" borderId="0" xfId="42" applyFont="1" applyFill="1" applyBorder="1" applyAlignment="1" applyProtection="1">
      <alignment horizontal="right" vertical="center"/>
      <protection locked="0"/>
    </xf>
    <xf numFmtId="0" fontId="2" fillId="36" borderId="18" xfId="0" applyFont="1" applyFill="1" applyBorder="1" applyAlignment="1" applyProtection="1">
      <alignment horizontal="center" vertical="center"/>
      <protection locked="0"/>
    </xf>
    <xf numFmtId="0" fontId="2" fillId="0" borderId="42" xfId="0" applyFont="1" applyBorder="1" applyAlignment="1" applyProtection="1">
      <alignment horizontal="center" vertical="center"/>
      <protection locked="0"/>
    </xf>
    <xf numFmtId="44" fontId="2" fillId="0" borderId="11" xfId="42" applyFont="1" applyFill="1" applyBorder="1" applyAlignment="1" applyProtection="1">
      <alignment vertical="center"/>
      <protection locked="0"/>
    </xf>
    <xf numFmtId="0" fontId="2" fillId="0" borderId="43" xfId="0" applyFont="1" applyBorder="1" applyAlignment="1" applyProtection="1">
      <alignment horizontal="center" vertical="center"/>
      <protection locked="0"/>
    </xf>
    <xf numFmtId="0" fontId="32" fillId="0" borderId="24" xfId="0" applyFont="1" applyBorder="1" applyAlignment="1">
      <alignment horizontal="center" vertical="center" wrapText="1"/>
    </xf>
    <xf numFmtId="0" fontId="32" fillId="0" borderId="25" xfId="0" applyFont="1" applyBorder="1" applyAlignment="1">
      <alignment horizontal="center" vertical="center" wrapText="1"/>
    </xf>
    <xf numFmtId="0" fontId="32" fillId="0" borderId="26" xfId="0" applyFont="1" applyBorder="1" applyAlignment="1">
      <alignment horizontal="center" vertical="center" wrapText="1"/>
    </xf>
    <xf numFmtId="0" fontId="26" fillId="0" borderId="0" xfId="0" applyFont="1"/>
    <xf numFmtId="0" fontId="24" fillId="0" borderId="0" xfId="0" applyFont="1" applyAlignment="1">
      <alignment vertical="center"/>
    </xf>
    <xf numFmtId="0" fontId="32" fillId="33" borderId="20" xfId="0" applyFont="1" applyFill="1" applyBorder="1" applyAlignment="1">
      <alignment horizontal="left" vertical="center" wrapText="1"/>
    </xf>
    <xf numFmtId="0" fontId="24" fillId="0" borderId="28" xfId="0" applyFont="1" applyBorder="1" applyAlignment="1">
      <alignment horizontal="center" vertical="center" wrapText="1"/>
    </xf>
    <xf numFmtId="0" fontId="24" fillId="0" borderId="18" xfId="0" applyFont="1" applyBorder="1" applyAlignment="1">
      <alignment horizontal="center" vertical="center" wrapText="1"/>
    </xf>
    <xf numFmtId="0" fontId="36" fillId="0" borderId="0" xfId="0" applyFont="1" applyAlignment="1">
      <alignment vertical="top"/>
    </xf>
    <xf numFmtId="2" fontId="37" fillId="0" borderId="38" xfId="0" applyNumberFormat="1" applyFont="1" applyBorder="1" applyAlignment="1">
      <alignment horizontal="left" vertical="center"/>
    </xf>
    <xf numFmtId="0" fontId="37" fillId="0" borderId="10" xfId="0" applyFont="1" applyBorder="1" applyAlignment="1">
      <alignment horizontal="center" vertical="center"/>
    </xf>
    <xf numFmtId="44" fontId="39" fillId="0" borderId="10" xfId="42" applyFont="1" applyBorder="1"/>
    <xf numFmtId="0" fontId="39" fillId="0" borderId="0" xfId="0" applyFont="1"/>
    <xf numFmtId="2" fontId="37" fillId="0" borderId="40" xfId="0" applyNumberFormat="1" applyFont="1" applyBorder="1" applyAlignment="1">
      <alignment horizontal="left" vertical="center"/>
    </xf>
    <xf numFmtId="0" fontId="37" fillId="0" borderId="0" xfId="0" applyFont="1" applyAlignment="1">
      <alignment horizontal="center" vertical="center"/>
    </xf>
    <xf numFmtId="44" fontId="39" fillId="0" borderId="0" xfId="42" applyFont="1" applyBorder="1"/>
    <xf numFmtId="2" fontId="37" fillId="0" borderId="42" xfId="0" applyNumberFormat="1" applyFont="1" applyBorder="1" applyAlignment="1">
      <alignment horizontal="left" vertical="center"/>
    </xf>
    <xf numFmtId="0" fontId="39" fillId="0" borderId="11" xfId="0" applyFont="1" applyBorder="1" applyAlignment="1">
      <alignment horizontal="center" vertical="center"/>
    </xf>
    <xf numFmtId="44" fontId="39" fillId="0" borderId="11" xfId="42" applyFont="1" applyBorder="1"/>
    <xf numFmtId="0" fontId="41" fillId="0" borderId="0" xfId="0" applyFont="1" applyAlignment="1">
      <alignment vertical="top"/>
    </xf>
    <xf numFmtId="44" fontId="29" fillId="0" borderId="0" xfId="42" applyFont="1"/>
    <xf numFmtId="164" fontId="30" fillId="0" borderId="0" xfId="42" applyNumberFormat="1" applyFont="1"/>
    <xf numFmtId="0" fontId="30" fillId="0" borderId="0" xfId="0" applyFont="1"/>
    <xf numFmtId="2" fontId="37" fillId="0" borderId="0" xfId="0" applyNumberFormat="1" applyFont="1" applyAlignment="1" applyProtection="1">
      <alignment horizontal="left" vertical="center"/>
      <protection locked="0"/>
    </xf>
    <xf numFmtId="2" fontId="29" fillId="0" borderId="0" xfId="0" applyNumberFormat="1" applyFont="1" applyAlignment="1">
      <alignment horizontal="left" vertical="center" wrapText="1"/>
    </xf>
    <xf numFmtId="0" fontId="32" fillId="33" borderId="20" xfId="0" applyFont="1" applyFill="1" applyBorder="1" applyAlignment="1">
      <alignment vertical="center" wrapText="1"/>
    </xf>
    <xf numFmtId="0" fontId="40" fillId="0" borderId="43" xfId="0" applyFont="1" applyBorder="1" applyAlignment="1">
      <alignment horizontal="right" vertical="center"/>
    </xf>
    <xf numFmtId="0" fontId="40" fillId="0" borderId="39" xfId="0" applyFont="1" applyBorder="1" applyAlignment="1">
      <alignment horizontal="right" vertical="center"/>
    </xf>
    <xf numFmtId="0" fontId="40" fillId="0" borderId="41" xfId="0" applyFont="1" applyBorder="1" applyAlignment="1">
      <alignment horizontal="right" vertical="center"/>
    </xf>
    <xf numFmtId="0" fontId="40" fillId="0" borderId="41" xfId="42" applyNumberFormat="1" applyFont="1" applyBorder="1" applyAlignment="1">
      <alignment horizontal="right" vertical="center"/>
    </xf>
    <xf numFmtId="2" fontId="29" fillId="0" borderId="0" xfId="0" applyNumberFormat="1" applyFont="1" applyAlignment="1">
      <alignment horizontal="center" vertical="center" wrapText="1"/>
    </xf>
    <xf numFmtId="0" fontId="38" fillId="0" borderId="10" xfId="0" applyFont="1" applyBorder="1" applyAlignment="1">
      <alignment horizontal="center" vertical="center"/>
    </xf>
    <xf numFmtId="0" fontId="38" fillId="0" borderId="0" xfId="0" applyFont="1" applyAlignment="1">
      <alignment horizontal="center" vertical="center"/>
    </xf>
    <xf numFmtId="0" fontId="32" fillId="33" borderId="20" xfId="48" applyFont="1" applyFill="1" applyBorder="1" applyAlignment="1">
      <alignment vertical="center" wrapText="1"/>
    </xf>
    <xf numFmtId="0" fontId="32" fillId="33" borderId="20" xfId="48" applyFont="1" applyFill="1" applyBorder="1" applyAlignment="1">
      <alignment horizontal="left" vertical="center" wrapText="1"/>
    </xf>
    <xf numFmtId="0" fontId="24" fillId="0" borderId="0" xfId="0" applyFont="1" applyAlignment="1">
      <alignment vertical="center" wrapText="1" shrinkToFit="1"/>
    </xf>
    <xf numFmtId="0" fontId="32" fillId="33" borderId="20" xfId="48" applyFont="1" applyFill="1" applyBorder="1" applyAlignment="1">
      <alignment horizontal="left" vertical="center" wrapText="1" shrinkToFit="1"/>
    </xf>
    <xf numFmtId="0" fontId="26" fillId="0" borderId="0" xfId="0" applyFont="1" applyAlignment="1">
      <alignment wrapText="1" shrinkToFit="1"/>
    </xf>
    <xf numFmtId="44" fontId="24" fillId="33" borderId="20" xfId="42" applyFont="1" applyFill="1" applyBorder="1" applyAlignment="1">
      <alignment vertical="center" wrapText="1" shrinkToFit="1"/>
    </xf>
    <xf numFmtId="44" fontId="24" fillId="33" borderId="21" xfId="42" applyFont="1" applyFill="1" applyBorder="1" applyAlignment="1">
      <alignment horizontal="center" vertical="center" wrapText="1" shrinkToFit="1"/>
    </xf>
    <xf numFmtId="0" fontId="32" fillId="33" borderId="48" xfId="0" applyFont="1" applyFill="1" applyBorder="1" applyAlignment="1">
      <alignment vertical="center" wrapText="1"/>
    </xf>
    <xf numFmtId="0" fontId="42" fillId="33" borderId="20" xfId="0" applyFont="1" applyFill="1" applyBorder="1" applyAlignment="1" applyProtection="1">
      <alignment horizontal="center" vertical="center" wrapText="1"/>
      <protection hidden="1"/>
    </xf>
    <xf numFmtId="44" fontId="24" fillId="33" borderId="20" xfId="42" applyFont="1" applyFill="1" applyBorder="1" applyAlignment="1">
      <alignment vertical="center" wrapText="1"/>
    </xf>
    <xf numFmtId="44" fontId="24" fillId="33" borderId="21" xfId="42" applyFont="1" applyFill="1" applyBorder="1" applyAlignment="1">
      <alignment horizontal="center" vertical="center" wrapText="1"/>
    </xf>
    <xf numFmtId="0" fontId="24" fillId="0" borderId="13" xfId="0" applyFont="1" applyBorder="1" applyAlignment="1">
      <alignment horizontal="center" vertical="center" wrapText="1"/>
    </xf>
    <xf numFmtId="44" fontId="24" fillId="0" borderId="13" xfId="42" applyFont="1" applyFill="1" applyBorder="1" applyAlignment="1">
      <alignment vertical="center" wrapText="1"/>
    </xf>
    <xf numFmtId="0" fontId="24" fillId="0" borderId="23" xfId="0" applyFont="1" applyBorder="1" applyAlignment="1">
      <alignment horizontal="center" vertical="center" wrapText="1"/>
    </xf>
    <xf numFmtId="44" fontId="24" fillId="0" borderId="23" xfId="42" applyFont="1" applyFill="1" applyBorder="1" applyAlignment="1">
      <alignment vertical="center" wrapText="1"/>
    </xf>
    <xf numFmtId="44" fontId="24" fillId="0" borderId="45" xfId="42" applyFont="1" applyFill="1" applyBorder="1" applyAlignment="1">
      <alignment horizontal="center" vertical="center" wrapText="1"/>
    </xf>
    <xf numFmtId="44" fontId="24" fillId="0" borderId="18" xfId="42" applyFont="1" applyFill="1" applyBorder="1" applyAlignment="1">
      <alignment vertical="center" wrapText="1"/>
    </xf>
    <xf numFmtId="44" fontId="24" fillId="0" borderId="28" xfId="42" applyFont="1" applyFill="1" applyBorder="1" applyAlignment="1">
      <alignment vertical="center" wrapText="1"/>
    </xf>
    <xf numFmtId="0" fontId="24" fillId="34" borderId="18" xfId="0" applyFont="1" applyFill="1" applyBorder="1" applyAlignment="1">
      <alignment horizontal="center" vertical="center" wrapText="1"/>
    </xf>
    <xf numFmtId="44" fontId="24" fillId="34" borderId="18" xfId="42" applyFont="1" applyFill="1" applyBorder="1" applyAlignment="1">
      <alignment vertical="center" wrapText="1"/>
    </xf>
    <xf numFmtId="0" fontId="26" fillId="33" borderId="20" xfId="48" applyFont="1" applyFill="1" applyBorder="1" applyAlignment="1">
      <alignment vertical="center" wrapText="1"/>
    </xf>
    <xf numFmtId="0" fontId="24" fillId="35" borderId="28" xfId="48" applyFont="1" applyFill="1" applyBorder="1" applyAlignment="1">
      <alignment horizontal="center" vertical="center" wrapText="1"/>
    </xf>
    <xf numFmtId="44" fontId="24" fillId="35" borderId="28" xfId="42" applyFont="1" applyFill="1" applyBorder="1" applyAlignment="1">
      <alignment vertical="center" wrapText="1"/>
    </xf>
    <xf numFmtId="44" fontId="24" fillId="35" borderId="29" xfId="42" applyFont="1" applyFill="1" applyBorder="1" applyAlignment="1">
      <alignment horizontal="center" vertical="center" wrapText="1"/>
    </xf>
    <xf numFmtId="0" fontId="24" fillId="35" borderId="18" xfId="48" applyFont="1" applyFill="1" applyBorder="1" applyAlignment="1">
      <alignment horizontal="center" vertical="center" wrapText="1"/>
    </xf>
    <xf numFmtId="44" fontId="24" fillId="35" borderId="18" xfId="42" applyFont="1" applyFill="1" applyBorder="1" applyAlignment="1">
      <alignment vertical="center" wrapText="1"/>
    </xf>
    <xf numFmtId="0" fontId="24" fillId="35" borderId="16" xfId="48" applyFont="1" applyFill="1" applyBorder="1" applyAlignment="1">
      <alignment horizontal="center" vertical="center" wrapText="1"/>
    </xf>
    <xf numFmtId="44" fontId="24" fillId="35" borderId="16" xfId="42" applyFont="1" applyFill="1" applyBorder="1" applyAlignment="1">
      <alignment vertical="center" wrapText="1"/>
    </xf>
    <xf numFmtId="0" fontId="24" fillId="35" borderId="23" xfId="48" applyFont="1" applyFill="1" applyBorder="1" applyAlignment="1">
      <alignment horizontal="center" vertical="center" wrapText="1"/>
    </xf>
    <xf numFmtId="44" fontId="24" fillId="35" borderId="23" xfId="42" applyFont="1" applyFill="1" applyBorder="1" applyAlignment="1">
      <alignment vertical="center" wrapText="1"/>
    </xf>
    <xf numFmtId="44" fontId="24" fillId="0" borderId="46" xfId="42" applyFont="1" applyFill="1" applyBorder="1" applyAlignment="1">
      <alignment horizontal="center" vertical="center" wrapText="1"/>
    </xf>
    <xf numFmtId="0" fontId="24" fillId="35" borderId="31" xfId="48" applyFont="1" applyFill="1" applyBorder="1" applyAlignment="1">
      <alignment horizontal="center" vertical="center" wrapText="1"/>
    </xf>
    <xf numFmtId="44" fontId="24" fillId="35" borderId="31" xfId="42" applyFont="1" applyFill="1" applyBorder="1" applyAlignment="1">
      <alignment vertical="center" wrapText="1"/>
    </xf>
    <xf numFmtId="0" fontId="42" fillId="33" borderId="20" xfId="48" applyFont="1" applyFill="1" applyBorder="1" applyAlignment="1" applyProtection="1">
      <alignment horizontal="center" vertical="center" wrapText="1"/>
      <protection hidden="1"/>
    </xf>
    <xf numFmtId="44" fontId="24" fillId="35" borderId="14" xfId="42" applyFont="1" applyFill="1" applyBorder="1" applyAlignment="1">
      <alignment horizontal="center" vertical="center" wrapText="1"/>
    </xf>
    <xf numFmtId="44" fontId="24" fillId="35" borderId="44" xfId="42" applyFont="1" applyFill="1" applyBorder="1" applyAlignment="1">
      <alignment horizontal="center" vertical="center" wrapText="1"/>
    </xf>
    <xf numFmtId="0" fontId="42" fillId="33" borderId="48" xfId="0" applyFont="1" applyFill="1" applyBorder="1" applyAlignment="1" applyProtection="1">
      <alignment horizontal="center" vertical="center" wrapText="1"/>
      <protection hidden="1"/>
    </xf>
    <xf numFmtId="44" fontId="24" fillId="33" borderId="48" xfId="42" applyFont="1" applyFill="1" applyBorder="1" applyAlignment="1">
      <alignment vertical="center" wrapText="1"/>
    </xf>
    <xf numFmtId="44" fontId="24" fillId="33" borderId="44" xfId="42" applyFont="1" applyFill="1" applyBorder="1" applyAlignment="1">
      <alignment horizontal="center" vertical="center" wrapText="1"/>
    </xf>
    <xf numFmtId="0" fontId="24" fillId="34" borderId="33" xfId="0" applyFont="1" applyFill="1" applyBorder="1" applyAlignment="1">
      <alignment horizontal="center" vertical="center" wrapText="1"/>
    </xf>
    <xf numFmtId="44" fontId="24" fillId="34" borderId="33" xfId="42" applyFont="1" applyFill="1" applyBorder="1" applyAlignment="1">
      <alignment vertical="center" wrapText="1"/>
    </xf>
    <xf numFmtId="0" fontId="24" fillId="34" borderId="34" xfId="0" applyFont="1" applyFill="1" applyBorder="1" applyAlignment="1">
      <alignment horizontal="center" vertical="center" wrapText="1"/>
    </xf>
    <xf numFmtId="44" fontId="24" fillId="34" borderId="31" xfId="42" applyFont="1" applyFill="1" applyBorder="1" applyAlignment="1">
      <alignment vertical="center" wrapText="1"/>
    </xf>
    <xf numFmtId="44" fontId="24" fillId="34" borderId="34" xfId="42" applyFont="1" applyFill="1" applyBorder="1" applyAlignment="1">
      <alignment vertical="center" wrapText="1"/>
    </xf>
    <xf numFmtId="0" fontId="24" fillId="35" borderId="20" xfId="48" applyFont="1" applyFill="1" applyBorder="1" applyAlignment="1">
      <alignment horizontal="center" vertical="center" wrapText="1"/>
    </xf>
    <xf numFmtId="44" fontId="24" fillId="35" borderId="20" xfId="42" applyFont="1" applyFill="1" applyBorder="1" applyAlignment="1">
      <alignment vertical="center" wrapText="1"/>
    </xf>
    <xf numFmtId="44" fontId="24" fillId="35" borderId="21" xfId="42" applyFont="1" applyFill="1" applyBorder="1" applyAlignment="1">
      <alignment horizontal="center" vertical="center" wrapText="1"/>
    </xf>
    <xf numFmtId="44" fontId="32" fillId="38" borderId="18" xfId="42" applyFont="1" applyFill="1" applyBorder="1" applyAlignment="1">
      <alignment horizontal="center" vertical="top" wrapText="1"/>
    </xf>
    <xf numFmtId="0" fontId="24" fillId="35" borderId="13" xfId="48" applyFont="1" applyFill="1" applyBorder="1" applyAlignment="1">
      <alignment horizontal="center" vertical="center" wrapText="1"/>
    </xf>
    <xf numFmtId="44" fontId="24" fillId="35" borderId="13" xfId="42" applyFont="1" applyFill="1" applyBorder="1" applyAlignment="1">
      <alignment vertical="center" wrapText="1"/>
    </xf>
    <xf numFmtId="44" fontId="24" fillId="35" borderId="46" xfId="42" applyFont="1" applyFill="1" applyBorder="1" applyAlignment="1">
      <alignment horizontal="center" vertical="center" wrapText="1"/>
    </xf>
    <xf numFmtId="44" fontId="24" fillId="35" borderId="50" xfId="42" applyFont="1" applyFill="1" applyBorder="1" applyAlignment="1">
      <alignment horizontal="center" vertical="center" wrapText="1"/>
    </xf>
    <xf numFmtId="44" fontId="24" fillId="0" borderId="14" xfId="42" applyFont="1" applyFill="1" applyBorder="1" applyAlignment="1">
      <alignment horizontal="center" vertical="center" wrapText="1"/>
    </xf>
    <xf numFmtId="0" fontId="24" fillId="0" borderId="16" xfId="0" applyFont="1" applyBorder="1" applyAlignment="1">
      <alignment horizontal="center" vertical="center" wrapText="1"/>
    </xf>
    <xf numFmtId="44" fontId="24" fillId="0" borderId="16" xfId="42" applyFont="1" applyFill="1" applyBorder="1" applyAlignment="1">
      <alignment vertical="center" wrapText="1"/>
    </xf>
    <xf numFmtId="44" fontId="24" fillId="0" borderId="50" xfId="42" applyFont="1" applyFill="1" applyBorder="1" applyAlignment="1">
      <alignment horizontal="center" vertical="center" wrapText="1"/>
    </xf>
    <xf numFmtId="0" fontId="24" fillId="0" borderId="18" xfId="0" applyFont="1" applyBorder="1" applyAlignment="1">
      <alignment horizontal="center" vertical="center"/>
    </xf>
    <xf numFmtId="44" fontId="24" fillId="0" borderId="18" xfId="42" applyFont="1" applyFill="1" applyBorder="1" applyAlignment="1">
      <alignment vertical="center"/>
    </xf>
    <xf numFmtId="0" fontId="24" fillId="0" borderId="20" xfId="0" applyFont="1" applyBorder="1" applyAlignment="1">
      <alignment horizontal="center" vertical="center" wrapText="1"/>
    </xf>
    <xf numFmtId="44" fontId="24" fillId="0" borderId="20" xfId="42" applyFont="1" applyFill="1" applyBorder="1" applyAlignment="1">
      <alignment vertical="center" wrapText="1"/>
    </xf>
    <xf numFmtId="44" fontId="24" fillId="0" borderId="21" xfId="42" applyFont="1" applyFill="1" applyBorder="1" applyAlignment="1">
      <alignment horizontal="center" vertical="center" wrapText="1"/>
    </xf>
    <xf numFmtId="0" fontId="32" fillId="33" borderId="25" xfId="0" applyFont="1" applyFill="1" applyBorder="1" applyAlignment="1">
      <alignment horizontal="left" vertical="center" wrapText="1"/>
    </xf>
    <xf numFmtId="0" fontId="32" fillId="33" borderId="25" xfId="0" applyFont="1" applyFill="1" applyBorder="1" applyAlignment="1">
      <alignment vertical="center" wrapText="1"/>
    </xf>
    <xf numFmtId="0" fontId="42" fillId="33" borderId="25" xfId="0" applyFont="1" applyFill="1" applyBorder="1" applyAlignment="1" applyProtection="1">
      <alignment horizontal="center" vertical="center" wrapText="1"/>
      <protection hidden="1"/>
    </xf>
    <xf numFmtId="44" fontId="24" fillId="33" borderId="25" xfId="42" applyFont="1" applyFill="1" applyBorder="1" applyAlignment="1">
      <alignment vertical="center" wrapText="1"/>
    </xf>
    <xf numFmtId="44" fontId="24" fillId="33" borderId="26" xfId="42" applyFont="1" applyFill="1" applyBorder="1" applyAlignment="1">
      <alignment horizontal="center" vertical="center" wrapText="1"/>
    </xf>
    <xf numFmtId="44" fontId="24" fillId="0" borderId="29" xfId="42" applyFont="1" applyFill="1" applyBorder="1" applyAlignment="1">
      <alignment horizontal="center" vertical="center" wrapText="1"/>
    </xf>
    <xf numFmtId="44" fontId="24" fillId="0" borderId="0" xfId="42" applyFont="1" applyFill="1" applyBorder="1" applyAlignment="1">
      <alignment vertical="center" wrapText="1"/>
    </xf>
    <xf numFmtId="44" fontId="24" fillId="0" borderId="0" xfId="42" applyFont="1" applyFill="1" applyBorder="1" applyAlignment="1">
      <alignment horizontal="center" vertical="center" wrapText="1"/>
    </xf>
    <xf numFmtId="0" fontId="24" fillId="0" borderId="0" xfId="48" applyFont="1" applyAlignment="1">
      <alignment horizontal="center" vertical="center" wrapText="1"/>
    </xf>
    <xf numFmtId="0" fontId="32" fillId="33" borderId="25" xfId="48" applyFont="1" applyFill="1" applyBorder="1" applyAlignment="1">
      <alignment vertical="center" wrapText="1"/>
    </xf>
    <xf numFmtId="0" fontId="26" fillId="0" borderId="0" xfId="0" applyFont="1" applyAlignment="1">
      <alignment horizontal="left" vertical="center" wrapText="1"/>
    </xf>
    <xf numFmtId="0" fontId="24" fillId="33" borderId="19" xfId="0" applyFont="1" applyFill="1" applyBorder="1" applyAlignment="1">
      <alignment horizontal="left" vertical="center" wrapText="1"/>
    </xf>
    <xf numFmtId="0" fontId="24" fillId="0" borderId="17" xfId="0" applyFont="1" applyBorder="1" applyAlignment="1">
      <alignment horizontal="left" vertical="center" wrapText="1"/>
    </xf>
    <xf numFmtId="0" fontId="24" fillId="0" borderId="15" xfId="0" applyFont="1" applyBorder="1" applyAlignment="1">
      <alignment horizontal="left" vertical="center" wrapText="1"/>
    </xf>
    <xf numFmtId="0" fontId="24" fillId="0" borderId="19" xfId="0" applyFont="1" applyBorder="1" applyAlignment="1">
      <alignment horizontal="left" vertical="center" wrapText="1"/>
    </xf>
    <xf numFmtId="0" fontId="24" fillId="0" borderId="12" xfId="0" applyFont="1" applyBorder="1" applyAlignment="1">
      <alignment horizontal="left" vertical="center" wrapText="1"/>
    </xf>
    <xf numFmtId="0" fontId="24" fillId="34" borderId="17" xfId="0" applyFont="1" applyFill="1" applyBorder="1" applyAlignment="1">
      <alignment horizontal="left" vertical="center" wrapText="1"/>
    </xf>
    <xf numFmtId="0" fontId="24" fillId="33" borderId="19" xfId="48" applyFont="1" applyFill="1" applyBorder="1" applyAlignment="1">
      <alignment horizontal="left" vertical="center" wrapText="1"/>
    </xf>
    <xf numFmtId="0" fontId="24" fillId="35" borderId="12" xfId="48" applyFont="1" applyFill="1" applyBorder="1" applyAlignment="1">
      <alignment horizontal="left" vertical="center" wrapText="1"/>
    </xf>
    <xf numFmtId="0" fontId="24" fillId="35" borderId="17" xfId="48" applyFont="1" applyFill="1" applyBorder="1" applyAlignment="1">
      <alignment horizontal="left" vertical="center" wrapText="1"/>
    </xf>
    <xf numFmtId="0" fontId="24" fillId="35" borderId="15" xfId="48" applyFont="1" applyFill="1" applyBorder="1" applyAlignment="1">
      <alignment horizontal="left" vertical="center" wrapText="1"/>
    </xf>
    <xf numFmtId="0" fontId="24" fillId="33" borderId="19" xfId="48" applyFont="1" applyFill="1" applyBorder="1" applyAlignment="1">
      <alignment horizontal="left" vertical="center" wrapText="1" shrinkToFit="1"/>
    </xf>
    <xf numFmtId="0" fontId="24" fillId="0" borderId="17" xfId="0" applyFont="1" applyBorder="1" applyAlignment="1" applyProtection="1">
      <alignment horizontal="left" vertical="center" wrapText="1"/>
      <protection locked="0"/>
    </xf>
    <xf numFmtId="0" fontId="24" fillId="0" borderId="15" xfId="0" applyFont="1" applyBorder="1" applyAlignment="1" applyProtection="1">
      <alignment horizontal="left" vertical="center" wrapText="1"/>
      <protection locked="0"/>
    </xf>
    <xf numFmtId="0" fontId="24" fillId="0" borderId="12" xfId="0" applyFont="1" applyBorder="1" applyAlignment="1" applyProtection="1">
      <alignment horizontal="left" vertical="center" wrapText="1"/>
      <protection locked="0"/>
    </xf>
    <xf numFmtId="0" fontId="24" fillId="0" borderId="19" xfId="0" applyFont="1" applyBorder="1" applyAlignment="1" applyProtection="1">
      <alignment horizontal="left" vertical="center" wrapText="1"/>
      <protection locked="0"/>
    </xf>
    <xf numFmtId="0" fontId="24" fillId="35" borderId="19" xfId="48" applyFont="1" applyFill="1" applyBorder="1" applyAlignment="1">
      <alignment horizontal="left" vertical="center" wrapText="1"/>
    </xf>
    <xf numFmtId="0" fontId="24" fillId="35" borderId="12" xfId="48" applyFont="1" applyFill="1" applyBorder="1" applyAlignment="1" applyProtection="1">
      <alignment horizontal="left" vertical="center" wrapText="1"/>
      <protection locked="0"/>
    </xf>
    <xf numFmtId="0" fontId="24" fillId="35" borderId="17" xfId="48" applyFont="1" applyFill="1" applyBorder="1" applyAlignment="1" applyProtection="1">
      <alignment horizontal="left" vertical="center" wrapText="1"/>
      <protection locked="0"/>
    </xf>
    <xf numFmtId="0" fontId="24" fillId="0" borderId="27" xfId="0" applyFont="1" applyBorder="1" applyAlignment="1" applyProtection="1">
      <alignment horizontal="left" vertical="center" wrapText="1"/>
      <protection locked="0"/>
    </xf>
    <xf numFmtId="0" fontId="24" fillId="35" borderId="27" xfId="48" applyFont="1" applyFill="1" applyBorder="1" applyAlignment="1">
      <alignment horizontal="left" vertical="center" wrapText="1"/>
    </xf>
    <xf numFmtId="0" fontId="24" fillId="35" borderId="22" xfId="48" applyFont="1" applyFill="1" applyBorder="1" applyAlignment="1">
      <alignment horizontal="left" vertical="center" wrapText="1"/>
    </xf>
    <xf numFmtId="0" fontId="24" fillId="35" borderId="47" xfId="48" applyFont="1" applyFill="1" applyBorder="1" applyAlignment="1">
      <alignment horizontal="left" vertical="center" wrapText="1"/>
    </xf>
    <xf numFmtId="0" fontId="24" fillId="33" borderId="47" xfId="0" applyFont="1" applyFill="1" applyBorder="1" applyAlignment="1">
      <alignment horizontal="left" vertical="center" wrapText="1"/>
    </xf>
    <xf numFmtId="0" fontId="24" fillId="0" borderId="27" xfId="0" applyFont="1" applyBorder="1" applyAlignment="1">
      <alignment horizontal="left" vertical="center" wrapText="1"/>
    </xf>
    <xf numFmtId="0" fontId="24" fillId="0" borderId="22" xfId="0" applyFont="1" applyBorder="1" applyAlignment="1">
      <alignment horizontal="left" vertical="center" wrapText="1"/>
    </xf>
    <xf numFmtId="0" fontId="24" fillId="34" borderId="32" xfId="0" applyFont="1" applyFill="1" applyBorder="1" applyAlignment="1">
      <alignment horizontal="left" vertical="center" wrapText="1"/>
    </xf>
    <xf numFmtId="0" fontId="24" fillId="34" borderId="30" xfId="0" applyFont="1" applyFill="1" applyBorder="1" applyAlignment="1">
      <alignment horizontal="left" vertical="center" wrapText="1"/>
    </xf>
    <xf numFmtId="0" fontId="24" fillId="34" borderId="35" xfId="0" applyFont="1" applyFill="1" applyBorder="1" applyAlignment="1">
      <alignment horizontal="left" vertical="center" wrapText="1"/>
    </xf>
    <xf numFmtId="0" fontId="24" fillId="33" borderId="24" xfId="0" applyFont="1" applyFill="1" applyBorder="1" applyAlignment="1">
      <alignment horizontal="left" vertical="center" wrapText="1"/>
    </xf>
    <xf numFmtId="0" fontId="24" fillId="33" borderId="24" xfId="48" applyFont="1" applyFill="1" applyBorder="1" applyAlignment="1">
      <alignment horizontal="left" vertical="center" wrapText="1"/>
    </xf>
    <xf numFmtId="0" fontId="24" fillId="0" borderId="0" xfId="48" applyFont="1" applyAlignment="1">
      <alignment horizontal="left" vertical="center" wrapText="1"/>
    </xf>
    <xf numFmtId="0" fontId="32" fillId="0" borderId="25" xfId="0" applyFont="1" applyBorder="1" applyAlignment="1">
      <alignment horizontal="left" vertical="center" wrapText="1"/>
    </xf>
    <xf numFmtId="0" fontId="21" fillId="0" borderId="0" xfId="0" applyFont="1" applyAlignment="1">
      <alignment horizontal="left" vertical="center" wrapText="1"/>
    </xf>
    <xf numFmtId="0" fontId="24" fillId="0" borderId="18" xfId="0" applyFont="1" applyBorder="1" applyAlignment="1">
      <alignment horizontal="left" vertical="center" wrapText="1"/>
    </xf>
    <xf numFmtId="0" fontId="24" fillId="0" borderId="16" xfId="0" applyFont="1" applyBorder="1" applyAlignment="1">
      <alignment horizontal="left" vertical="center" wrapText="1"/>
    </xf>
    <xf numFmtId="0" fontId="24" fillId="0" borderId="20" xfId="0" applyFont="1" applyBorder="1" applyAlignment="1">
      <alignment horizontal="left" vertical="center" wrapText="1"/>
    </xf>
    <xf numFmtId="0" fontId="24" fillId="0" borderId="13" xfId="0" applyFont="1" applyBorder="1" applyAlignment="1">
      <alignment horizontal="left" vertical="center" wrapText="1"/>
    </xf>
    <xf numFmtId="0" fontId="24" fillId="34" borderId="18" xfId="0" applyFont="1" applyFill="1" applyBorder="1" applyAlignment="1">
      <alignment horizontal="left" vertical="center" wrapText="1"/>
    </xf>
    <xf numFmtId="0" fontId="24" fillId="35" borderId="13" xfId="48" applyFont="1" applyFill="1" applyBorder="1" applyAlignment="1">
      <alignment horizontal="left" vertical="center" wrapText="1"/>
    </xf>
    <xf numFmtId="0" fontId="24" fillId="35" borderId="18" xfId="48" applyFont="1" applyFill="1" applyBorder="1" applyAlignment="1">
      <alignment horizontal="left" vertical="center" wrapText="1"/>
    </xf>
    <xf numFmtId="0" fontId="24" fillId="35" borderId="16" xfId="48" applyFont="1" applyFill="1" applyBorder="1" applyAlignment="1">
      <alignment horizontal="left" vertical="center" wrapText="1"/>
    </xf>
    <xf numFmtId="0" fontId="24" fillId="0" borderId="13" xfId="0" quotePrefix="1" applyFont="1" applyBorder="1" applyAlignment="1">
      <alignment horizontal="left" vertical="center" wrapText="1"/>
    </xf>
    <xf numFmtId="0" fontId="24" fillId="0" borderId="18" xfId="0" quotePrefix="1" applyFont="1" applyBorder="1" applyAlignment="1">
      <alignment horizontal="left" vertical="center" wrapText="1"/>
    </xf>
    <xf numFmtId="0" fontId="24" fillId="35" borderId="20" xfId="48" applyFont="1" applyFill="1" applyBorder="1" applyAlignment="1">
      <alignment horizontal="left" vertical="center" wrapText="1"/>
    </xf>
    <xf numFmtId="0" fontId="24" fillId="0" borderId="28" xfId="0" applyFont="1" applyBorder="1" applyAlignment="1">
      <alignment horizontal="left" vertical="center" wrapText="1"/>
    </xf>
    <xf numFmtId="0" fontId="24" fillId="35" borderId="28" xfId="48" applyFont="1" applyFill="1" applyBorder="1" applyAlignment="1">
      <alignment horizontal="left" vertical="center" wrapText="1"/>
    </xf>
    <xf numFmtId="0" fontId="24" fillId="35" borderId="23" xfId="48" applyFont="1" applyFill="1" applyBorder="1" applyAlignment="1">
      <alignment horizontal="left" vertical="center" wrapText="1"/>
    </xf>
    <xf numFmtId="0" fontId="24" fillId="0" borderId="23" xfId="0" applyFont="1" applyBorder="1" applyAlignment="1">
      <alignment horizontal="left" vertical="center" wrapText="1"/>
    </xf>
    <xf numFmtId="0" fontId="24" fillId="35" borderId="31" xfId="48" applyFont="1" applyFill="1" applyBorder="1" applyAlignment="1">
      <alignment horizontal="left" vertical="center" wrapText="1"/>
    </xf>
    <xf numFmtId="0" fontId="32" fillId="33" borderId="48" xfId="0" applyFont="1" applyFill="1" applyBorder="1" applyAlignment="1">
      <alignment horizontal="left" vertical="center" wrapText="1"/>
    </xf>
    <xf numFmtId="0" fontId="24" fillId="34" borderId="33" xfId="0" applyFont="1" applyFill="1" applyBorder="1" applyAlignment="1">
      <alignment horizontal="left" vertical="center" wrapText="1"/>
    </xf>
    <xf numFmtId="0" fontId="24" fillId="34" borderId="31" xfId="0" applyFont="1" applyFill="1" applyBorder="1" applyAlignment="1">
      <alignment horizontal="left" vertical="center" wrapText="1"/>
    </xf>
    <xf numFmtId="0" fontId="24" fillId="34" borderId="34" xfId="0" applyFont="1" applyFill="1" applyBorder="1" applyAlignment="1">
      <alignment horizontal="left" vertical="center" wrapText="1"/>
    </xf>
    <xf numFmtId="0" fontId="32" fillId="33" borderId="25" xfId="48" applyFont="1" applyFill="1" applyBorder="1" applyAlignment="1">
      <alignment horizontal="left" vertical="center" wrapText="1"/>
    </xf>
    <xf numFmtId="0" fontId="45" fillId="0" borderId="0" xfId="0" applyFont="1" applyAlignment="1">
      <alignment horizontal="left" vertical="center" wrapText="1"/>
    </xf>
    <xf numFmtId="0" fontId="24" fillId="33" borderId="30" xfId="0" applyFont="1" applyFill="1" applyBorder="1" applyAlignment="1">
      <alignment horizontal="left" vertical="center" wrapText="1"/>
    </xf>
    <xf numFmtId="0" fontId="32" fillId="33" borderId="31" xfId="0" applyFont="1" applyFill="1" applyBorder="1" applyAlignment="1">
      <alignment horizontal="left" vertical="center" wrapText="1"/>
    </xf>
    <xf numFmtId="0" fontId="32" fillId="33" borderId="31" xfId="0" applyFont="1" applyFill="1" applyBorder="1" applyAlignment="1">
      <alignment vertical="center" wrapText="1"/>
    </xf>
    <xf numFmtId="0" fontId="42" fillId="33" borderId="31" xfId="0" applyFont="1" applyFill="1" applyBorder="1" applyAlignment="1" applyProtection="1">
      <alignment horizontal="center" vertical="center" wrapText="1"/>
      <protection hidden="1"/>
    </xf>
    <xf numFmtId="44" fontId="24" fillId="33" borderId="31" xfId="42" applyFont="1" applyFill="1" applyBorder="1" applyAlignment="1">
      <alignment vertical="center" wrapText="1"/>
    </xf>
    <xf numFmtId="44" fontId="24" fillId="33" borderId="51" xfId="42" applyFont="1" applyFill="1" applyBorder="1" applyAlignment="1">
      <alignment horizontal="center" vertical="center" wrapText="1"/>
    </xf>
    <xf numFmtId="0" fontId="24" fillId="0" borderId="17" xfId="0" applyFont="1" applyBorder="1" applyAlignment="1" applyProtection="1">
      <alignment horizontal="left" vertical="center"/>
      <protection locked="0"/>
    </xf>
    <xf numFmtId="44" fontId="24" fillId="0" borderId="45" xfId="42" applyFont="1" applyFill="1" applyBorder="1" applyAlignment="1">
      <alignment horizontal="center" vertical="center"/>
    </xf>
    <xf numFmtId="0" fontId="25" fillId="36" borderId="18" xfId="48" applyFont="1" applyFill="1" applyBorder="1" applyAlignment="1">
      <alignment horizontal="center" vertical="center" wrapText="1"/>
    </xf>
    <xf numFmtId="0" fontId="25" fillId="0" borderId="18" xfId="0" applyFont="1" applyBorder="1" applyAlignment="1">
      <alignment horizontal="left" vertical="center" wrapText="1"/>
    </xf>
    <xf numFmtId="0" fontId="25" fillId="0" borderId="18" xfId="0" applyFont="1" applyBorder="1" applyAlignment="1">
      <alignment horizontal="center" vertical="center" wrapText="1"/>
    </xf>
    <xf numFmtId="44" fontId="25" fillId="0" borderId="18" xfId="42" applyFont="1" applyFill="1" applyBorder="1" applyAlignment="1">
      <alignment vertical="center" wrapText="1"/>
    </xf>
    <xf numFmtId="44" fontId="25" fillId="0" borderId="46" xfId="42" applyFont="1" applyFill="1" applyBorder="1" applyAlignment="1">
      <alignment horizontal="center" vertical="center" wrapText="1"/>
    </xf>
    <xf numFmtId="0" fontId="25" fillId="0" borderId="17" xfId="0" applyFont="1" applyBorder="1" applyAlignment="1" applyProtection="1">
      <alignment horizontal="left" vertical="center" wrapText="1"/>
      <protection locked="0"/>
    </xf>
    <xf numFmtId="0" fontId="25" fillId="0" borderId="16" xfId="0" applyFont="1" applyBorder="1" applyAlignment="1">
      <alignment horizontal="center" vertical="center" wrapText="1"/>
    </xf>
    <xf numFmtId="44" fontId="25" fillId="0" borderId="16" xfId="42" applyFont="1" applyFill="1" applyBorder="1" applyAlignment="1">
      <alignment vertical="center" wrapText="1"/>
    </xf>
    <xf numFmtId="0" fontId="25" fillId="36" borderId="16" xfId="0" applyFont="1" applyFill="1" applyBorder="1" applyAlignment="1">
      <alignment horizontal="center" vertical="center" wrapText="1"/>
    </xf>
    <xf numFmtId="0" fontId="25" fillId="36" borderId="18" xfId="42" applyNumberFormat="1" applyFont="1" applyFill="1" applyBorder="1" applyAlignment="1">
      <alignment horizontal="center" vertical="center" wrapText="1"/>
    </xf>
    <xf numFmtId="0" fontId="49" fillId="0" borderId="18" xfId="0" applyFont="1" applyBorder="1" applyAlignment="1">
      <alignment vertical="top"/>
    </xf>
    <xf numFmtId="0" fontId="49" fillId="0" borderId="16" xfId="0" applyFont="1" applyBorder="1" applyAlignment="1">
      <alignment vertical="top"/>
    </xf>
    <xf numFmtId="0" fontId="24" fillId="0" borderId="17" xfId="48" applyFont="1" applyBorder="1" applyAlignment="1">
      <alignment horizontal="left" vertical="center" wrapText="1"/>
    </xf>
    <xf numFmtId="0" fontId="24" fillId="0" borderId="18" xfId="48" applyFont="1" applyBorder="1" applyAlignment="1">
      <alignment horizontal="center" vertical="center" wrapText="1"/>
    </xf>
    <xf numFmtId="0" fontId="25" fillId="0" borderId="17" xfId="48" applyFont="1" applyBorder="1" applyAlignment="1">
      <alignment horizontal="left" vertical="center" wrapText="1"/>
    </xf>
    <xf numFmtId="0" fontId="25" fillId="0" borderId="18" xfId="48" applyFont="1" applyBorder="1" applyAlignment="1">
      <alignment horizontal="center" vertical="center" wrapText="1"/>
    </xf>
    <xf numFmtId="44" fontId="25" fillId="0" borderId="23" xfId="42" applyFont="1" applyFill="1" applyBorder="1" applyAlignment="1">
      <alignment vertical="center" wrapText="1"/>
    </xf>
    <xf numFmtId="0" fontId="2" fillId="0" borderId="0" xfId="0" applyFont="1" applyAlignment="1">
      <alignment vertical="top"/>
    </xf>
    <xf numFmtId="0" fontId="32" fillId="0" borderId="0" xfId="0" applyFont="1" applyAlignment="1">
      <alignment horizontal="center" vertical="center" wrapText="1"/>
    </xf>
    <xf numFmtId="0" fontId="26" fillId="0" borderId="0" xfId="0" applyFont="1" applyAlignment="1">
      <alignment horizontal="center" wrapText="1"/>
    </xf>
    <xf numFmtId="0" fontId="37" fillId="0" borderId="10" xfId="0" applyFont="1" applyBorder="1" applyAlignment="1">
      <alignment horizontal="left" vertical="center" wrapText="1"/>
    </xf>
    <xf numFmtId="0" fontId="37" fillId="0" borderId="0" xfId="0" applyFont="1" applyAlignment="1">
      <alignment horizontal="left" vertical="center" wrapText="1"/>
    </xf>
    <xf numFmtId="0" fontId="37" fillId="0" borderId="11" xfId="0" applyFont="1" applyBorder="1" applyAlignment="1">
      <alignment horizontal="left" vertical="center" wrapText="1"/>
    </xf>
    <xf numFmtId="0" fontId="25" fillId="36" borderId="13" xfId="48" applyFont="1" applyFill="1" applyBorder="1" applyAlignment="1">
      <alignment horizontal="center" vertical="center" wrapText="1"/>
    </xf>
    <xf numFmtId="0" fontId="25" fillId="36" borderId="16" xfId="48" applyFont="1" applyFill="1" applyBorder="1" applyAlignment="1">
      <alignment horizontal="center" vertical="center" wrapText="1"/>
    </xf>
    <xf numFmtId="0" fontId="24" fillId="33" borderId="47" xfId="48" applyFont="1" applyFill="1" applyBorder="1" applyAlignment="1">
      <alignment horizontal="left" vertical="center" wrapText="1"/>
    </xf>
    <xf numFmtId="0" fontId="32" fillId="33" borderId="48" xfId="48" applyFont="1" applyFill="1" applyBorder="1" applyAlignment="1">
      <alignment horizontal="left" vertical="center" wrapText="1"/>
    </xf>
    <xf numFmtId="0" fontId="32" fillId="33" borderId="48" xfId="48" applyFont="1" applyFill="1" applyBorder="1" applyAlignment="1">
      <alignment vertical="center" wrapText="1"/>
    </xf>
    <xf numFmtId="0" fontId="48" fillId="35" borderId="18" xfId="48" applyFont="1" applyFill="1" applyBorder="1" applyAlignment="1">
      <alignment horizontal="left" vertical="center" wrapText="1"/>
    </xf>
    <xf numFmtId="1" fontId="25" fillId="36" borderId="13" xfId="48" applyNumberFormat="1" applyFont="1" applyFill="1" applyBorder="1" applyAlignment="1">
      <alignment horizontal="center" vertical="center" wrapText="1"/>
    </xf>
    <xf numFmtId="0" fontId="24" fillId="0" borderId="22" xfId="0" applyFont="1" applyBorder="1" applyAlignment="1" applyProtection="1">
      <alignment horizontal="left" vertical="center" wrapText="1"/>
      <protection locked="0"/>
    </xf>
    <xf numFmtId="1" fontId="25" fillId="36" borderId="18" xfId="48" applyNumberFormat="1" applyFont="1" applyFill="1" applyBorder="1" applyAlignment="1">
      <alignment horizontal="center" vertical="center" wrapText="1"/>
    </xf>
    <xf numFmtId="0" fontId="26" fillId="33" borderId="25" xfId="48" applyFont="1" applyFill="1" applyBorder="1" applyAlignment="1">
      <alignment vertical="center" wrapText="1"/>
    </xf>
    <xf numFmtId="0" fontId="32" fillId="0" borderId="12" xfId="0" applyFont="1" applyBorder="1" applyAlignment="1" applyProtection="1">
      <alignment horizontal="left" vertical="center" wrapText="1"/>
      <protection locked="0"/>
    </xf>
    <xf numFmtId="0" fontId="32" fillId="0" borderId="15" xfId="0" applyFont="1" applyBorder="1" applyAlignment="1" applyProtection="1">
      <alignment horizontal="left" vertical="center" wrapText="1"/>
      <protection locked="0"/>
    </xf>
    <xf numFmtId="0" fontId="24" fillId="0" borderId="36" xfId="0" applyFont="1" applyBorder="1" applyAlignment="1">
      <alignment horizontal="left" vertical="center" wrapText="1"/>
    </xf>
    <xf numFmtId="0" fontId="24" fillId="0" borderId="37" xfId="0" applyFont="1" applyBorder="1" applyAlignment="1">
      <alignment horizontal="left" vertical="center" wrapText="1"/>
    </xf>
    <xf numFmtId="0" fontId="24" fillId="0" borderId="37" xfId="0" applyFont="1" applyBorder="1" applyAlignment="1">
      <alignment horizontal="center" vertical="center" wrapText="1"/>
    </xf>
    <xf numFmtId="44" fontId="25" fillId="0" borderId="13" xfId="42" applyFont="1" applyFill="1" applyBorder="1" applyAlignment="1">
      <alignment vertical="center" wrapText="1"/>
    </xf>
    <xf numFmtId="0" fontId="24" fillId="0" borderId="24" xfId="0" applyFont="1" applyBorder="1" applyAlignment="1">
      <alignment horizontal="left" vertical="center" wrapText="1"/>
    </xf>
    <xf numFmtId="0" fontId="25" fillId="0" borderId="25" xfId="0" applyFont="1" applyBorder="1" applyAlignment="1">
      <alignment horizontal="left" vertical="center" wrapText="1"/>
    </xf>
    <xf numFmtId="0" fontId="25" fillId="0" borderId="25" xfId="0" applyFont="1" applyBorder="1" applyAlignment="1">
      <alignment horizontal="center" vertical="center" wrapText="1"/>
    </xf>
    <xf numFmtId="44" fontId="25" fillId="0" borderId="25" xfId="42" applyFont="1" applyFill="1" applyBorder="1" applyAlignment="1">
      <alignment vertical="center" wrapText="1"/>
    </xf>
    <xf numFmtId="44" fontId="25" fillId="0" borderId="26" xfId="42" applyFont="1" applyFill="1" applyBorder="1" applyAlignment="1">
      <alignment horizontal="center" vertical="center" wrapText="1"/>
    </xf>
    <xf numFmtId="0" fontId="24" fillId="0" borderId="0" xfId="0" applyFont="1" applyAlignment="1">
      <alignment vertical="center" wrapText="1"/>
    </xf>
    <xf numFmtId="0" fontId="26" fillId="0" borderId="0" xfId="0" applyFont="1" applyAlignment="1">
      <alignment wrapText="1"/>
    </xf>
    <xf numFmtId="0" fontId="25" fillId="0" borderId="15" xfId="0" applyFont="1" applyBorder="1" applyAlignment="1">
      <alignment horizontal="left" vertical="center" wrapText="1"/>
    </xf>
    <xf numFmtId="44" fontId="25" fillId="0" borderId="50" xfId="42" applyFont="1" applyFill="1" applyBorder="1" applyAlignment="1">
      <alignment horizontal="center" vertical="center" wrapText="1"/>
    </xf>
    <xf numFmtId="0" fontId="25" fillId="36" borderId="18" xfId="0" applyFont="1" applyFill="1" applyBorder="1" applyAlignment="1">
      <alignment horizontal="center" vertical="center" wrapText="1"/>
    </xf>
    <xf numFmtId="0" fontId="25" fillId="36" borderId="23" xfId="0" applyFont="1" applyFill="1" applyBorder="1" applyAlignment="1">
      <alignment horizontal="center" vertical="center" wrapText="1"/>
    </xf>
    <xf numFmtId="0" fontId="32" fillId="0" borderId="17" xfId="0" applyFont="1" applyBorder="1" applyAlignment="1">
      <alignment horizontal="left" vertical="center" wrapText="1"/>
    </xf>
    <xf numFmtId="0" fontId="25" fillId="36" borderId="20" xfId="48" applyFont="1" applyFill="1" applyBorder="1" applyAlignment="1">
      <alignment horizontal="center" vertical="center" wrapText="1"/>
    </xf>
    <xf numFmtId="0" fontId="49" fillId="0" borderId="10" xfId="0" applyFont="1" applyBorder="1" applyAlignment="1" applyProtection="1">
      <alignment horizontal="center" vertical="center"/>
      <protection locked="0"/>
    </xf>
    <xf numFmtId="0" fontId="49" fillId="0" borderId="0" xfId="0" applyFont="1" applyAlignment="1" applyProtection="1">
      <alignment horizontal="center" vertical="center"/>
      <protection locked="0"/>
    </xf>
    <xf numFmtId="0" fontId="49" fillId="0" borderId="11" xfId="0" applyFont="1" applyBorder="1" applyAlignment="1" applyProtection="1">
      <alignment horizontal="center" vertical="center"/>
      <protection locked="0"/>
    </xf>
    <xf numFmtId="44" fontId="37" fillId="0" borderId="0" xfId="0" applyNumberFormat="1" applyFont="1" applyAlignment="1">
      <alignment horizontal="center" vertical="center"/>
    </xf>
    <xf numFmtId="44" fontId="37" fillId="0" borderId="11" xfId="0" applyNumberFormat="1" applyFont="1" applyBorder="1" applyAlignment="1">
      <alignment horizontal="center" vertical="center"/>
    </xf>
    <xf numFmtId="0" fontId="49" fillId="0" borderId="0" xfId="0" applyFont="1" applyAlignment="1">
      <alignment horizontal="center" vertical="center"/>
    </xf>
    <xf numFmtId="0" fontId="21" fillId="0" borderId="25" xfId="0" applyFont="1" applyBorder="1" applyAlignment="1">
      <alignment horizontal="center" vertical="center" wrapText="1"/>
    </xf>
    <xf numFmtId="0" fontId="25" fillId="36" borderId="13" xfId="0" applyFont="1" applyFill="1" applyBorder="1" applyAlignment="1">
      <alignment horizontal="center" vertical="center" wrapText="1"/>
    </xf>
    <xf numFmtId="0" fontId="25" fillId="36" borderId="20" xfId="0" applyFont="1" applyFill="1" applyBorder="1" applyAlignment="1">
      <alignment horizontal="center" vertical="center" wrapText="1"/>
    </xf>
    <xf numFmtId="0" fontId="25" fillId="36" borderId="28" xfId="0" applyFont="1" applyFill="1" applyBorder="1" applyAlignment="1">
      <alignment horizontal="center" vertical="center" wrapText="1"/>
    </xf>
    <xf numFmtId="1" fontId="25" fillId="36" borderId="13" xfId="0" applyNumberFormat="1" applyFont="1" applyFill="1" applyBorder="1" applyAlignment="1">
      <alignment horizontal="center" vertical="center" wrapText="1"/>
    </xf>
    <xf numFmtId="1" fontId="25" fillId="36" borderId="18" xfId="0" applyNumberFormat="1" applyFont="1" applyFill="1" applyBorder="1" applyAlignment="1">
      <alignment horizontal="center" vertical="center" wrapText="1"/>
    </xf>
    <xf numFmtId="0" fontId="25" fillId="36" borderId="23" xfId="48" applyFont="1" applyFill="1" applyBorder="1" applyAlignment="1">
      <alignment horizontal="center" vertical="center" wrapText="1"/>
    </xf>
    <xf numFmtId="0" fontId="25" fillId="36" borderId="18" xfId="0" applyFont="1" applyFill="1" applyBorder="1" applyAlignment="1">
      <alignment horizontal="center" vertical="center"/>
    </xf>
    <xf numFmtId="0" fontId="25" fillId="36" borderId="33" xfId="0" applyFont="1" applyFill="1" applyBorder="1" applyAlignment="1">
      <alignment horizontal="center" vertical="center" wrapText="1"/>
    </xf>
    <xf numFmtId="0" fontId="25" fillId="36" borderId="31" xfId="0" applyFont="1" applyFill="1" applyBorder="1" applyAlignment="1">
      <alignment horizontal="center" vertical="center" wrapText="1"/>
    </xf>
    <xf numFmtId="0" fontId="25" fillId="36" borderId="34" xfId="0" applyFont="1" applyFill="1" applyBorder="1" applyAlignment="1">
      <alignment horizontal="center" vertical="center" wrapText="1"/>
    </xf>
    <xf numFmtId="0" fontId="25" fillId="36" borderId="37" xfId="0" applyFont="1" applyFill="1" applyBorder="1" applyAlignment="1">
      <alignment horizontal="center" vertical="center" wrapText="1"/>
    </xf>
    <xf numFmtId="0" fontId="25" fillId="0" borderId="0" xfId="48" applyFont="1" applyAlignment="1">
      <alignment horizontal="center" vertical="center" wrapText="1"/>
    </xf>
    <xf numFmtId="0" fontId="50" fillId="0" borderId="0" xfId="0" applyFont="1" applyAlignment="1">
      <alignment horizontal="center" vertical="center" wrapText="1"/>
    </xf>
    <xf numFmtId="1" fontId="25" fillId="36" borderId="23" xfId="0" applyNumberFormat="1" applyFont="1" applyFill="1" applyBorder="1" applyAlignment="1">
      <alignment horizontal="center" vertical="center" wrapText="1"/>
    </xf>
    <xf numFmtId="0" fontId="24" fillId="0" borderId="18" xfId="48" applyFont="1" applyBorder="1" applyAlignment="1">
      <alignment horizontal="left" vertical="center" wrapText="1"/>
    </xf>
    <xf numFmtId="0" fontId="25" fillId="0" borderId="18" xfId="48" applyFont="1" applyBorder="1" applyAlignment="1">
      <alignment horizontal="left" vertical="center" wrapText="1"/>
    </xf>
    <xf numFmtId="0" fontId="24" fillId="0" borderId="12" xfId="48" applyFont="1" applyBorder="1" applyAlignment="1">
      <alignment horizontal="left" vertical="center" wrapText="1"/>
    </xf>
    <xf numFmtId="0" fontId="24" fillId="0" borderId="13" xfId="48" applyFont="1" applyBorder="1" applyAlignment="1">
      <alignment horizontal="center" vertical="center" wrapText="1"/>
    </xf>
    <xf numFmtId="0" fontId="25" fillId="36" borderId="13" xfId="42" applyNumberFormat="1" applyFont="1" applyFill="1" applyBorder="1" applyAlignment="1">
      <alignment horizontal="center" vertical="center" wrapText="1"/>
    </xf>
    <xf numFmtId="0" fontId="25" fillId="0" borderId="13" xfId="48" applyFont="1" applyBorder="1" applyAlignment="1">
      <alignment horizontal="left" vertical="center" wrapText="1"/>
    </xf>
    <xf numFmtId="0" fontId="25" fillId="36" borderId="23" xfId="42" applyNumberFormat="1" applyFont="1" applyFill="1" applyBorder="1" applyAlignment="1">
      <alignment horizontal="center" vertical="center" wrapText="1"/>
    </xf>
    <xf numFmtId="0" fontId="24" fillId="0" borderId="15" xfId="48" applyFont="1" applyBorder="1" applyAlignment="1">
      <alignment horizontal="left" vertical="center" wrapText="1"/>
    </xf>
    <xf numFmtId="0" fontId="24" fillId="0" borderId="16" xfId="48" applyFont="1" applyBorder="1" applyAlignment="1">
      <alignment horizontal="left" vertical="center" wrapText="1"/>
    </xf>
    <xf numFmtId="0" fontId="24" fillId="0" borderId="16" xfId="48" applyFont="1" applyBorder="1" applyAlignment="1">
      <alignment horizontal="center" vertical="center" wrapText="1"/>
    </xf>
    <xf numFmtId="0" fontId="24" fillId="0" borderId="22" xfId="48" applyFont="1" applyBorder="1" applyAlignment="1">
      <alignment horizontal="left" vertical="center" wrapText="1"/>
    </xf>
    <xf numFmtId="0" fontId="24" fillId="0" borderId="23" xfId="48" applyFont="1" applyBorder="1" applyAlignment="1">
      <alignment horizontal="left" vertical="center" wrapText="1"/>
    </xf>
    <xf numFmtId="0" fontId="24" fillId="0" borderId="23" xfId="48" applyFont="1" applyBorder="1" applyAlignment="1">
      <alignment horizontal="center" vertical="center" wrapText="1"/>
    </xf>
    <xf numFmtId="166" fontId="25" fillId="36" borderId="18" xfId="0" applyNumberFormat="1" applyFont="1" applyFill="1" applyBorder="1" applyAlignment="1">
      <alignment horizontal="center" vertical="center" wrapText="1"/>
    </xf>
    <xf numFmtId="166" fontId="25" fillId="36" borderId="13" xfId="0" applyNumberFormat="1" applyFont="1" applyFill="1" applyBorder="1" applyAlignment="1">
      <alignment horizontal="center" vertical="center" wrapText="1"/>
    </xf>
    <xf numFmtId="0" fontId="24" fillId="0" borderId="13" xfId="0" applyFont="1" applyBorder="1" applyAlignment="1">
      <alignment vertical="center" wrapText="1"/>
    </xf>
    <xf numFmtId="0" fontId="24" fillId="0" borderId="18" xfId="0" applyFont="1" applyBorder="1" applyAlignment="1">
      <alignment vertical="center" wrapText="1"/>
    </xf>
    <xf numFmtId="0" fontId="24" fillId="0" borderId="16" xfId="0" applyFont="1" applyBorder="1" applyAlignment="1">
      <alignment vertical="center" wrapText="1"/>
    </xf>
    <xf numFmtId="0" fontId="2" fillId="0" borderId="0" xfId="0" applyFont="1" applyAlignment="1">
      <alignment horizontal="left" vertical="top"/>
    </xf>
    <xf numFmtId="0" fontId="2" fillId="0" borderId="0" xfId="0" applyFont="1" applyAlignment="1">
      <alignment horizontal="left" vertical="center" wrapText="1"/>
    </xf>
    <xf numFmtId="0" fontId="2" fillId="0" borderId="0" xfId="0" applyFont="1" applyAlignment="1">
      <alignment horizontal="center" vertical="top"/>
    </xf>
    <xf numFmtId="0" fontId="2" fillId="0" borderId="13" xfId="0" applyFont="1" applyBorder="1" applyAlignment="1">
      <alignment vertical="top"/>
    </xf>
    <xf numFmtId="0" fontId="2" fillId="0" borderId="18" xfId="0" applyFont="1" applyBorder="1" applyAlignment="1">
      <alignment vertical="top"/>
    </xf>
    <xf numFmtId="0" fontId="2" fillId="0" borderId="0" xfId="0" applyFont="1" applyAlignment="1">
      <alignment horizontal="center" vertical="top" wrapText="1"/>
    </xf>
    <xf numFmtId="0" fontId="2" fillId="0" borderId="0" xfId="0" applyFont="1" applyAlignment="1">
      <alignment vertical="top" wrapText="1"/>
    </xf>
    <xf numFmtId="0" fontId="2" fillId="0" borderId="0" xfId="0" applyFont="1" applyAlignment="1">
      <alignment horizontal="left" vertical="top" wrapText="1"/>
    </xf>
    <xf numFmtId="0" fontId="51" fillId="37" borderId="0" xfId="0" applyFont="1" applyFill="1"/>
    <xf numFmtId="0" fontId="24" fillId="0" borderId="27" xfId="48" applyFont="1" applyBorder="1" applyAlignment="1">
      <alignment horizontal="left" vertical="center" wrapText="1"/>
    </xf>
    <xf numFmtId="0" fontId="24" fillId="0" borderId="28" xfId="48" applyFont="1" applyBorder="1" applyAlignment="1">
      <alignment horizontal="left" vertical="center" wrapText="1"/>
    </xf>
    <xf numFmtId="0" fontId="24" fillId="0" borderId="28" xfId="48" applyFont="1" applyBorder="1" applyAlignment="1">
      <alignment horizontal="center" vertical="center" wrapText="1"/>
    </xf>
    <xf numFmtId="0" fontId="24" fillId="0" borderId="13" xfId="48" applyFont="1" applyBorder="1" applyAlignment="1">
      <alignment horizontal="left" vertical="center" wrapText="1"/>
    </xf>
    <xf numFmtId="44" fontId="25" fillId="0" borderId="45" xfId="42" applyFont="1" applyFill="1" applyBorder="1" applyAlignment="1">
      <alignment horizontal="center" vertical="center" wrapText="1"/>
    </xf>
    <xf numFmtId="0" fontId="25" fillId="0" borderId="22" xfId="48" applyFont="1" applyBorder="1" applyAlignment="1">
      <alignment horizontal="left" vertical="center" wrapText="1"/>
    </xf>
    <xf numFmtId="0" fontId="25" fillId="0" borderId="23" xfId="48" applyFont="1" applyBorder="1" applyAlignment="1">
      <alignment horizontal="left" vertical="center" wrapText="1"/>
    </xf>
    <xf numFmtId="0" fontId="49" fillId="0" borderId="23" xfId="0" applyFont="1" applyBorder="1" applyAlignment="1">
      <alignment vertical="top"/>
    </xf>
    <xf numFmtId="44" fontId="24" fillId="0" borderId="53" xfId="42" applyFont="1" applyFill="1" applyBorder="1" applyAlignment="1">
      <alignment vertical="center" wrapText="1"/>
    </xf>
    <xf numFmtId="44" fontId="24" fillId="0" borderId="43" xfId="42" applyFont="1" applyFill="1" applyBorder="1" applyAlignment="1">
      <alignment vertical="center" wrapText="1"/>
    </xf>
    <xf numFmtId="0" fontId="51" fillId="0" borderId="18" xfId="0" applyFont="1" applyBorder="1" applyAlignment="1">
      <alignment horizontal="center" vertical="center" wrapText="1"/>
    </xf>
    <xf numFmtId="44" fontId="24" fillId="35" borderId="48" xfId="42" applyFont="1" applyFill="1" applyBorder="1" applyAlignment="1">
      <alignment vertical="center" wrapText="1"/>
    </xf>
    <xf numFmtId="0" fontId="54" fillId="0" borderId="0" xfId="0" applyFont="1"/>
    <xf numFmtId="44" fontId="25" fillId="0" borderId="14" xfId="42" applyFont="1" applyFill="1" applyBorder="1" applyAlignment="1">
      <alignment horizontal="center" vertical="center" wrapText="1"/>
    </xf>
    <xf numFmtId="0" fontId="25" fillId="36" borderId="16" xfId="42" applyNumberFormat="1" applyFont="1" applyFill="1" applyBorder="1" applyAlignment="1">
      <alignment horizontal="center" vertical="center" wrapText="1"/>
    </xf>
    <xf numFmtId="0" fontId="25" fillId="0" borderId="15" xfId="48" applyFont="1" applyBorder="1" applyAlignment="1">
      <alignment horizontal="left" vertical="center" wrapText="1"/>
    </xf>
    <xf numFmtId="0" fontId="25" fillId="0" borderId="16" xfId="48" applyFont="1" applyBorder="1" applyAlignment="1">
      <alignment horizontal="left" vertical="center" wrapText="1"/>
    </xf>
    <xf numFmtId="0" fontId="53" fillId="36" borderId="18" xfId="0" applyFont="1" applyFill="1" applyBorder="1" applyAlignment="1">
      <alignment horizontal="center" vertical="center" wrapText="1"/>
    </xf>
    <xf numFmtId="0" fontId="51" fillId="0" borderId="17" xfId="0" applyFont="1" applyBorder="1" applyAlignment="1" applyProtection="1">
      <alignment horizontal="left" vertical="center" wrapText="1"/>
      <protection locked="0"/>
    </xf>
    <xf numFmtId="0" fontId="51" fillId="0" borderId="18" xfId="0" applyFont="1" applyBorder="1" applyAlignment="1">
      <alignment horizontal="left" vertical="center" wrapText="1"/>
    </xf>
    <xf numFmtId="0" fontId="51" fillId="0" borderId="52" xfId="0" applyFont="1" applyBorder="1" applyAlignment="1">
      <alignment horizontal="left" vertical="center" wrapText="1"/>
    </xf>
    <xf numFmtId="0" fontId="51" fillId="0" borderId="49" xfId="0" applyFont="1" applyBorder="1"/>
    <xf numFmtId="0" fontId="25" fillId="0" borderId="16" xfId="0" applyFont="1" applyBorder="1" applyAlignment="1">
      <alignment horizontal="left" vertical="center" wrapText="1"/>
    </xf>
    <xf numFmtId="1" fontId="25" fillId="36" borderId="28" xfId="48" applyNumberFormat="1" applyFont="1" applyFill="1" applyBorder="1" applyAlignment="1">
      <alignment horizontal="center" vertical="center" wrapText="1"/>
    </xf>
    <xf numFmtId="0" fontId="25" fillId="0" borderId="23" xfId="0" applyFont="1" applyBorder="1" applyAlignment="1">
      <alignment horizontal="left" vertical="center" wrapText="1"/>
    </xf>
    <xf numFmtId="0" fontId="25" fillId="36" borderId="28" xfId="48" applyFont="1" applyFill="1" applyBorder="1" applyAlignment="1">
      <alignment horizontal="center" vertical="center" wrapText="1"/>
    </xf>
    <xf numFmtId="0" fontId="25" fillId="36" borderId="48" xfId="48" applyFont="1" applyFill="1" applyBorder="1" applyAlignment="1">
      <alignment horizontal="center" vertical="center" wrapText="1"/>
    </xf>
    <xf numFmtId="0" fontId="25" fillId="0" borderId="17" xfId="0" applyFont="1" applyBorder="1" applyAlignment="1">
      <alignment horizontal="left" vertical="center" wrapText="1"/>
    </xf>
    <xf numFmtId="0" fontId="24" fillId="0" borderId="17" xfId="0" applyFont="1" applyBorder="1" applyAlignment="1">
      <alignment horizontal="center" vertical="center" wrapText="1"/>
    </xf>
    <xf numFmtId="0" fontId="32" fillId="37" borderId="25" xfId="0" applyFont="1" applyFill="1" applyBorder="1" applyAlignment="1">
      <alignment horizontal="left" vertical="center" wrapText="1"/>
    </xf>
    <xf numFmtId="0" fontId="32" fillId="37" borderId="20" xfId="0" applyFont="1" applyFill="1" applyBorder="1" applyAlignment="1">
      <alignment horizontal="left" vertical="center" wrapText="1"/>
    </xf>
    <xf numFmtId="0" fontId="32" fillId="37" borderId="20" xfId="48" applyFont="1" applyFill="1" applyBorder="1" applyAlignment="1">
      <alignment horizontal="left" vertical="center" wrapText="1"/>
    </xf>
    <xf numFmtId="0" fontId="24" fillId="37" borderId="18" xfId="0" applyFont="1" applyFill="1" applyBorder="1" applyAlignment="1">
      <alignment vertical="center" wrapText="1"/>
    </xf>
    <xf numFmtId="1" fontId="25" fillId="37" borderId="25" xfId="0" applyNumberFormat="1" applyFont="1" applyFill="1" applyBorder="1" applyAlignment="1">
      <alignment horizontal="center" vertical="center" wrapText="1"/>
    </xf>
    <xf numFmtId="1" fontId="25" fillId="37" borderId="18" xfId="0" applyNumberFormat="1" applyFont="1" applyFill="1" applyBorder="1" applyAlignment="1">
      <alignment horizontal="center" vertical="center" wrapText="1"/>
    </xf>
    <xf numFmtId="166" fontId="25" fillId="37" borderId="18" xfId="0" applyNumberFormat="1" applyFont="1" applyFill="1" applyBorder="1" applyAlignment="1">
      <alignment horizontal="center" vertical="center" wrapText="1"/>
    </xf>
    <xf numFmtId="166" fontId="25" fillId="37" borderId="23" xfId="0" applyNumberFormat="1" applyFont="1" applyFill="1" applyBorder="1" applyAlignment="1">
      <alignment horizontal="center" vertical="center" wrapText="1"/>
    </xf>
    <xf numFmtId="166" fontId="25" fillId="37" borderId="16" xfId="0" applyNumberFormat="1" applyFont="1" applyFill="1" applyBorder="1" applyAlignment="1">
      <alignment horizontal="center" vertical="center" wrapText="1"/>
    </xf>
    <xf numFmtId="0" fontId="24" fillId="37" borderId="18" xfId="0" applyFont="1" applyFill="1" applyBorder="1" applyAlignment="1">
      <alignment horizontal="left" vertical="center" wrapText="1"/>
    </xf>
    <xf numFmtId="0" fontId="24" fillId="37" borderId="17" xfId="48" applyFont="1" applyFill="1" applyBorder="1" applyAlignment="1">
      <alignment horizontal="left" vertical="center" wrapText="1"/>
    </xf>
    <xf numFmtId="0" fontId="24" fillId="37" borderId="18" xfId="48" applyFont="1" applyFill="1" applyBorder="1" applyAlignment="1">
      <alignment horizontal="left" vertical="center" wrapText="1"/>
    </xf>
    <xf numFmtId="0" fontId="24" fillId="37" borderId="18" xfId="48" applyFont="1" applyFill="1" applyBorder="1" applyAlignment="1">
      <alignment horizontal="center" vertical="center" wrapText="1"/>
    </xf>
    <xf numFmtId="44" fontId="24" fillId="37" borderId="46" xfId="42" applyFont="1" applyFill="1" applyBorder="1" applyAlignment="1">
      <alignment horizontal="center" vertical="center" wrapText="1"/>
    </xf>
    <xf numFmtId="2" fontId="0" fillId="0" borderId="10" xfId="0" applyNumberFormat="1" applyBorder="1" applyAlignment="1">
      <alignment horizontal="left" vertical="center" wrapText="1"/>
    </xf>
    <xf numFmtId="2" fontId="23" fillId="0" borderId="10" xfId="0" applyNumberFormat="1" applyFont="1" applyBorder="1" applyAlignment="1">
      <alignment horizontal="left" vertical="center" wrapText="1"/>
    </xf>
    <xf numFmtId="2" fontId="23" fillId="0" borderId="0" xfId="0" applyNumberFormat="1" applyFont="1" applyAlignment="1">
      <alignment horizontal="left" vertical="center" wrapText="1"/>
    </xf>
  </cellXfs>
  <cellStyles count="8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Bad 2" xfId="86" xr:uid="{00000000-0005-0000-0000-000019000000}"/>
    <cellStyle name="Calculation" xfId="11" builtinId="22" customBuiltin="1"/>
    <cellStyle name="Check Cell" xfId="13" builtinId="23" customBuiltin="1"/>
    <cellStyle name="Currency" xfId="42" builtinId="4"/>
    <cellStyle name="Currency 2" xfId="44" xr:uid="{00000000-0005-0000-0000-00001D000000}"/>
    <cellStyle name="Currency 2 2" xfId="80" xr:uid="{00000000-0005-0000-0000-00001E000000}"/>
    <cellStyle name="Currency 3" xfId="79" xr:uid="{00000000-0005-0000-0000-00001F000000}"/>
    <cellStyle name="Currency 4" xfId="84" xr:uid="{00000000-0005-0000-0000-000020000000}"/>
    <cellStyle name="Explanatory Text" xfId="16" builtinId="53" customBuiltin="1"/>
    <cellStyle name="Followed Hyperlink" xfId="47"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Input" xfId="9" builtinId="20" customBuiltin="1"/>
    <cellStyle name="Input 2" xfId="87" xr:uid="{00000000-0005-0000-0000-000048000000}"/>
    <cellStyle name="Linked Cell" xfId="12" builtinId="24" customBuiltin="1"/>
    <cellStyle name="Neutral" xfId="8" builtinId="28" customBuiltin="1"/>
    <cellStyle name="Normal" xfId="0" builtinId="0"/>
    <cellStyle name="Normal 2" xfId="43" xr:uid="{00000000-0005-0000-0000-00004C000000}"/>
    <cellStyle name="Normal 2 2" xfId="48" xr:uid="{00000000-0005-0000-0000-00004D000000}"/>
    <cellStyle name="Normal 3" xfId="45" xr:uid="{00000000-0005-0000-0000-00004E000000}"/>
    <cellStyle name="Normal 3 2" xfId="81" xr:uid="{00000000-0005-0000-0000-00004F000000}"/>
    <cellStyle name="Normal 4" xfId="82" xr:uid="{00000000-0005-0000-0000-000050000000}"/>
    <cellStyle name="Note" xfId="15" builtinId="10" customBuiltin="1"/>
    <cellStyle name="Note 2" xfId="88" xr:uid="{00000000-0005-0000-0000-000052000000}"/>
    <cellStyle name="NR Comment" xfId="83" xr:uid="{00000000-0005-0000-0000-000053000000}"/>
    <cellStyle name="Output" xfId="10" builtinId="21" customBuiltin="1"/>
    <cellStyle name="Percent 2" xfId="85" xr:uid="{00000000-0005-0000-0000-000056000000}"/>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00FF"/>
      <color rgb="FFFFFFCC"/>
      <color rgb="FFBBE5CC"/>
      <color rgb="FFFFFF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aura.merry\AppData\Local\Microsoft\Windows\INetCache\Content.Outlook\UZE0ZNE8\Bill%20of%20Quantities%20-%20Indooroopilly%20Bikeway%20-%20Stage%201%20-%2016%20Jul%20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Details (Cover Sheet)"/>
      <sheetName val="Summary"/>
      <sheetName val="Base Schedule Jan 2018"/>
    </sheetNames>
    <sheetDataSet>
      <sheetData sheetId="0">
        <row r="5">
          <cell r="G5" t="str">
            <v>Indooroopilly Bikeway Stage 1</v>
          </cell>
        </row>
        <row r="6">
          <cell r="G6" t="str">
            <v>Indooroopilly</v>
          </cell>
        </row>
        <row r="7">
          <cell r="G7">
            <v>25634</v>
          </cell>
        </row>
      </sheetData>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FC1829"/>
  <sheetViews>
    <sheetView tabSelected="1" zoomScale="85" zoomScaleNormal="85" zoomScalePageLayoutView="75" workbookViewId="0">
      <selection activeCell="B15" sqref="B15"/>
    </sheetView>
  </sheetViews>
  <sheetFormatPr defaultColWidth="8.8984375" defaultRowHeight="11.5"/>
  <cols>
    <col min="1" max="1" width="3.3984375" style="1" customWidth="1"/>
    <col min="2" max="2" width="18.296875" style="277" customWidth="1"/>
    <col min="3" max="3" width="82.59765625" style="278" customWidth="1"/>
    <col min="4" max="4" width="17.09765625" style="279" customWidth="1"/>
    <col min="5" max="5" width="17.09765625" style="243" bestFit="1" customWidth="1"/>
    <col min="6" max="6" width="16.296875" style="203" customWidth="1"/>
    <col min="7" max="7" width="16.09765625" style="279" customWidth="1"/>
    <col min="8" max="8" width="4.3984375" customWidth="1"/>
  </cols>
  <sheetData>
    <row r="1" spans="1:7">
      <c r="D1" s="9"/>
      <c r="E1" s="238"/>
      <c r="F1" s="10"/>
      <c r="G1" s="11"/>
    </row>
    <row r="2" spans="1:7" ht="13">
      <c r="D2" s="12"/>
      <c r="E2" s="239"/>
      <c r="F2" s="13" t="s">
        <v>316</v>
      </c>
      <c r="G2" s="14"/>
    </row>
    <row r="3" spans="1:7">
      <c r="D3" s="15"/>
      <c r="E3" s="240"/>
      <c r="F3" s="16"/>
      <c r="G3" s="17"/>
    </row>
    <row r="5" spans="1:7" s="30" customFormat="1" ht="18">
      <c r="A5" s="26"/>
      <c r="B5" s="27" t="s">
        <v>152</v>
      </c>
      <c r="C5" s="206"/>
      <c r="D5" s="28"/>
      <c r="E5" s="49"/>
      <c r="F5" s="29"/>
      <c r="G5" s="45" t="str">
        <f>'[1]Project Details (Cover Sheet)'!G5</f>
        <v>Indooroopilly Bikeway Stage 1</v>
      </c>
    </row>
    <row r="6" spans="1:7" s="30" customFormat="1" ht="18">
      <c r="A6" s="26"/>
      <c r="B6" s="31" t="s">
        <v>312</v>
      </c>
      <c r="C6" s="207"/>
      <c r="D6" s="32"/>
      <c r="E6" s="50"/>
      <c r="F6" s="33"/>
      <c r="G6" s="46" t="str">
        <f>'[1]Project Details (Cover Sheet)'!G6</f>
        <v>Indooroopilly</v>
      </c>
    </row>
    <row r="7" spans="1:7" s="30" customFormat="1" ht="18">
      <c r="A7" s="26"/>
      <c r="B7" s="31" t="s">
        <v>153</v>
      </c>
      <c r="C7" s="207"/>
      <c r="D7" s="32"/>
      <c r="E7" s="241"/>
      <c r="F7" s="33"/>
      <c r="G7" s="47">
        <f>'[1]Project Details (Cover Sheet)'!G7</f>
        <v>25634</v>
      </c>
    </row>
    <row r="8" spans="1:7" s="30" customFormat="1" ht="18">
      <c r="A8" s="26"/>
      <c r="B8" s="34" t="s">
        <v>154</v>
      </c>
      <c r="C8" s="208"/>
      <c r="D8" s="35"/>
      <c r="E8" s="242"/>
      <c r="F8" s="36"/>
      <c r="G8" s="44">
        <v>520503</v>
      </c>
    </row>
    <row r="9" spans="1:7" ht="15.5">
      <c r="B9" s="3"/>
      <c r="C9" s="155"/>
      <c r="D9" s="4"/>
      <c r="E9" s="4"/>
      <c r="F9" s="2"/>
      <c r="G9" s="5"/>
    </row>
    <row r="10" spans="1:7">
      <c r="B10" s="329" t="s">
        <v>1724</v>
      </c>
      <c r="C10" s="330"/>
      <c r="D10" s="330"/>
      <c r="E10" s="330"/>
      <c r="F10" s="6"/>
      <c r="G10" s="7"/>
    </row>
    <row r="11" spans="1:7" s="40" customFormat="1" ht="12.5">
      <c r="A11" s="37"/>
      <c r="B11" s="331" t="s">
        <v>155</v>
      </c>
      <c r="C11" s="331"/>
      <c r="D11" s="331"/>
      <c r="E11" s="331"/>
      <c r="F11" s="38"/>
      <c r="G11" s="39"/>
    </row>
    <row r="12" spans="1:7" s="40" customFormat="1" ht="15.5">
      <c r="A12" s="37"/>
      <c r="B12" s="42"/>
      <c r="C12" s="42"/>
      <c r="D12" s="122"/>
      <c r="E12" s="122"/>
      <c r="F12" s="122"/>
      <c r="G12" s="122"/>
    </row>
    <row r="13" spans="1:7" s="40" customFormat="1" ht="18">
      <c r="A13" s="37"/>
      <c r="B13" s="41" t="s">
        <v>968</v>
      </c>
      <c r="C13" s="42"/>
      <c r="D13" s="122"/>
      <c r="E13" s="122"/>
      <c r="F13" s="122"/>
      <c r="G13" s="122"/>
    </row>
    <row r="14" spans="1:7" s="40" customFormat="1" ht="12.5">
      <c r="A14" s="37"/>
      <c r="B14" s="42"/>
      <c r="C14" s="42"/>
      <c r="D14" s="42"/>
      <c r="E14" s="48"/>
      <c r="F14" s="38"/>
      <c r="G14" s="39"/>
    </row>
    <row r="15" spans="1:7" s="40" customFormat="1" ht="13" thickBot="1">
      <c r="A15" s="37"/>
      <c r="B15" s="277"/>
      <c r="C15" s="278"/>
      <c r="D15" s="279"/>
      <c r="E15" s="243"/>
      <c r="F15" s="203"/>
      <c r="G15" s="279"/>
    </row>
    <row r="16" spans="1:7" s="205" customFormat="1" ht="16" thickBot="1">
      <c r="A16" s="204"/>
      <c r="B16" s="18" t="s">
        <v>320</v>
      </c>
      <c r="C16" s="154" t="s">
        <v>143</v>
      </c>
      <c r="D16" s="19" t="s">
        <v>313</v>
      </c>
      <c r="E16" s="244" t="s">
        <v>2203</v>
      </c>
      <c r="F16" s="19" t="s">
        <v>314</v>
      </c>
      <c r="G16" s="20" t="s">
        <v>315</v>
      </c>
    </row>
    <row r="17" spans="1:7" s="21" customFormat="1" ht="16" thickBot="1">
      <c r="A17" s="22"/>
      <c r="B17" s="123"/>
      <c r="C17" s="23" t="s">
        <v>976</v>
      </c>
      <c r="D17" s="43"/>
      <c r="E17" s="59">
        <f>IF(SUM(E18:E26)&gt;0,1,"")</f>
        <v>1</v>
      </c>
      <c r="F17" s="60"/>
      <c r="G17" s="61"/>
    </row>
    <row r="18" spans="1:7" s="21" customFormat="1" ht="15.5">
      <c r="A18" s="22"/>
      <c r="B18" s="127">
        <v>20001.009999999998</v>
      </c>
      <c r="C18" s="159" t="s">
        <v>0</v>
      </c>
      <c r="D18" s="62" t="s">
        <v>145</v>
      </c>
      <c r="E18" s="245">
        <v>1</v>
      </c>
      <c r="F18" s="63"/>
      <c r="G18" s="103">
        <f t="shared" ref="G18:G26" si="0">E18*F18</f>
        <v>0</v>
      </c>
    </row>
    <row r="19" spans="1:7" s="21" customFormat="1" ht="15.5">
      <c r="A19" s="22"/>
      <c r="B19" s="124">
        <v>20002.009999999998</v>
      </c>
      <c r="C19" s="156" t="s">
        <v>1</v>
      </c>
      <c r="D19" s="25" t="s">
        <v>145</v>
      </c>
      <c r="E19" s="234"/>
      <c r="F19" s="67"/>
      <c r="G19" s="81">
        <f t="shared" si="0"/>
        <v>0</v>
      </c>
    </row>
    <row r="20" spans="1:7" s="21" customFormat="1" ht="15.5">
      <c r="A20" s="22"/>
      <c r="B20" s="124">
        <v>20003.009999999998</v>
      </c>
      <c r="C20" s="156" t="s">
        <v>2</v>
      </c>
      <c r="D20" s="25" t="s">
        <v>151</v>
      </c>
      <c r="E20" s="234"/>
      <c r="F20" s="67"/>
      <c r="G20" s="81">
        <f t="shared" si="0"/>
        <v>0</v>
      </c>
    </row>
    <row r="21" spans="1:7" s="21" customFormat="1" ht="15.5">
      <c r="A21" s="22"/>
      <c r="B21" s="124">
        <v>20004.009999999998</v>
      </c>
      <c r="C21" s="156" t="s">
        <v>399</v>
      </c>
      <c r="D21" s="25" t="s">
        <v>146</v>
      </c>
      <c r="E21" s="234">
        <v>500</v>
      </c>
      <c r="F21" s="67"/>
      <c r="G21" s="81">
        <f t="shared" si="0"/>
        <v>0</v>
      </c>
    </row>
    <row r="22" spans="1:7" s="21" customFormat="1" ht="15.5">
      <c r="A22" s="22"/>
      <c r="B22" s="124">
        <v>20005.009999999998</v>
      </c>
      <c r="C22" s="156" t="s">
        <v>400</v>
      </c>
      <c r="D22" s="25" t="s">
        <v>146</v>
      </c>
      <c r="E22" s="234">
        <v>500</v>
      </c>
      <c r="F22" s="67"/>
      <c r="G22" s="81">
        <f t="shared" si="0"/>
        <v>0</v>
      </c>
    </row>
    <row r="23" spans="1:7" s="21" customFormat="1" ht="15.5">
      <c r="A23" s="22"/>
      <c r="B23" s="124">
        <v>20006.009999999998</v>
      </c>
      <c r="C23" s="156" t="s">
        <v>3</v>
      </c>
      <c r="D23" s="25" t="s">
        <v>147</v>
      </c>
      <c r="E23" s="234">
        <v>4</v>
      </c>
      <c r="F23" s="67"/>
      <c r="G23" s="81">
        <f t="shared" si="0"/>
        <v>0</v>
      </c>
    </row>
    <row r="24" spans="1:7" s="21" customFormat="1" ht="15.5">
      <c r="A24" s="22"/>
      <c r="B24" s="124">
        <v>20007.009999999998</v>
      </c>
      <c r="C24" s="156" t="s">
        <v>4</v>
      </c>
      <c r="D24" s="25" t="s">
        <v>147</v>
      </c>
      <c r="E24" s="234">
        <v>4</v>
      </c>
      <c r="F24" s="67"/>
      <c r="G24" s="81">
        <f t="shared" si="0"/>
        <v>0</v>
      </c>
    </row>
    <row r="25" spans="1:7" s="21" customFormat="1" ht="15.5">
      <c r="A25" s="22"/>
      <c r="B25" s="124" t="s">
        <v>657</v>
      </c>
      <c r="C25" s="156" t="s">
        <v>205</v>
      </c>
      <c r="D25" s="25" t="s">
        <v>146</v>
      </c>
      <c r="E25" s="234">
        <v>220</v>
      </c>
      <c r="F25" s="67"/>
      <c r="G25" s="81">
        <f t="shared" si="0"/>
        <v>0</v>
      </c>
    </row>
    <row r="26" spans="1:7" s="21" customFormat="1" ht="16" thickBot="1">
      <c r="A26" s="22"/>
      <c r="B26" s="125" t="s">
        <v>658</v>
      </c>
      <c r="C26" s="157" t="s">
        <v>206</v>
      </c>
      <c r="D26" s="104" t="s">
        <v>146</v>
      </c>
      <c r="E26" s="194">
        <v>220</v>
      </c>
      <c r="F26" s="105"/>
      <c r="G26" s="106">
        <f t="shared" si="0"/>
        <v>0</v>
      </c>
    </row>
    <row r="27" spans="1:7" s="21" customFormat="1" ht="16" thickBot="1">
      <c r="A27" s="22"/>
      <c r="B27" s="123"/>
      <c r="C27" s="23" t="s">
        <v>977</v>
      </c>
      <c r="D27" s="43"/>
      <c r="E27" s="59">
        <f>IF(SUM(E28:E29)&gt;0,1,"")</f>
        <v>1</v>
      </c>
      <c r="F27" s="60"/>
      <c r="G27" s="61"/>
    </row>
    <row r="28" spans="1:7" s="21" customFormat="1" ht="15.5">
      <c r="A28" s="22"/>
      <c r="B28" s="127">
        <v>20101.009999999998</v>
      </c>
      <c r="C28" s="159" t="s">
        <v>439</v>
      </c>
      <c r="D28" s="62" t="s">
        <v>145</v>
      </c>
      <c r="E28" s="245">
        <v>1</v>
      </c>
      <c r="F28" s="63"/>
      <c r="G28" s="103">
        <f>E28*F28</f>
        <v>0</v>
      </c>
    </row>
    <row r="29" spans="1:7" s="21" customFormat="1" ht="16" thickBot="1">
      <c r="A29" s="22"/>
      <c r="B29" s="125">
        <v>20102.009999999998</v>
      </c>
      <c r="C29" s="157" t="s">
        <v>440</v>
      </c>
      <c r="D29" s="104" t="s">
        <v>145</v>
      </c>
      <c r="E29" s="194"/>
      <c r="F29" s="105"/>
      <c r="G29" s="106">
        <f>E29*F29</f>
        <v>0</v>
      </c>
    </row>
    <row r="30" spans="1:7" s="21" customFormat="1" ht="16" thickBot="1">
      <c r="A30" s="22"/>
      <c r="B30" s="123"/>
      <c r="C30" s="23" t="s">
        <v>978</v>
      </c>
      <c r="D30" s="43"/>
      <c r="E30" s="59" t="str">
        <f>IF(SUM(E31)&gt;0,1,"")</f>
        <v/>
      </c>
      <c r="F30" s="60"/>
      <c r="G30" s="61"/>
    </row>
    <row r="31" spans="1:7" s="21" customFormat="1" ht="16" thickBot="1">
      <c r="A31" s="22"/>
      <c r="B31" s="126">
        <v>20151.009999999998</v>
      </c>
      <c r="C31" s="158" t="s">
        <v>487</v>
      </c>
      <c r="D31" s="109" t="s">
        <v>233</v>
      </c>
      <c r="E31" s="246"/>
      <c r="F31" s="110"/>
      <c r="G31" s="111">
        <f>E31*F31</f>
        <v>0</v>
      </c>
    </row>
    <row r="32" spans="1:7" s="21" customFormat="1" ht="16" thickBot="1">
      <c r="A32" s="22"/>
      <c r="B32" s="123"/>
      <c r="C32" s="23" t="s">
        <v>979</v>
      </c>
      <c r="D32" s="43"/>
      <c r="E32" s="59">
        <f>IF(SUM(E33:E51)&gt;0,1,"")</f>
        <v>1</v>
      </c>
      <c r="F32" s="60"/>
      <c r="G32" s="61"/>
    </row>
    <row r="33" spans="1:7" s="21" customFormat="1" ht="15.5">
      <c r="A33" s="22"/>
      <c r="B33" s="127">
        <v>20201.009999999998</v>
      </c>
      <c r="C33" s="159" t="s">
        <v>455</v>
      </c>
      <c r="D33" s="62" t="s">
        <v>145</v>
      </c>
      <c r="E33" s="245">
        <v>1</v>
      </c>
      <c r="F33" s="63"/>
      <c r="G33" s="103">
        <f t="shared" ref="G33:G51" si="1">E33*F33</f>
        <v>0</v>
      </c>
    </row>
    <row r="34" spans="1:7" s="21" customFormat="1" ht="15.5">
      <c r="A34" s="22"/>
      <c r="B34" s="124">
        <v>20202.009999999998</v>
      </c>
      <c r="C34" s="156" t="s">
        <v>5</v>
      </c>
      <c r="D34" s="25" t="s">
        <v>145</v>
      </c>
      <c r="E34" s="234">
        <v>1</v>
      </c>
      <c r="F34" s="67"/>
      <c r="G34" s="81">
        <f t="shared" si="1"/>
        <v>0</v>
      </c>
    </row>
    <row r="35" spans="1:7" s="21" customFormat="1" ht="15.5">
      <c r="A35" s="22"/>
      <c r="B35" s="124">
        <v>20203.009999999998</v>
      </c>
      <c r="C35" s="156" t="s">
        <v>6</v>
      </c>
      <c r="D35" s="25" t="s">
        <v>145</v>
      </c>
      <c r="E35" s="234">
        <v>1</v>
      </c>
      <c r="F35" s="67"/>
      <c r="G35" s="81">
        <f t="shared" si="1"/>
        <v>0</v>
      </c>
    </row>
    <row r="36" spans="1:7" s="21" customFormat="1" ht="15.5">
      <c r="A36" s="22"/>
      <c r="B36" s="124">
        <v>20204.009999999998</v>
      </c>
      <c r="C36" s="156" t="s">
        <v>456</v>
      </c>
      <c r="D36" s="25" t="s">
        <v>145</v>
      </c>
      <c r="E36" s="234">
        <v>1</v>
      </c>
      <c r="F36" s="67"/>
      <c r="G36" s="81">
        <f t="shared" si="1"/>
        <v>0</v>
      </c>
    </row>
    <row r="37" spans="1:7" s="21" customFormat="1" ht="15.5">
      <c r="A37" s="22"/>
      <c r="B37" s="124">
        <v>20205.009999999998</v>
      </c>
      <c r="C37" s="156" t="s">
        <v>457</v>
      </c>
      <c r="D37" s="25" t="s">
        <v>145</v>
      </c>
      <c r="E37" s="234">
        <v>1</v>
      </c>
      <c r="F37" s="67"/>
      <c r="G37" s="81">
        <f t="shared" si="1"/>
        <v>0</v>
      </c>
    </row>
    <row r="38" spans="1:7" s="21" customFormat="1" ht="15.5">
      <c r="A38" s="22"/>
      <c r="B38" s="124">
        <v>20206.009999999998</v>
      </c>
      <c r="C38" s="156" t="s">
        <v>458</v>
      </c>
      <c r="D38" s="25" t="s">
        <v>145</v>
      </c>
      <c r="E38" s="234">
        <v>1</v>
      </c>
      <c r="F38" s="67"/>
      <c r="G38" s="81">
        <f t="shared" si="1"/>
        <v>0</v>
      </c>
    </row>
    <row r="39" spans="1:7" s="21" customFormat="1" ht="15.5">
      <c r="A39" s="22"/>
      <c r="B39" s="124" t="s">
        <v>659</v>
      </c>
      <c r="C39" s="156" t="s">
        <v>459</v>
      </c>
      <c r="D39" s="25" t="s">
        <v>145</v>
      </c>
      <c r="E39" s="234">
        <v>1</v>
      </c>
      <c r="F39" s="67"/>
      <c r="G39" s="81">
        <f t="shared" si="1"/>
        <v>0</v>
      </c>
    </row>
    <row r="40" spans="1:7" s="21" customFormat="1" ht="15.5">
      <c r="A40" s="22"/>
      <c r="B40" s="124">
        <v>20211.009999999998</v>
      </c>
      <c r="C40" s="156" t="s">
        <v>7</v>
      </c>
      <c r="D40" s="25" t="s">
        <v>145</v>
      </c>
      <c r="E40" s="234">
        <v>1</v>
      </c>
      <c r="F40" s="67"/>
      <c r="G40" s="81">
        <f t="shared" si="1"/>
        <v>0</v>
      </c>
    </row>
    <row r="41" spans="1:7" s="21" customFormat="1" ht="15.5">
      <c r="A41" s="22"/>
      <c r="B41" s="124">
        <v>20212.009999999998</v>
      </c>
      <c r="C41" s="156" t="s">
        <v>460</v>
      </c>
      <c r="D41" s="25" t="s">
        <v>145</v>
      </c>
      <c r="E41" s="234">
        <v>1</v>
      </c>
      <c r="F41" s="67"/>
      <c r="G41" s="81">
        <f t="shared" si="1"/>
        <v>0</v>
      </c>
    </row>
    <row r="42" spans="1:7" s="21" customFormat="1" ht="15.5">
      <c r="A42" s="22"/>
      <c r="B42" s="124" t="s">
        <v>660</v>
      </c>
      <c r="C42" s="156" t="s">
        <v>461</v>
      </c>
      <c r="D42" s="25" t="s">
        <v>145</v>
      </c>
      <c r="E42" s="234">
        <v>1</v>
      </c>
      <c r="F42" s="67"/>
      <c r="G42" s="81">
        <f t="shared" si="1"/>
        <v>0</v>
      </c>
    </row>
    <row r="43" spans="1:7" s="21" customFormat="1" ht="15.5">
      <c r="A43" s="22"/>
      <c r="B43" s="124" t="s">
        <v>661</v>
      </c>
      <c r="C43" s="156" t="s">
        <v>462</v>
      </c>
      <c r="D43" s="25" t="s">
        <v>145</v>
      </c>
      <c r="E43" s="234">
        <v>1</v>
      </c>
      <c r="F43" s="67"/>
      <c r="G43" s="81">
        <f t="shared" si="1"/>
        <v>0</v>
      </c>
    </row>
    <row r="44" spans="1:7" s="21" customFormat="1" ht="15.5">
      <c r="A44" s="22"/>
      <c r="B44" s="124">
        <v>20221.009999999998</v>
      </c>
      <c r="C44" s="156" t="s">
        <v>463</v>
      </c>
      <c r="D44" s="25" t="s">
        <v>145</v>
      </c>
      <c r="E44" s="234">
        <v>1</v>
      </c>
      <c r="F44" s="67"/>
      <c r="G44" s="81">
        <f t="shared" si="1"/>
        <v>0</v>
      </c>
    </row>
    <row r="45" spans="1:7" s="21" customFormat="1" ht="46.5">
      <c r="A45" s="22"/>
      <c r="B45" s="124" t="s">
        <v>662</v>
      </c>
      <c r="C45" s="156" t="s">
        <v>2090</v>
      </c>
      <c r="D45" s="25" t="s">
        <v>147</v>
      </c>
      <c r="E45" s="234">
        <v>7</v>
      </c>
      <c r="F45" s="67"/>
      <c r="G45" s="81">
        <f t="shared" si="1"/>
        <v>0</v>
      </c>
    </row>
    <row r="46" spans="1:7" s="21" customFormat="1" ht="15.5">
      <c r="A46" s="22"/>
      <c r="B46" s="124" t="s">
        <v>663</v>
      </c>
      <c r="C46" s="156" t="s">
        <v>488</v>
      </c>
      <c r="D46" s="25" t="s">
        <v>145</v>
      </c>
      <c r="E46" s="234">
        <v>1</v>
      </c>
      <c r="F46" s="67"/>
      <c r="G46" s="81">
        <f t="shared" si="1"/>
        <v>0</v>
      </c>
    </row>
    <row r="47" spans="1:7" s="21" customFormat="1" ht="15.5">
      <c r="A47" s="22"/>
      <c r="B47" s="124" t="s">
        <v>664</v>
      </c>
      <c r="C47" s="156" t="s">
        <v>464</v>
      </c>
      <c r="D47" s="25" t="s">
        <v>145</v>
      </c>
      <c r="E47" s="234">
        <v>1</v>
      </c>
      <c r="F47" s="67"/>
      <c r="G47" s="81">
        <f t="shared" si="1"/>
        <v>0</v>
      </c>
    </row>
    <row r="48" spans="1:7" s="21" customFormat="1" ht="15.5">
      <c r="A48" s="22"/>
      <c r="B48" s="124" t="s">
        <v>665</v>
      </c>
      <c r="C48" s="156" t="s">
        <v>465</v>
      </c>
      <c r="D48" s="25" t="s">
        <v>147</v>
      </c>
      <c r="E48" s="234"/>
      <c r="F48" s="67"/>
      <c r="G48" s="81">
        <f t="shared" si="1"/>
        <v>0</v>
      </c>
    </row>
    <row r="49" spans="1:7" s="21" customFormat="1" ht="15.5">
      <c r="A49" s="22"/>
      <c r="B49" s="124" t="s">
        <v>666</v>
      </c>
      <c r="C49" s="156" t="s">
        <v>466</v>
      </c>
      <c r="D49" s="25" t="s">
        <v>148</v>
      </c>
      <c r="E49" s="234">
        <v>25</v>
      </c>
      <c r="F49" s="67"/>
      <c r="G49" s="81">
        <f t="shared" si="1"/>
        <v>0</v>
      </c>
    </row>
    <row r="50" spans="1:7" s="21" customFormat="1" ht="15.5">
      <c r="A50" s="22"/>
      <c r="B50" s="124" t="s">
        <v>667</v>
      </c>
      <c r="C50" s="156" t="s">
        <v>467</v>
      </c>
      <c r="D50" s="25" t="s">
        <v>145</v>
      </c>
      <c r="E50" s="234">
        <v>1</v>
      </c>
      <c r="F50" s="67"/>
      <c r="G50" s="81">
        <f t="shared" si="1"/>
        <v>0</v>
      </c>
    </row>
    <row r="51" spans="1:7" s="21" customFormat="1" ht="16" thickBot="1">
      <c r="A51" s="22"/>
      <c r="B51" s="125" t="s">
        <v>668</v>
      </c>
      <c r="C51" s="157" t="s">
        <v>468</v>
      </c>
      <c r="D51" s="104" t="s">
        <v>145</v>
      </c>
      <c r="E51" s="194"/>
      <c r="F51" s="105"/>
      <c r="G51" s="106">
        <f t="shared" si="1"/>
        <v>0</v>
      </c>
    </row>
    <row r="52" spans="1:7" s="21" customFormat="1" ht="16" thickBot="1">
      <c r="A52" s="22"/>
      <c r="B52" s="123"/>
      <c r="C52" s="23" t="s">
        <v>980</v>
      </c>
      <c r="D52" s="43"/>
      <c r="E52" s="59">
        <f>IF(SUM(E53:E81)&gt;0,1,"")</f>
        <v>1</v>
      </c>
      <c r="F52" s="60"/>
      <c r="G52" s="61"/>
    </row>
    <row r="53" spans="1:7" s="21" customFormat="1" ht="16" thickBot="1">
      <c r="A53" s="22"/>
      <c r="B53" s="123"/>
      <c r="C53" s="23" t="s">
        <v>1633</v>
      </c>
      <c r="D53" s="43"/>
      <c r="E53" s="59">
        <f>IF(SUM(E54:E56)&gt;0,1,"")</f>
        <v>1</v>
      </c>
      <c r="F53" s="60"/>
      <c r="G53" s="61"/>
    </row>
    <row r="54" spans="1:7" s="21" customFormat="1" ht="15.5">
      <c r="A54" s="22"/>
      <c r="B54" s="127">
        <v>20501.009999999998</v>
      </c>
      <c r="C54" s="159" t="s">
        <v>207</v>
      </c>
      <c r="D54" s="62" t="s">
        <v>145</v>
      </c>
      <c r="E54" s="245">
        <v>1</v>
      </c>
      <c r="F54" s="63"/>
      <c r="G54" s="103">
        <f>E54*F54</f>
        <v>0</v>
      </c>
    </row>
    <row r="55" spans="1:7" s="21" customFormat="1" ht="15.5">
      <c r="A55" s="22"/>
      <c r="B55" s="124">
        <v>20502.009999999998</v>
      </c>
      <c r="C55" s="156" t="s">
        <v>214</v>
      </c>
      <c r="D55" s="25" t="s">
        <v>145</v>
      </c>
      <c r="E55" s="234">
        <v>1</v>
      </c>
      <c r="F55" s="67"/>
      <c r="G55" s="81">
        <f>E55*F55</f>
        <v>0</v>
      </c>
    </row>
    <row r="56" spans="1:7" s="21" customFormat="1" ht="16" thickBot="1">
      <c r="A56" s="22"/>
      <c r="B56" s="125">
        <v>20503.009999999998</v>
      </c>
      <c r="C56" s="157" t="s">
        <v>208</v>
      </c>
      <c r="D56" s="104" t="s">
        <v>145</v>
      </c>
      <c r="E56" s="194">
        <v>1</v>
      </c>
      <c r="F56" s="105"/>
      <c r="G56" s="106">
        <f>E56*F56</f>
        <v>0</v>
      </c>
    </row>
    <row r="57" spans="1:7" s="21" customFormat="1" ht="16" thickBot="1">
      <c r="A57" s="22"/>
      <c r="B57" s="123"/>
      <c r="C57" s="23" t="s">
        <v>1634</v>
      </c>
      <c r="D57" s="43"/>
      <c r="E57" s="59">
        <f>IF(SUM(E58:E61)&gt;0,1,"")</f>
        <v>1</v>
      </c>
      <c r="F57" s="60"/>
      <c r="G57" s="61"/>
    </row>
    <row r="58" spans="1:7" s="21" customFormat="1" ht="15.5">
      <c r="A58" s="22"/>
      <c r="B58" s="127" t="s">
        <v>669</v>
      </c>
      <c r="C58" s="159" t="s">
        <v>1611</v>
      </c>
      <c r="D58" s="62" t="s">
        <v>146</v>
      </c>
      <c r="E58" s="245">
        <v>75</v>
      </c>
      <c r="F58" s="63"/>
      <c r="G58" s="103">
        <f>E58*F58</f>
        <v>0</v>
      </c>
    </row>
    <row r="59" spans="1:7" s="21" customFormat="1" ht="15.5">
      <c r="A59" s="22"/>
      <c r="B59" s="124" t="s">
        <v>670</v>
      </c>
      <c r="C59" s="156" t="s">
        <v>1612</v>
      </c>
      <c r="D59" s="25" t="s">
        <v>146</v>
      </c>
      <c r="E59" s="234">
        <v>25</v>
      </c>
      <c r="F59" s="67"/>
      <c r="G59" s="81">
        <f>E59*F59</f>
        <v>0</v>
      </c>
    </row>
    <row r="60" spans="1:7" s="21" customFormat="1" ht="15.5">
      <c r="A60" s="22"/>
      <c r="B60" s="124" t="s">
        <v>671</v>
      </c>
      <c r="C60" s="156" t="s">
        <v>1613</v>
      </c>
      <c r="D60" s="25" t="s">
        <v>146</v>
      </c>
      <c r="E60" s="234">
        <v>50</v>
      </c>
      <c r="F60" s="67"/>
      <c r="G60" s="81">
        <f>E60*F60</f>
        <v>0</v>
      </c>
    </row>
    <row r="61" spans="1:7" s="21" customFormat="1" ht="16" thickBot="1">
      <c r="A61" s="22"/>
      <c r="B61" s="125" t="s">
        <v>672</v>
      </c>
      <c r="C61" s="157" t="s">
        <v>1614</v>
      </c>
      <c r="D61" s="104" t="s">
        <v>147</v>
      </c>
      <c r="E61" s="194">
        <v>6</v>
      </c>
      <c r="F61" s="105"/>
      <c r="G61" s="106">
        <f>E61*F61</f>
        <v>0</v>
      </c>
    </row>
    <row r="62" spans="1:7" s="21" customFormat="1" ht="16" thickBot="1">
      <c r="A62" s="22"/>
      <c r="B62" s="123"/>
      <c r="C62" s="23" t="s">
        <v>1635</v>
      </c>
      <c r="D62" s="43"/>
      <c r="E62" s="59">
        <f>IF(SUM(E63:E66)&gt;0,1,"")</f>
        <v>1</v>
      </c>
      <c r="F62" s="60"/>
      <c r="G62" s="61"/>
    </row>
    <row r="63" spans="1:7" s="21" customFormat="1" ht="15.5">
      <c r="A63" s="22"/>
      <c r="B63" s="127" t="s">
        <v>673</v>
      </c>
      <c r="C63" s="159" t="s">
        <v>209</v>
      </c>
      <c r="D63" s="62" t="s">
        <v>151</v>
      </c>
      <c r="E63" s="245"/>
      <c r="F63" s="63"/>
      <c r="G63" s="103">
        <f>E63*F63</f>
        <v>0</v>
      </c>
    </row>
    <row r="64" spans="1:7" s="21" customFormat="1" ht="15.5">
      <c r="A64" s="22"/>
      <c r="B64" s="124" t="s">
        <v>674</v>
      </c>
      <c r="C64" s="156" t="s">
        <v>216</v>
      </c>
      <c r="D64" s="25" t="s">
        <v>151</v>
      </c>
      <c r="E64" s="234"/>
      <c r="F64" s="67"/>
      <c r="G64" s="81">
        <f>E64*F64</f>
        <v>0</v>
      </c>
    </row>
    <row r="65" spans="1:7" s="21" customFormat="1" ht="15.5">
      <c r="A65" s="22"/>
      <c r="B65" s="128" t="s">
        <v>675</v>
      </c>
      <c r="C65" s="160" t="s">
        <v>210</v>
      </c>
      <c r="D65" s="69" t="s">
        <v>151</v>
      </c>
      <c r="E65" s="234"/>
      <c r="F65" s="70"/>
      <c r="G65" s="81">
        <f>E65*F65</f>
        <v>0</v>
      </c>
    </row>
    <row r="66" spans="1:7" s="21" customFormat="1" ht="16" thickBot="1">
      <c r="A66" s="22"/>
      <c r="B66" s="125" t="s">
        <v>676</v>
      </c>
      <c r="C66" s="157" t="s">
        <v>2169</v>
      </c>
      <c r="D66" s="104" t="s">
        <v>151</v>
      </c>
      <c r="E66" s="194">
        <v>10</v>
      </c>
      <c r="F66" s="105"/>
      <c r="G66" s="106">
        <f>E66*F66</f>
        <v>0</v>
      </c>
    </row>
    <row r="67" spans="1:7" s="21" customFormat="1" ht="16" thickBot="1">
      <c r="A67" s="22"/>
      <c r="B67" s="123"/>
      <c r="C67" s="23" t="s">
        <v>1636</v>
      </c>
      <c r="D67" s="43"/>
      <c r="E67" s="59">
        <f>IF(SUM(E68:E79)&gt;0,1,"")</f>
        <v>1</v>
      </c>
      <c r="F67" s="60"/>
      <c r="G67" s="61"/>
    </row>
    <row r="68" spans="1:7" s="21" customFormat="1" ht="15.5">
      <c r="A68" s="22"/>
      <c r="B68" s="127" t="s">
        <v>677</v>
      </c>
      <c r="C68" s="159" t="s">
        <v>469</v>
      </c>
      <c r="D68" s="62" t="s">
        <v>147</v>
      </c>
      <c r="E68" s="245"/>
      <c r="F68" s="63"/>
      <c r="G68" s="103">
        <f t="shared" ref="G68:G79" si="2">E68*F68</f>
        <v>0</v>
      </c>
    </row>
    <row r="69" spans="1:7" s="21" customFormat="1" ht="15.5">
      <c r="A69" s="22"/>
      <c r="B69" s="124" t="s">
        <v>678</v>
      </c>
      <c r="C69" s="156" t="s">
        <v>470</v>
      </c>
      <c r="D69" s="25" t="s">
        <v>147</v>
      </c>
      <c r="E69" s="234"/>
      <c r="F69" s="67"/>
      <c r="G69" s="81">
        <f t="shared" si="2"/>
        <v>0</v>
      </c>
    </row>
    <row r="70" spans="1:7" s="21" customFormat="1" ht="15.5">
      <c r="A70" s="22"/>
      <c r="B70" s="124" t="s">
        <v>679</v>
      </c>
      <c r="C70" s="156" t="s">
        <v>471</v>
      </c>
      <c r="D70" s="25" t="s">
        <v>147</v>
      </c>
      <c r="E70" s="234"/>
      <c r="F70" s="67"/>
      <c r="G70" s="81">
        <f t="shared" si="2"/>
        <v>0</v>
      </c>
    </row>
    <row r="71" spans="1:7" s="21" customFormat="1" ht="15.5">
      <c r="A71" s="22"/>
      <c r="B71" s="124" t="s">
        <v>680</v>
      </c>
      <c r="C71" s="156" t="s">
        <v>472</v>
      </c>
      <c r="D71" s="25" t="s">
        <v>147</v>
      </c>
      <c r="E71" s="234"/>
      <c r="F71" s="67"/>
      <c r="G71" s="81">
        <f t="shared" si="2"/>
        <v>0</v>
      </c>
    </row>
    <row r="72" spans="1:7" s="21" customFormat="1" ht="15.5">
      <c r="A72" s="22"/>
      <c r="B72" s="124" t="s">
        <v>681</v>
      </c>
      <c r="C72" s="156" t="s">
        <v>473</v>
      </c>
      <c r="D72" s="25" t="s">
        <v>147</v>
      </c>
      <c r="E72" s="234"/>
      <c r="F72" s="67"/>
      <c r="G72" s="81">
        <f t="shared" si="2"/>
        <v>0</v>
      </c>
    </row>
    <row r="73" spans="1:7" s="21" customFormat="1" ht="15.5">
      <c r="A73" s="22"/>
      <c r="B73" s="124" t="s">
        <v>682</v>
      </c>
      <c r="C73" s="156" t="s">
        <v>474</v>
      </c>
      <c r="D73" s="25" t="s">
        <v>147</v>
      </c>
      <c r="E73" s="234"/>
      <c r="F73" s="67"/>
      <c r="G73" s="81">
        <f t="shared" si="2"/>
        <v>0</v>
      </c>
    </row>
    <row r="74" spans="1:7" s="21" customFormat="1" ht="15.5">
      <c r="A74" s="22"/>
      <c r="B74" s="124" t="s">
        <v>683</v>
      </c>
      <c r="C74" s="156" t="s">
        <v>475</v>
      </c>
      <c r="D74" s="25" t="s">
        <v>147</v>
      </c>
      <c r="E74" s="234"/>
      <c r="F74" s="67"/>
      <c r="G74" s="81">
        <f t="shared" si="2"/>
        <v>0</v>
      </c>
    </row>
    <row r="75" spans="1:7" s="21" customFormat="1" ht="15.5">
      <c r="A75" s="22"/>
      <c r="B75" s="124" t="s">
        <v>684</v>
      </c>
      <c r="C75" s="156" t="s">
        <v>211</v>
      </c>
      <c r="D75" s="25" t="s">
        <v>147</v>
      </c>
      <c r="E75" s="234">
        <v>9</v>
      </c>
      <c r="F75" s="67"/>
      <c r="G75" s="81">
        <f t="shared" si="2"/>
        <v>0</v>
      </c>
    </row>
    <row r="76" spans="1:7" s="21" customFormat="1" ht="15.5">
      <c r="A76" s="22"/>
      <c r="B76" s="124" t="s">
        <v>685</v>
      </c>
      <c r="C76" s="156" t="s">
        <v>212</v>
      </c>
      <c r="D76" s="25" t="s">
        <v>147</v>
      </c>
      <c r="E76" s="234">
        <v>3</v>
      </c>
      <c r="F76" s="67"/>
      <c r="G76" s="81">
        <f t="shared" si="2"/>
        <v>0</v>
      </c>
    </row>
    <row r="77" spans="1:7" s="21" customFormat="1" ht="15.5">
      <c r="A77" s="22"/>
      <c r="B77" s="124" t="s">
        <v>686</v>
      </c>
      <c r="C77" s="156" t="s">
        <v>215</v>
      </c>
      <c r="D77" s="25" t="s">
        <v>146</v>
      </c>
      <c r="E77" s="234">
        <v>200</v>
      </c>
      <c r="F77" s="67"/>
      <c r="G77" s="81">
        <f t="shared" si="2"/>
        <v>0</v>
      </c>
    </row>
    <row r="78" spans="1:7" s="21" customFormat="1" ht="31">
      <c r="A78" s="22"/>
      <c r="B78" s="124" t="s">
        <v>687</v>
      </c>
      <c r="C78" s="156" t="s">
        <v>2049</v>
      </c>
      <c r="D78" s="25" t="s">
        <v>147</v>
      </c>
      <c r="E78" s="234">
        <v>2</v>
      </c>
      <c r="F78" s="67"/>
      <c r="G78" s="81">
        <f t="shared" si="2"/>
        <v>0</v>
      </c>
    </row>
    <row r="79" spans="1:7" s="21" customFormat="1" ht="16" thickBot="1">
      <c r="A79" s="22"/>
      <c r="B79" s="125" t="s">
        <v>688</v>
      </c>
      <c r="C79" s="157" t="s">
        <v>476</v>
      </c>
      <c r="D79" s="104" t="s">
        <v>147</v>
      </c>
      <c r="E79" s="194">
        <v>1</v>
      </c>
      <c r="F79" s="105"/>
      <c r="G79" s="106">
        <f t="shared" si="2"/>
        <v>0</v>
      </c>
    </row>
    <row r="80" spans="1:7" s="21" customFormat="1" ht="16" thickBot="1">
      <c r="A80" s="22"/>
      <c r="B80" s="123"/>
      <c r="C80" s="23" t="s">
        <v>1637</v>
      </c>
      <c r="D80" s="43"/>
      <c r="E80" s="59">
        <f>IF(SUM(E81)&gt;0,1,"")</f>
        <v>1</v>
      </c>
      <c r="F80" s="60"/>
      <c r="G80" s="61"/>
    </row>
    <row r="81" spans="1:7" s="21" customFormat="1" ht="16" thickBot="1">
      <c r="A81" s="22"/>
      <c r="B81" s="126" t="s">
        <v>689</v>
      </c>
      <c r="C81" s="158" t="s">
        <v>213</v>
      </c>
      <c r="D81" s="109" t="s">
        <v>146</v>
      </c>
      <c r="E81" s="246">
        <v>200</v>
      </c>
      <c r="F81" s="110"/>
      <c r="G81" s="111">
        <f>E81*F81</f>
        <v>0</v>
      </c>
    </row>
    <row r="82" spans="1:7" s="21" customFormat="1" ht="16" thickBot="1">
      <c r="A82" s="22"/>
      <c r="B82" s="123"/>
      <c r="C82" s="23" t="s">
        <v>981</v>
      </c>
      <c r="D82" s="43"/>
      <c r="E82" s="59">
        <f>IF(SUM(E83:E84)&gt;0,1,"")</f>
        <v>1</v>
      </c>
      <c r="F82" s="60"/>
      <c r="G82" s="61"/>
    </row>
    <row r="83" spans="1:7" s="21" customFormat="1" ht="15.5">
      <c r="A83" s="22"/>
      <c r="B83" s="127">
        <v>21301.01</v>
      </c>
      <c r="C83" s="159" t="s">
        <v>1725</v>
      </c>
      <c r="D83" s="62" t="s">
        <v>145</v>
      </c>
      <c r="E83" s="245">
        <v>1</v>
      </c>
      <c r="F83" s="63"/>
      <c r="G83" s="103">
        <f>E83*F83</f>
        <v>0</v>
      </c>
    </row>
    <row r="84" spans="1:7" s="21" customFormat="1" ht="31.5" thickBot="1">
      <c r="A84" s="22"/>
      <c r="B84" s="125" t="s">
        <v>1726</v>
      </c>
      <c r="C84" s="157" t="s">
        <v>1872</v>
      </c>
      <c r="D84" s="104" t="s">
        <v>145</v>
      </c>
      <c r="E84" s="194">
        <v>1</v>
      </c>
      <c r="F84" s="105"/>
      <c r="G84" s="106">
        <f>E84*F84</f>
        <v>0</v>
      </c>
    </row>
    <row r="85" spans="1:7" s="21" customFormat="1" ht="16" thickBot="1">
      <c r="A85" s="22"/>
      <c r="B85" s="129"/>
      <c r="C85" s="52" t="s">
        <v>964</v>
      </c>
      <c r="D85" s="71"/>
      <c r="E85" s="59">
        <f>IF(SUM(E86:E132)&gt;0,1,"")</f>
        <v>1</v>
      </c>
      <c r="F85" s="60"/>
      <c r="G85" s="61"/>
    </row>
    <row r="86" spans="1:7" s="21" customFormat="1" ht="15.5">
      <c r="A86" s="22"/>
      <c r="B86" s="131" t="s">
        <v>783</v>
      </c>
      <c r="C86" s="162" t="s">
        <v>1989</v>
      </c>
      <c r="D86" s="75" t="s">
        <v>145</v>
      </c>
      <c r="E86" s="186">
        <v>1</v>
      </c>
      <c r="F86" s="76"/>
      <c r="G86" s="101">
        <f t="shared" ref="G86:G107" si="3">E86*F86</f>
        <v>0</v>
      </c>
    </row>
    <row r="87" spans="1:7" s="21" customFormat="1" ht="15.5">
      <c r="A87" s="22"/>
      <c r="B87" s="131" t="s">
        <v>1986</v>
      </c>
      <c r="C87" s="162" t="s">
        <v>1988</v>
      </c>
      <c r="D87" s="75" t="s">
        <v>145</v>
      </c>
      <c r="E87" s="186">
        <v>1</v>
      </c>
      <c r="F87" s="76"/>
      <c r="G87" s="101">
        <f t="shared" si="3"/>
        <v>0</v>
      </c>
    </row>
    <row r="88" spans="1:7" s="21" customFormat="1" ht="15.5">
      <c r="A88" s="22"/>
      <c r="B88" s="131" t="s">
        <v>1987</v>
      </c>
      <c r="C88" s="162" t="s">
        <v>1990</v>
      </c>
      <c r="D88" s="75" t="s">
        <v>145</v>
      </c>
      <c r="E88" s="186">
        <v>1</v>
      </c>
      <c r="F88" s="76"/>
      <c r="G88" s="101">
        <f t="shared" si="3"/>
        <v>0</v>
      </c>
    </row>
    <row r="89" spans="1:7" s="21" customFormat="1" ht="15.5">
      <c r="A89" s="22"/>
      <c r="B89" s="131" t="s">
        <v>1991</v>
      </c>
      <c r="C89" s="162" t="s">
        <v>1992</v>
      </c>
      <c r="D89" s="75" t="s">
        <v>145</v>
      </c>
      <c r="E89" s="186">
        <v>1</v>
      </c>
      <c r="F89" s="76"/>
      <c r="G89" s="101">
        <f t="shared" si="3"/>
        <v>0</v>
      </c>
    </row>
    <row r="90" spans="1:7" s="21" customFormat="1" ht="31">
      <c r="A90" s="22"/>
      <c r="B90" s="131" t="s">
        <v>784</v>
      </c>
      <c r="C90" s="162" t="s">
        <v>1851</v>
      </c>
      <c r="D90" s="75" t="s">
        <v>145</v>
      </c>
      <c r="E90" s="186">
        <v>1</v>
      </c>
      <c r="F90" s="76"/>
      <c r="G90" s="101">
        <f t="shared" si="3"/>
        <v>0</v>
      </c>
    </row>
    <row r="91" spans="1:7" s="21" customFormat="1" ht="31">
      <c r="A91" s="22"/>
      <c r="B91" s="131" t="s">
        <v>1852</v>
      </c>
      <c r="C91" s="162" t="s">
        <v>1853</v>
      </c>
      <c r="D91" s="75" t="s">
        <v>145</v>
      </c>
      <c r="E91" s="186">
        <v>1</v>
      </c>
      <c r="F91" s="76"/>
      <c r="G91" s="101">
        <f t="shared" si="3"/>
        <v>0</v>
      </c>
    </row>
    <row r="92" spans="1:7" s="21" customFormat="1" ht="31">
      <c r="A92" s="22"/>
      <c r="B92" s="131" t="s">
        <v>1993</v>
      </c>
      <c r="C92" s="162" t="s">
        <v>1994</v>
      </c>
      <c r="D92" s="75" t="s">
        <v>145</v>
      </c>
      <c r="E92" s="186">
        <v>1</v>
      </c>
      <c r="F92" s="76"/>
      <c r="G92" s="101">
        <f t="shared" si="3"/>
        <v>0</v>
      </c>
    </row>
    <row r="93" spans="1:7" s="21" customFormat="1" ht="31">
      <c r="A93" s="22"/>
      <c r="B93" s="131" t="s">
        <v>1996</v>
      </c>
      <c r="C93" s="162" t="s">
        <v>1995</v>
      </c>
      <c r="D93" s="75" t="s">
        <v>145</v>
      </c>
      <c r="E93" s="186">
        <v>1</v>
      </c>
      <c r="F93" s="76"/>
      <c r="G93" s="101">
        <f t="shared" si="3"/>
        <v>0</v>
      </c>
    </row>
    <row r="94" spans="1:7" s="21" customFormat="1" ht="31">
      <c r="A94" s="22"/>
      <c r="B94" s="131" t="s">
        <v>785</v>
      </c>
      <c r="C94" s="162" t="s">
        <v>1854</v>
      </c>
      <c r="D94" s="75" t="s">
        <v>145</v>
      </c>
      <c r="E94" s="186">
        <v>1</v>
      </c>
      <c r="F94" s="76"/>
      <c r="G94" s="101">
        <f t="shared" si="3"/>
        <v>0</v>
      </c>
    </row>
    <row r="95" spans="1:7" s="21" customFormat="1" ht="46.5">
      <c r="A95" s="22"/>
      <c r="B95" s="131" t="s">
        <v>1855</v>
      </c>
      <c r="C95" s="162" t="s">
        <v>1856</v>
      </c>
      <c r="D95" s="75" t="s">
        <v>145</v>
      </c>
      <c r="E95" s="186">
        <v>1</v>
      </c>
      <c r="F95" s="76"/>
      <c r="G95" s="101">
        <f t="shared" si="3"/>
        <v>0</v>
      </c>
    </row>
    <row r="96" spans="1:7" s="21" customFormat="1" ht="31">
      <c r="A96" s="22"/>
      <c r="B96" s="131" t="s">
        <v>1857</v>
      </c>
      <c r="C96" s="162" t="s">
        <v>1858</v>
      </c>
      <c r="D96" s="75" t="s">
        <v>145</v>
      </c>
      <c r="E96" s="186">
        <v>1</v>
      </c>
      <c r="F96" s="76"/>
      <c r="G96" s="101">
        <f t="shared" si="3"/>
        <v>0</v>
      </c>
    </row>
    <row r="97" spans="1:7" s="21" customFormat="1" ht="15.5">
      <c r="A97" s="22"/>
      <c r="B97" s="131" t="s">
        <v>786</v>
      </c>
      <c r="C97" s="162" t="s">
        <v>321</v>
      </c>
      <c r="D97" s="75" t="s">
        <v>146</v>
      </c>
      <c r="E97" s="186"/>
      <c r="F97" s="76"/>
      <c r="G97" s="101">
        <f t="shared" si="3"/>
        <v>0</v>
      </c>
    </row>
    <row r="98" spans="1:7" s="21" customFormat="1" ht="15.5">
      <c r="A98" s="22"/>
      <c r="B98" s="131" t="s">
        <v>787</v>
      </c>
      <c r="C98" s="162" t="s">
        <v>322</v>
      </c>
      <c r="D98" s="75" t="s">
        <v>146</v>
      </c>
      <c r="E98" s="186"/>
      <c r="F98" s="76"/>
      <c r="G98" s="101">
        <f t="shared" si="3"/>
        <v>0</v>
      </c>
    </row>
    <row r="99" spans="1:7" s="21" customFormat="1" ht="31">
      <c r="A99" s="22"/>
      <c r="B99" s="325" t="s">
        <v>2230</v>
      </c>
      <c r="C99" s="326" t="s">
        <v>2229</v>
      </c>
      <c r="D99" s="327" t="s">
        <v>2216</v>
      </c>
      <c r="E99" s="186">
        <v>1</v>
      </c>
      <c r="F99" s="76"/>
      <c r="G99" s="328">
        <v>15000</v>
      </c>
    </row>
    <row r="100" spans="1:7" s="21" customFormat="1" ht="31">
      <c r="A100" s="22"/>
      <c r="B100" s="131" t="s">
        <v>788</v>
      </c>
      <c r="C100" s="162" t="s">
        <v>1859</v>
      </c>
      <c r="D100" s="75" t="s">
        <v>147</v>
      </c>
      <c r="E100" s="186">
        <v>3</v>
      </c>
      <c r="F100" s="76"/>
      <c r="G100" s="101">
        <f t="shared" si="3"/>
        <v>0</v>
      </c>
    </row>
    <row r="101" spans="1:7" s="21" customFormat="1" ht="31">
      <c r="A101" s="22"/>
      <c r="B101" s="131" t="s">
        <v>1860</v>
      </c>
      <c r="C101" s="162" t="s">
        <v>1861</v>
      </c>
      <c r="D101" s="75" t="s">
        <v>318</v>
      </c>
      <c r="E101" s="186">
        <v>6</v>
      </c>
      <c r="F101" s="76"/>
      <c r="G101" s="101">
        <f t="shared" si="3"/>
        <v>0</v>
      </c>
    </row>
    <row r="102" spans="1:7" s="21" customFormat="1" ht="46.5">
      <c r="A102" s="22"/>
      <c r="B102" s="131" t="s">
        <v>789</v>
      </c>
      <c r="C102" s="162" t="s">
        <v>323</v>
      </c>
      <c r="D102" s="75" t="s">
        <v>147</v>
      </c>
      <c r="E102" s="186"/>
      <c r="F102" s="76"/>
      <c r="G102" s="101">
        <f t="shared" si="3"/>
        <v>0</v>
      </c>
    </row>
    <row r="103" spans="1:7" s="21" customFormat="1" ht="31">
      <c r="A103" s="22"/>
      <c r="B103" s="131" t="s">
        <v>790</v>
      </c>
      <c r="C103" s="162" t="s">
        <v>2194</v>
      </c>
      <c r="D103" s="75" t="s">
        <v>146</v>
      </c>
      <c r="E103" s="186">
        <v>10</v>
      </c>
      <c r="F103" s="76"/>
      <c r="G103" s="101">
        <f t="shared" si="3"/>
        <v>0</v>
      </c>
    </row>
    <row r="104" spans="1:7" s="21" customFormat="1" ht="31">
      <c r="A104" s="22"/>
      <c r="B104" s="131" t="s">
        <v>791</v>
      </c>
      <c r="C104" s="162" t="s">
        <v>2195</v>
      </c>
      <c r="D104" s="75" t="s">
        <v>146</v>
      </c>
      <c r="E104" s="186">
        <v>14</v>
      </c>
      <c r="F104" s="76"/>
      <c r="G104" s="101">
        <f t="shared" si="3"/>
        <v>0</v>
      </c>
    </row>
    <row r="105" spans="1:7" s="21" customFormat="1" ht="31">
      <c r="A105" s="22"/>
      <c r="B105" s="131" t="s">
        <v>792</v>
      </c>
      <c r="C105" s="162" t="s">
        <v>324</v>
      </c>
      <c r="D105" s="75" t="s">
        <v>318</v>
      </c>
      <c r="E105" s="186"/>
      <c r="F105" s="76"/>
      <c r="G105" s="101">
        <f t="shared" si="3"/>
        <v>0</v>
      </c>
    </row>
    <row r="106" spans="1:7" s="21" customFormat="1" ht="31">
      <c r="A106" s="22"/>
      <c r="B106" s="131" t="s">
        <v>793</v>
      </c>
      <c r="C106" s="162" t="s">
        <v>306</v>
      </c>
      <c r="D106" s="75" t="s">
        <v>147</v>
      </c>
      <c r="E106" s="186">
        <v>2</v>
      </c>
      <c r="F106" s="76"/>
      <c r="G106" s="101">
        <f t="shared" si="3"/>
        <v>0</v>
      </c>
    </row>
    <row r="107" spans="1:7" s="21" customFormat="1" ht="31">
      <c r="A107" s="22"/>
      <c r="B107" s="131" t="s">
        <v>794</v>
      </c>
      <c r="C107" s="162" t="s">
        <v>2003</v>
      </c>
      <c r="D107" s="75" t="s">
        <v>145</v>
      </c>
      <c r="E107" s="186">
        <v>1</v>
      </c>
      <c r="F107" s="76"/>
      <c r="G107" s="101">
        <f t="shared" si="3"/>
        <v>0</v>
      </c>
    </row>
    <row r="108" spans="1:7" s="21" customFormat="1" ht="31">
      <c r="A108" s="22"/>
      <c r="B108" s="131" t="s">
        <v>2004</v>
      </c>
      <c r="C108" s="162" t="s">
        <v>2005</v>
      </c>
      <c r="D108" s="75" t="s">
        <v>176</v>
      </c>
      <c r="E108" s="265">
        <v>2</v>
      </c>
      <c r="F108" s="76"/>
      <c r="G108" s="101"/>
    </row>
    <row r="109" spans="1:7" s="21" customFormat="1" ht="31">
      <c r="A109" s="22"/>
      <c r="B109" s="131" t="s">
        <v>2006</v>
      </c>
      <c r="C109" s="162" t="s">
        <v>2007</v>
      </c>
      <c r="D109" s="75" t="s">
        <v>146</v>
      </c>
      <c r="E109" s="265">
        <v>42</v>
      </c>
      <c r="F109" s="76"/>
      <c r="G109" s="101"/>
    </row>
    <row r="110" spans="1:7" s="21" customFormat="1" ht="31">
      <c r="A110" s="22"/>
      <c r="B110" s="131" t="s">
        <v>2008</v>
      </c>
      <c r="C110" s="162" t="s">
        <v>2009</v>
      </c>
      <c r="D110" s="75" t="s">
        <v>147</v>
      </c>
      <c r="E110" s="265">
        <v>1</v>
      </c>
      <c r="F110" s="76"/>
      <c r="G110" s="101"/>
    </row>
    <row r="111" spans="1:7" s="21" customFormat="1" ht="31">
      <c r="A111" s="22"/>
      <c r="B111" s="131" t="s">
        <v>2010</v>
      </c>
      <c r="C111" s="162" t="s">
        <v>2011</v>
      </c>
      <c r="D111" s="75" t="s">
        <v>147</v>
      </c>
      <c r="E111" s="265">
        <v>1</v>
      </c>
      <c r="F111" s="76"/>
      <c r="G111" s="101"/>
    </row>
    <row r="112" spans="1:7" s="21" customFormat="1" ht="31">
      <c r="A112" s="22"/>
      <c r="B112" s="131" t="s">
        <v>2012</v>
      </c>
      <c r="C112" s="162" t="s">
        <v>2013</v>
      </c>
      <c r="D112" s="75" t="s">
        <v>147</v>
      </c>
      <c r="E112" s="265">
        <v>1</v>
      </c>
      <c r="F112" s="76"/>
      <c r="G112" s="101"/>
    </row>
    <row r="113" spans="1:7" s="21" customFormat="1" ht="31">
      <c r="A113" s="22"/>
      <c r="B113" s="131" t="s">
        <v>2014</v>
      </c>
      <c r="C113" s="162" t="s">
        <v>2015</v>
      </c>
      <c r="D113" s="75" t="s">
        <v>147</v>
      </c>
      <c r="E113" s="265">
        <v>1</v>
      </c>
      <c r="F113" s="76"/>
      <c r="G113" s="101"/>
    </row>
    <row r="114" spans="1:7" s="21" customFormat="1" ht="31">
      <c r="A114" s="22"/>
      <c r="B114" s="131" t="s">
        <v>2016</v>
      </c>
      <c r="C114" s="162" t="s">
        <v>2017</v>
      </c>
      <c r="D114" s="75" t="s">
        <v>147</v>
      </c>
      <c r="E114" s="265">
        <v>2</v>
      </c>
      <c r="F114" s="76"/>
      <c r="G114" s="101"/>
    </row>
    <row r="115" spans="1:7" s="21" customFormat="1" ht="31">
      <c r="A115" s="22"/>
      <c r="B115" s="131" t="s">
        <v>2018</v>
      </c>
      <c r="C115" s="162" t="s">
        <v>2019</v>
      </c>
      <c r="D115" s="75" t="s">
        <v>147</v>
      </c>
      <c r="E115" s="265">
        <v>2</v>
      </c>
      <c r="F115" s="76"/>
      <c r="G115" s="101"/>
    </row>
    <row r="116" spans="1:7" s="21" customFormat="1" ht="31">
      <c r="A116" s="22"/>
      <c r="B116" s="131" t="s">
        <v>2020</v>
      </c>
      <c r="C116" s="162" t="s">
        <v>2021</v>
      </c>
      <c r="D116" s="75" t="s">
        <v>147</v>
      </c>
      <c r="E116" s="265">
        <v>1</v>
      </c>
      <c r="F116" s="76"/>
      <c r="G116" s="101"/>
    </row>
    <row r="117" spans="1:7" s="21" customFormat="1" ht="31">
      <c r="A117" s="22"/>
      <c r="B117" s="131" t="s">
        <v>2022</v>
      </c>
      <c r="C117" s="162" t="s">
        <v>2023</v>
      </c>
      <c r="D117" s="75" t="s">
        <v>147</v>
      </c>
      <c r="E117" s="265">
        <v>1</v>
      </c>
      <c r="F117" s="76"/>
      <c r="G117" s="101"/>
    </row>
    <row r="118" spans="1:7" s="21" customFormat="1" ht="31">
      <c r="A118" s="22"/>
      <c r="B118" s="131" t="s">
        <v>2024</v>
      </c>
      <c r="C118" s="162" t="s">
        <v>2025</v>
      </c>
      <c r="D118" s="75" t="s">
        <v>147</v>
      </c>
      <c r="E118" s="265">
        <v>2</v>
      </c>
      <c r="F118" s="76"/>
      <c r="G118" s="101"/>
    </row>
    <row r="119" spans="1:7" s="21" customFormat="1" ht="46.5">
      <c r="A119" s="22"/>
      <c r="B119" s="131" t="s">
        <v>2026</v>
      </c>
      <c r="C119" s="162" t="s">
        <v>2027</v>
      </c>
      <c r="D119" s="75" t="s">
        <v>147</v>
      </c>
      <c r="E119" s="265">
        <v>2</v>
      </c>
      <c r="F119" s="76"/>
      <c r="G119" s="101"/>
    </row>
    <row r="120" spans="1:7" s="21" customFormat="1" ht="46.5">
      <c r="A120" s="22"/>
      <c r="B120" s="131" t="s">
        <v>2028</v>
      </c>
      <c r="C120" s="162" t="s">
        <v>2029</v>
      </c>
      <c r="D120" s="75" t="s">
        <v>147</v>
      </c>
      <c r="E120" s="265">
        <v>3</v>
      </c>
      <c r="F120" s="76"/>
      <c r="G120" s="101"/>
    </row>
    <row r="121" spans="1:7" s="21" customFormat="1" ht="46.5">
      <c r="A121" s="22"/>
      <c r="B121" s="131" t="s">
        <v>2030</v>
      </c>
      <c r="C121" s="162" t="s">
        <v>2031</v>
      </c>
      <c r="D121" s="75" t="s">
        <v>147</v>
      </c>
      <c r="E121" s="265">
        <v>3</v>
      </c>
      <c r="F121" s="76"/>
      <c r="G121" s="101"/>
    </row>
    <row r="122" spans="1:7" s="21" customFormat="1" ht="31">
      <c r="A122" s="22"/>
      <c r="B122" s="131" t="s">
        <v>2032</v>
      </c>
      <c r="C122" s="162" t="s">
        <v>2033</v>
      </c>
      <c r="D122" s="75" t="s">
        <v>147</v>
      </c>
      <c r="E122" s="265">
        <v>4</v>
      </c>
      <c r="F122" s="76"/>
      <c r="G122" s="101"/>
    </row>
    <row r="123" spans="1:7" s="21" customFormat="1" ht="31">
      <c r="A123" s="22"/>
      <c r="B123" s="131" t="s">
        <v>2034</v>
      </c>
      <c r="C123" s="162" t="s">
        <v>2035</v>
      </c>
      <c r="D123" s="75" t="s">
        <v>146</v>
      </c>
      <c r="E123" s="265">
        <v>70</v>
      </c>
      <c r="F123" s="76"/>
      <c r="G123" s="101"/>
    </row>
    <row r="124" spans="1:7" s="21" customFormat="1" ht="31">
      <c r="A124" s="22"/>
      <c r="B124" s="131" t="s">
        <v>937</v>
      </c>
      <c r="C124" s="162" t="s">
        <v>938</v>
      </c>
      <c r="D124" s="75" t="s">
        <v>145</v>
      </c>
      <c r="E124" s="186"/>
      <c r="F124" s="76"/>
      <c r="G124" s="101">
        <f t="shared" ref="G124:G132" si="4">E124*F124</f>
        <v>0</v>
      </c>
    </row>
    <row r="125" spans="1:7" s="21" customFormat="1" ht="31">
      <c r="A125" s="22"/>
      <c r="B125" s="131" t="s">
        <v>939</v>
      </c>
      <c r="C125" s="162" t="s">
        <v>940</v>
      </c>
      <c r="D125" s="75" t="s">
        <v>145</v>
      </c>
      <c r="E125" s="186"/>
      <c r="F125" s="76"/>
      <c r="G125" s="101">
        <f t="shared" si="4"/>
        <v>0</v>
      </c>
    </row>
    <row r="126" spans="1:7" s="21" customFormat="1" ht="31">
      <c r="A126" s="22"/>
      <c r="B126" s="131" t="s">
        <v>941</v>
      </c>
      <c r="C126" s="162" t="s">
        <v>942</v>
      </c>
      <c r="D126" s="75" t="s">
        <v>145</v>
      </c>
      <c r="E126" s="186"/>
      <c r="F126" s="76"/>
      <c r="G126" s="101">
        <f t="shared" si="4"/>
        <v>0</v>
      </c>
    </row>
    <row r="127" spans="1:7" s="21" customFormat="1" ht="31">
      <c r="A127" s="22"/>
      <c r="B127" s="131" t="s">
        <v>943</v>
      </c>
      <c r="C127" s="162" t="s">
        <v>944</v>
      </c>
      <c r="D127" s="75" t="s">
        <v>145</v>
      </c>
      <c r="E127" s="186"/>
      <c r="F127" s="76"/>
      <c r="G127" s="101">
        <f t="shared" si="4"/>
        <v>0</v>
      </c>
    </row>
    <row r="128" spans="1:7" s="21" customFormat="1" ht="31">
      <c r="A128" s="22"/>
      <c r="B128" s="131" t="s">
        <v>945</v>
      </c>
      <c r="C128" s="162" t="s">
        <v>946</v>
      </c>
      <c r="D128" s="75" t="s">
        <v>145</v>
      </c>
      <c r="E128" s="186"/>
      <c r="F128" s="76"/>
      <c r="G128" s="101">
        <f t="shared" si="4"/>
        <v>0</v>
      </c>
    </row>
    <row r="129" spans="1:7" s="21" customFormat="1" ht="31">
      <c r="A129" s="22"/>
      <c r="B129" s="131" t="s">
        <v>947</v>
      </c>
      <c r="C129" s="162" t="s">
        <v>948</v>
      </c>
      <c r="D129" s="75" t="s">
        <v>145</v>
      </c>
      <c r="E129" s="186"/>
      <c r="F129" s="76"/>
      <c r="G129" s="101">
        <f t="shared" si="4"/>
        <v>0</v>
      </c>
    </row>
    <row r="130" spans="1:7" s="21" customFormat="1" ht="31">
      <c r="A130" s="22"/>
      <c r="B130" s="131" t="s">
        <v>795</v>
      </c>
      <c r="C130" s="162" t="s">
        <v>325</v>
      </c>
      <c r="D130" s="75" t="s">
        <v>145</v>
      </c>
      <c r="E130" s="186"/>
      <c r="F130" s="76"/>
      <c r="G130" s="101">
        <f t="shared" si="4"/>
        <v>0</v>
      </c>
    </row>
    <row r="131" spans="1:7" s="21" customFormat="1" ht="31">
      <c r="A131" s="22"/>
      <c r="B131" s="131" t="s">
        <v>796</v>
      </c>
      <c r="C131" s="162" t="s">
        <v>326</v>
      </c>
      <c r="D131" s="75" t="s">
        <v>145</v>
      </c>
      <c r="E131" s="186"/>
      <c r="F131" s="76"/>
      <c r="G131" s="101">
        <f t="shared" si="4"/>
        <v>0</v>
      </c>
    </row>
    <row r="132" spans="1:7" s="21" customFormat="1" ht="31.5" thickBot="1">
      <c r="A132" s="22"/>
      <c r="B132" s="132" t="s">
        <v>797</v>
      </c>
      <c r="C132" s="163" t="s">
        <v>327</v>
      </c>
      <c r="D132" s="77" t="s">
        <v>145</v>
      </c>
      <c r="E132" s="210"/>
      <c r="F132" s="78"/>
      <c r="G132" s="102">
        <f t="shared" si="4"/>
        <v>0</v>
      </c>
    </row>
    <row r="133" spans="1:7" s="21" customFormat="1" ht="31.5" thickBot="1">
      <c r="A133" s="22"/>
      <c r="B133" s="123"/>
      <c r="C133" s="23" t="s">
        <v>982</v>
      </c>
      <c r="D133" s="43"/>
      <c r="E133" s="59">
        <f>IF(SUM(E134:E349)&gt;0,1,"")</f>
        <v>1</v>
      </c>
      <c r="F133" s="60"/>
      <c r="G133" s="61"/>
    </row>
    <row r="134" spans="1:7" s="21" customFormat="1" ht="16" thickBot="1">
      <c r="A134" s="22"/>
      <c r="B134" s="123"/>
      <c r="C134" s="23" t="s">
        <v>1638</v>
      </c>
      <c r="D134" s="43"/>
      <c r="E134" s="59">
        <f>IF(SUM(E135:E144)&gt;0,1,"")</f>
        <v>1</v>
      </c>
      <c r="F134" s="60"/>
      <c r="G134" s="61"/>
    </row>
    <row r="135" spans="1:7" s="21" customFormat="1" ht="15.5">
      <c r="A135" s="22"/>
      <c r="B135" s="127">
        <v>30001.01</v>
      </c>
      <c r="C135" s="159" t="s">
        <v>2057</v>
      </c>
      <c r="D135" s="62" t="s">
        <v>145</v>
      </c>
      <c r="E135" s="234">
        <v>1</v>
      </c>
      <c r="F135" s="63"/>
      <c r="G135" s="103">
        <f t="shared" ref="G135:G144" si="5">E135*F135</f>
        <v>0</v>
      </c>
    </row>
    <row r="136" spans="1:7" s="21" customFormat="1" ht="31">
      <c r="A136" s="22"/>
      <c r="B136" s="124" t="s">
        <v>2170</v>
      </c>
      <c r="C136" s="156" t="s">
        <v>2171</v>
      </c>
      <c r="D136" s="25" t="s">
        <v>145</v>
      </c>
      <c r="E136" s="234">
        <v>1</v>
      </c>
      <c r="F136" s="67"/>
      <c r="G136" s="81">
        <f t="shared" si="5"/>
        <v>0</v>
      </c>
    </row>
    <row r="137" spans="1:7" s="21" customFormat="1" ht="31">
      <c r="A137" s="22"/>
      <c r="B137" s="124">
        <v>30003.01</v>
      </c>
      <c r="C137" s="156" t="s">
        <v>2058</v>
      </c>
      <c r="D137" s="25" t="s">
        <v>145</v>
      </c>
      <c r="E137" s="234">
        <v>1</v>
      </c>
      <c r="F137" s="67"/>
      <c r="G137" s="81">
        <f t="shared" si="5"/>
        <v>0</v>
      </c>
    </row>
    <row r="138" spans="1:7" s="21" customFormat="1" ht="41.25" customHeight="1">
      <c r="A138" s="22"/>
      <c r="B138" s="124" t="s">
        <v>2136</v>
      </c>
      <c r="C138" s="156" t="s">
        <v>2137</v>
      </c>
      <c r="D138" s="25" t="s">
        <v>145</v>
      </c>
      <c r="E138" s="234">
        <v>1</v>
      </c>
      <c r="F138" s="67"/>
      <c r="G138" s="81">
        <f t="shared" si="5"/>
        <v>0</v>
      </c>
    </row>
    <row r="139" spans="1:7" s="21" customFormat="1" ht="15.5">
      <c r="A139" s="22"/>
      <c r="B139" s="124">
        <v>30004.01</v>
      </c>
      <c r="C139" s="156" t="s">
        <v>8</v>
      </c>
      <c r="D139" s="25" t="s">
        <v>146</v>
      </c>
      <c r="E139" s="234"/>
      <c r="F139" s="67"/>
      <c r="G139" s="81">
        <f t="shared" si="5"/>
        <v>0</v>
      </c>
    </row>
    <row r="140" spans="1:7" s="21" customFormat="1" ht="15.5">
      <c r="A140" s="22"/>
      <c r="B140" s="124">
        <v>30005.01</v>
      </c>
      <c r="C140" s="156" t="s">
        <v>9</v>
      </c>
      <c r="D140" s="25" t="s">
        <v>146</v>
      </c>
      <c r="E140" s="234"/>
      <c r="F140" s="67"/>
      <c r="G140" s="81">
        <f t="shared" si="5"/>
        <v>0</v>
      </c>
    </row>
    <row r="141" spans="1:7" s="21" customFormat="1" ht="31">
      <c r="A141" s="22"/>
      <c r="B141" s="124">
        <v>30006.01</v>
      </c>
      <c r="C141" s="156" t="s">
        <v>10</v>
      </c>
      <c r="D141" s="25" t="s">
        <v>146</v>
      </c>
      <c r="E141" s="234">
        <v>110</v>
      </c>
      <c r="F141" s="67"/>
      <c r="G141" s="81">
        <f t="shared" si="5"/>
        <v>0</v>
      </c>
    </row>
    <row r="142" spans="1:7" s="21" customFormat="1" ht="15.5">
      <c r="A142" s="22"/>
      <c r="B142" s="124">
        <v>30007.01</v>
      </c>
      <c r="C142" s="156" t="s">
        <v>11</v>
      </c>
      <c r="D142" s="25" t="s">
        <v>151</v>
      </c>
      <c r="E142" s="234">
        <v>190</v>
      </c>
      <c r="F142" s="67"/>
      <c r="G142" s="81">
        <f t="shared" si="5"/>
        <v>0</v>
      </c>
    </row>
    <row r="143" spans="1:7" s="21" customFormat="1" ht="15.5">
      <c r="A143" s="22"/>
      <c r="B143" s="124">
        <v>30008.01</v>
      </c>
      <c r="C143" s="156" t="s">
        <v>12</v>
      </c>
      <c r="D143" s="25" t="s">
        <v>147</v>
      </c>
      <c r="E143" s="234">
        <v>2</v>
      </c>
      <c r="F143" s="67"/>
      <c r="G143" s="81">
        <f t="shared" si="5"/>
        <v>0</v>
      </c>
    </row>
    <row r="144" spans="1:7" s="21" customFormat="1" ht="16" thickBot="1">
      <c r="A144" s="22"/>
      <c r="B144" s="125">
        <v>30009.01</v>
      </c>
      <c r="C144" s="157" t="s">
        <v>217</v>
      </c>
      <c r="D144" s="104" t="s">
        <v>147</v>
      </c>
      <c r="E144" s="194"/>
      <c r="F144" s="105"/>
      <c r="G144" s="106">
        <f t="shared" si="5"/>
        <v>0</v>
      </c>
    </row>
    <row r="145" spans="1:7" s="21" customFormat="1" ht="31.5" thickBot="1">
      <c r="A145" s="22"/>
      <c r="B145" s="129"/>
      <c r="C145" s="52" t="s">
        <v>1639</v>
      </c>
      <c r="D145" s="52"/>
      <c r="E145" s="59">
        <f>IF(SUM(E146:E150)&gt;0,1,"")</f>
        <v>1</v>
      </c>
      <c r="F145" s="60"/>
      <c r="G145" s="61"/>
    </row>
    <row r="146" spans="1:7" s="21" customFormat="1" ht="46.5">
      <c r="A146" s="22"/>
      <c r="B146" s="130" t="s">
        <v>798</v>
      </c>
      <c r="C146" s="161" t="s">
        <v>328</v>
      </c>
      <c r="D146" s="99" t="s">
        <v>147</v>
      </c>
      <c r="E146" s="209"/>
      <c r="F146" s="100"/>
      <c r="G146" s="85">
        <f>E146*F146</f>
        <v>0</v>
      </c>
    </row>
    <row r="147" spans="1:7" s="21" customFormat="1" ht="31">
      <c r="A147" s="22"/>
      <c r="B147" s="131" t="s">
        <v>799</v>
      </c>
      <c r="C147" s="162" t="s">
        <v>329</v>
      </c>
      <c r="D147" s="75" t="s">
        <v>147</v>
      </c>
      <c r="E147" s="186"/>
      <c r="F147" s="76"/>
      <c r="G147" s="101">
        <f>E147*F147</f>
        <v>0</v>
      </c>
    </row>
    <row r="148" spans="1:7" s="21" customFormat="1" ht="31">
      <c r="A148" s="22"/>
      <c r="B148" s="131" t="s">
        <v>800</v>
      </c>
      <c r="C148" s="162" t="s">
        <v>1833</v>
      </c>
      <c r="D148" s="75" t="s">
        <v>147</v>
      </c>
      <c r="E148" s="186">
        <v>1</v>
      </c>
      <c r="F148" s="76"/>
      <c r="G148" s="101">
        <f>E148*F148</f>
        <v>0</v>
      </c>
    </row>
    <row r="149" spans="1:7" s="21" customFormat="1" ht="46.5">
      <c r="A149" s="22"/>
      <c r="B149" s="131" t="s">
        <v>801</v>
      </c>
      <c r="C149" s="162" t="s">
        <v>330</v>
      </c>
      <c r="D149" s="75" t="s">
        <v>147</v>
      </c>
      <c r="E149" s="186"/>
      <c r="F149" s="76"/>
      <c r="G149" s="101">
        <f>E149*F149</f>
        <v>0</v>
      </c>
    </row>
    <row r="150" spans="1:7" s="21" customFormat="1" ht="31.5" thickBot="1">
      <c r="A150" s="22"/>
      <c r="B150" s="132" t="s">
        <v>802</v>
      </c>
      <c r="C150" s="163" t="s">
        <v>331</v>
      </c>
      <c r="D150" s="77" t="s">
        <v>147</v>
      </c>
      <c r="E150" s="210"/>
      <c r="F150" s="78"/>
      <c r="G150" s="102">
        <f>E150*F150</f>
        <v>0</v>
      </c>
    </row>
    <row r="151" spans="1:7" s="21" customFormat="1" ht="16" thickBot="1">
      <c r="A151" s="22"/>
      <c r="B151" s="123"/>
      <c r="C151" s="23" t="s">
        <v>1640</v>
      </c>
      <c r="D151" s="43"/>
      <c r="E151" s="59" t="str">
        <f>IF(SUM(E152:E164)&gt;0,1,"")</f>
        <v/>
      </c>
      <c r="F151" s="60"/>
      <c r="G151" s="61"/>
    </row>
    <row r="152" spans="1:7" s="21" customFormat="1" ht="31">
      <c r="A152" s="22"/>
      <c r="B152" s="127">
        <v>30051.01</v>
      </c>
      <c r="C152" s="159" t="s">
        <v>1124</v>
      </c>
      <c r="D152" s="62" t="s">
        <v>146</v>
      </c>
      <c r="E152" s="245"/>
      <c r="F152" s="63"/>
      <c r="G152" s="103">
        <f t="shared" ref="G152:G164" si="6">E152*F152</f>
        <v>0</v>
      </c>
    </row>
    <row r="153" spans="1:7" s="21" customFormat="1" ht="31">
      <c r="A153" s="22"/>
      <c r="B153" s="124">
        <v>30052.01</v>
      </c>
      <c r="C153" s="156" t="s">
        <v>1125</v>
      </c>
      <c r="D153" s="25" t="s">
        <v>146</v>
      </c>
      <c r="E153" s="234"/>
      <c r="F153" s="67"/>
      <c r="G153" s="81">
        <f t="shared" si="6"/>
        <v>0</v>
      </c>
    </row>
    <row r="154" spans="1:7" s="21" customFormat="1" ht="15.5">
      <c r="A154" s="22"/>
      <c r="B154" s="124">
        <v>30053.01</v>
      </c>
      <c r="C154" s="156" t="s">
        <v>1126</v>
      </c>
      <c r="D154" s="25" t="s">
        <v>146</v>
      </c>
      <c r="E154" s="234"/>
      <c r="F154" s="67"/>
      <c r="G154" s="81">
        <f t="shared" si="6"/>
        <v>0</v>
      </c>
    </row>
    <row r="155" spans="1:7" s="21" customFormat="1" ht="15.5">
      <c r="A155" s="22"/>
      <c r="B155" s="124">
        <v>30054.01</v>
      </c>
      <c r="C155" s="156" t="s">
        <v>1127</v>
      </c>
      <c r="D155" s="25" t="s">
        <v>146</v>
      </c>
      <c r="E155" s="234"/>
      <c r="F155" s="67"/>
      <c r="G155" s="81">
        <f t="shared" si="6"/>
        <v>0</v>
      </c>
    </row>
    <row r="156" spans="1:7" s="21" customFormat="1" ht="31">
      <c r="A156" s="22"/>
      <c r="B156" s="124">
        <v>30055.01</v>
      </c>
      <c r="C156" s="156" t="s">
        <v>1128</v>
      </c>
      <c r="D156" s="25" t="s">
        <v>146</v>
      </c>
      <c r="E156" s="234"/>
      <c r="F156" s="67"/>
      <c r="G156" s="81">
        <f t="shared" si="6"/>
        <v>0</v>
      </c>
    </row>
    <row r="157" spans="1:7" s="21" customFormat="1" ht="31">
      <c r="A157" s="22"/>
      <c r="B157" s="124">
        <v>30056.01</v>
      </c>
      <c r="C157" s="156" t="s">
        <v>1129</v>
      </c>
      <c r="D157" s="25" t="s">
        <v>146</v>
      </c>
      <c r="E157" s="234"/>
      <c r="F157" s="67"/>
      <c r="G157" s="81">
        <f t="shared" si="6"/>
        <v>0</v>
      </c>
    </row>
    <row r="158" spans="1:7" s="21" customFormat="1" ht="15.5">
      <c r="A158" s="22"/>
      <c r="B158" s="124">
        <v>30057.01</v>
      </c>
      <c r="C158" s="156" t="s">
        <v>1130</v>
      </c>
      <c r="D158" s="25" t="s">
        <v>146</v>
      </c>
      <c r="E158" s="234"/>
      <c r="F158" s="67"/>
      <c r="G158" s="81">
        <f t="shared" si="6"/>
        <v>0</v>
      </c>
    </row>
    <row r="159" spans="1:7" s="21" customFormat="1" ht="15.5">
      <c r="A159" s="22"/>
      <c r="B159" s="124">
        <v>30058.01</v>
      </c>
      <c r="C159" s="156" t="s">
        <v>1131</v>
      </c>
      <c r="D159" s="25" t="s">
        <v>146</v>
      </c>
      <c r="E159" s="234"/>
      <c r="F159" s="67"/>
      <c r="G159" s="81">
        <f t="shared" si="6"/>
        <v>0</v>
      </c>
    </row>
    <row r="160" spans="1:7" s="21" customFormat="1" ht="31">
      <c r="A160" s="22"/>
      <c r="B160" s="124">
        <v>30059.01</v>
      </c>
      <c r="C160" s="156" t="s">
        <v>1132</v>
      </c>
      <c r="D160" s="25" t="s">
        <v>146</v>
      </c>
      <c r="E160" s="234"/>
      <c r="F160" s="67"/>
      <c r="G160" s="81">
        <f t="shared" si="6"/>
        <v>0</v>
      </c>
    </row>
    <row r="161" spans="1:7" s="21" customFormat="1" ht="15.5">
      <c r="A161" s="22"/>
      <c r="B161" s="124">
        <v>30060.01</v>
      </c>
      <c r="C161" s="156" t="s">
        <v>1133</v>
      </c>
      <c r="D161" s="25" t="s">
        <v>146</v>
      </c>
      <c r="E161" s="234"/>
      <c r="F161" s="67"/>
      <c r="G161" s="81">
        <f t="shared" si="6"/>
        <v>0</v>
      </c>
    </row>
    <row r="162" spans="1:7" s="21" customFormat="1" ht="15.5">
      <c r="A162" s="22"/>
      <c r="B162" s="124">
        <v>30061.01</v>
      </c>
      <c r="C162" s="156" t="s">
        <v>1134</v>
      </c>
      <c r="D162" s="25" t="s">
        <v>146</v>
      </c>
      <c r="E162" s="234"/>
      <c r="F162" s="67"/>
      <c r="G162" s="81">
        <f t="shared" si="6"/>
        <v>0</v>
      </c>
    </row>
    <row r="163" spans="1:7" s="21" customFormat="1" ht="15.5">
      <c r="A163" s="22"/>
      <c r="B163" s="124">
        <v>30062.01</v>
      </c>
      <c r="C163" s="156" t="s">
        <v>1135</v>
      </c>
      <c r="D163" s="25" t="s">
        <v>146</v>
      </c>
      <c r="E163" s="234"/>
      <c r="F163" s="67"/>
      <c r="G163" s="81">
        <f t="shared" si="6"/>
        <v>0</v>
      </c>
    </row>
    <row r="164" spans="1:7" s="21" customFormat="1" ht="31.5" thickBot="1">
      <c r="A164" s="22"/>
      <c r="B164" s="125">
        <v>30063.01</v>
      </c>
      <c r="C164" s="157" t="s">
        <v>1136</v>
      </c>
      <c r="D164" s="104" t="s">
        <v>146</v>
      </c>
      <c r="E164" s="194"/>
      <c r="F164" s="105"/>
      <c r="G164" s="106">
        <f t="shared" si="6"/>
        <v>0</v>
      </c>
    </row>
    <row r="165" spans="1:7" s="21" customFormat="1" ht="16" thickBot="1">
      <c r="A165" s="22"/>
      <c r="B165" s="123"/>
      <c r="C165" s="23" t="s">
        <v>1641</v>
      </c>
      <c r="D165" s="43"/>
      <c r="E165" s="59" t="str">
        <f>IF(SUM(E167:E181)&gt;0,1,"")</f>
        <v/>
      </c>
      <c r="F165" s="60"/>
      <c r="G165" s="61"/>
    </row>
    <row r="166" spans="1:7" s="21" customFormat="1" ht="15.5">
      <c r="A166" s="22"/>
      <c r="B166" s="127">
        <v>30151.01</v>
      </c>
      <c r="C166" s="159" t="s">
        <v>1834</v>
      </c>
      <c r="D166" s="62" t="s">
        <v>146</v>
      </c>
      <c r="E166" s="245"/>
      <c r="F166" s="63"/>
      <c r="G166" s="103">
        <f t="shared" ref="G166:G181" si="7">E166*F166</f>
        <v>0</v>
      </c>
    </row>
    <row r="167" spans="1:7" s="21" customFormat="1" ht="15.5">
      <c r="A167" s="22"/>
      <c r="B167" s="124">
        <v>30151.01</v>
      </c>
      <c r="C167" s="156" t="s">
        <v>1737</v>
      </c>
      <c r="D167" s="25" t="s">
        <v>146</v>
      </c>
      <c r="E167" s="234"/>
      <c r="F167" s="67"/>
      <c r="G167" s="81">
        <f t="shared" si="7"/>
        <v>0</v>
      </c>
    </row>
    <row r="168" spans="1:7" s="21" customFormat="1" ht="31">
      <c r="A168" s="22"/>
      <c r="B168" s="124">
        <v>30152.01</v>
      </c>
      <c r="C168" s="156" t="s">
        <v>1835</v>
      </c>
      <c r="D168" s="25" t="s">
        <v>146</v>
      </c>
      <c r="E168" s="234"/>
      <c r="F168" s="67"/>
      <c r="G168" s="81">
        <f t="shared" si="7"/>
        <v>0</v>
      </c>
    </row>
    <row r="169" spans="1:7" s="21" customFormat="1" ht="31">
      <c r="A169" s="22"/>
      <c r="B169" s="124">
        <v>30152.01</v>
      </c>
      <c r="C169" s="156" t="s">
        <v>1836</v>
      </c>
      <c r="D169" s="25" t="s">
        <v>146</v>
      </c>
      <c r="E169" s="234"/>
      <c r="F169" s="67"/>
      <c r="G169" s="81">
        <f t="shared" si="7"/>
        <v>0</v>
      </c>
    </row>
    <row r="170" spans="1:7" s="21" customFormat="1" ht="15.5">
      <c r="A170" s="22"/>
      <c r="B170" s="124">
        <v>30153.01</v>
      </c>
      <c r="C170" s="156" t="s">
        <v>1137</v>
      </c>
      <c r="D170" s="25" t="s">
        <v>146</v>
      </c>
      <c r="E170" s="234"/>
      <c r="F170" s="67"/>
      <c r="G170" s="81">
        <f t="shared" si="7"/>
        <v>0</v>
      </c>
    </row>
    <row r="171" spans="1:7" s="21" customFormat="1" ht="15.5">
      <c r="A171" s="22"/>
      <c r="B171" s="124">
        <v>30154.01</v>
      </c>
      <c r="C171" s="156" t="s">
        <v>1138</v>
      </c>
      <c r="D171" s="25" t="s">
        <v>146</v>
      </c>
      <c r="E171" s="234"/>
      <c r="F171" s="67"/>
      <c r="G171" s="81">
        <f t="shared" si="7"/>
        <v>0</v>
      </c>
    </row>
    <row r="172" spans="1:7" s="21" customFormat="1" ht="31">
      <c r="A172" s="22"/>
      <c r="B172" s="124">
        <v>30155.01</v>
      </c>
      <c r="C172" s="156" t="s">
        <v>1139</v>
      </c>
      <c r="D172" s="25" t="s">
        <v>146</v>
      </c>
      <c r="E172" s="234"/>
      <c r="F172" s="67"/>
      <c r="G172" s="81">
        <f t="shared" si="7"/>
        <v>0</v>
      </c>
    </row>
    <row r="173" spans="1:7" s="21" customFormat="1" ht="31">
      <c r="A173" s="22"/>
      <c r="B173" s="124">
        <v>30156.01</v>
      </c>
      <c r="C173" s="156" t="s">
        <v>1140</v>
      </c>
      <c r="D173" s="25" t="s">
        <v>146</v>
      </c>
      <c r="E173" s="234"/>
      <c r="F173" s="67"/>
      <c r="G173" s="81">
        <f t="shared" si="7"/>
        <v>0</v>
      </c>
    </row>
    <row r="174" spans="1:7" s="21" customFormat="1" ht="15.5">
      <c r="A174" s="22"/>
      <c r="B174" s="124">
        <v>30157.01</v>
      </c>
      <c r="C174" s="156" t="s">
        <v>1141</v>
      </c>
      <c r="D174" s="25" t="s">
        <v>146</v>
      </c>
      <c r="E174" s="234"/>
      <c r="F174" s="67"/>
      <c r="G174" s="81">
        <f t="shared" si="7"/>
        <v>0</v>
      </c>
    </row>
    <row r="175" spans="1:7" s="21" customFormat="1" ht="31">
      <c r="A175" s="22"/>
      <c r="B175" s="124">
        <v>30158.01</v>
      </c>
      <c r="C175" s="156" t="s">
        <v>1142</v>
      </c>
      <c r="D175" s="25" t="s">
        <v>146</v>
      </c>
      <c r="E175" s="234"/>
      <c r="F175" s="67"/>
      <c r="G175" s="81">
        <f t="shared" si="7"/>
        <v>0</v>
      </c>
    </row>
    <row r="176" spans="1:7" s="21" customFormat="1" ht="31">
      <c r="A176" s="22"/>
      <c r="B176" s="124">
        <v>30159.01</v>
      </c>
      <c r="C176" s="156" t="s">
        <v>1143</v>
      </c>
      <c r="D176" s="25" t="s">
        <v>146</v>
      </c>
      <c r="E176" s="234"/>
      <c r="F176" s="67"/>
      <c r="G176" s="81">
        <f t="shared" si="7"/>
        <v>0</v>
      </c>
    </row>
    <row r="177" spans="1:7" s="21" customFormat="1" ht="31">
      <c r="A177" s="22"/>
      <c r="B177" s="124">
        <v>30160.01</v>
      </c>
      <c r="C177" s="156" t="s">
        <v>1144</v>
      </c>
      <c r="D177" s="25" t="s">
        <v>146</v>
      </c>
      <c r="E177" s="234"/>
      <c r="F177" s="67"/>
      <c r="G177" s="81">
        <f t="shared" si="7"/>
        <v>0</v>
      </c>
    </row>
    <row r="178" spans="1:7" s="21" customFormat="1" ht="15.5">
      <c r="A178" s="22"/>
      <c r="B178" s="124">
        <v>30161.01</v>
      </c>
      <c r="C178" s="156" t="s">
        <v>1145</v>
      </c>
      <c r="D178" s="25" t="s">
        <v>146</v>
      </c>
      <c r="E178" s="234"/>
      <c r="F178" s="67"/>
      <c r="G178" s="81">
        <f t="shared" si="7"/>
        <v>0</v>
      </c>
    </row>
    <row r="179" spans="1:7" s="21" customFormat="1" ht="15.5">
      <c r="A179" s="22"/>
      <c r="B179" s="124">
        <v>30162.01</v>
      </c>
      <c r="C179" s="156" t="s">
        <v>1146</v>
      </c>
      <c r="D179" s="25" t="s">
        <v>146</v>
      </c>
      <c r="E179" s="234"/>
      <c r="F179" s="67"/>
      <c r="G179" s="81">
        <f t="shared" si="7"/>
        <v>0</v>
      </c>
    </row>
    <row r="180" spans="1:7" s="21" customFormat="1" ht="31">
      <c r="A180" s="22"/>
      <c r="B180" s="124">
        <v>30163.01</v>
      </c>
      <c r="C180" s="156" t="s">
        <v>1147</v>
      </c>
      <c r="D180" s="25" t="s">
        <v>146</v>
      </c>
      <c r="E180" s="234"/>
      <c r="F180" s="67"/>
      <c r="G180" s="81">
        <f t="shared" si="7"/>
        <v>0</v>
      </c>
    </row>
    <row r="181" spans="1:7" s="21" customFormat="1" ht="31.5" thickBot="1">
      <c r="A181" s="22"/>
      <c r="B181" s="125">
        <v>30164.01</v>
      </c>
      <c r="C181" s="157" t="s">
        <v>1148</v>
      </c>
      <c r="D181" s="104" t="s">
        <v>146</v>
      </c>
      <c r="E181" s="194"/>
      <c r="F181" s="105"/>
      <c r="G181" s="106">
        <f t="shared" si="7"/>
        <v>0</v>
      </c>
    </row>
    <row r="182" spans="1:7" s="21" customFormat="1" ht="16" thickBot="1">
      <c r="A182" s="22"/>
      <c r="B182" s="123"/>
      <c r="C182" s="23" t="s">
        <v>1642</v>
      </c>
      <c r="D182" s="43"/>
      <c r="E182" s="59">
        <f>IF(SUM(E183:E200)&gt;0,1,"")</f>
        <v>1</v>
      </c>
      <c r="F182" s="60"/>
      <c r="G182" s="61"/>
    </row>
    <row r="183" spans="1:7" s="21" customFormat="1" ht="31">
      <c r="A183" s="22"/>
      <c r="B183" s="127">
        <v>30251.01</v>
      </c>
      <c r="C183" s="159" t="s">
        <v>2052</v>
      </c>
      <c r="D183" s="62" t="s">
        <v>146</v>
      </c>
      <c r="E183" s="234"/>
      <c r="F183" s="63"/>
      <c r="G183" s="103">
        <f t="shared" ref="G183:G200" si="8">E183*F183</f>
        <v>0</v>
      </c>
    </row>
    <row r="184" spans="1:7" s="21" customFormat="1" ht="31">
      <c r="A184" s="22"/>
      <c r="B184" s="124">
        <v>30251.02</v>
      </c>
      <c r="C184" s="156" t="s">
        <v>2051</v>
      </c>
      <c r="D184" s="25" t="s">
        <v>146</v>
      </c>
      <c r="E184" s="234">
        <v>18</v>
      </c>
      <c r="F184" s="67"/>
      <c r="G184" s="81">
        <f t="shared" si="8"/>
        <v>0</v>
      </c>
    </row>
    <row r="185" spans="1:7" s="21" customFormat="1" ht="31">
      <c r="A185" s="22"/>
      <c r="B185" s="124">
        <v>30251.02</v>
      </c>
      <c r="C185" s="156" t="s">
        <v>2055</v>
      </c>
      <c r="D185" s="25" t="s">
        <v>146</v>
      </c>
      <c r="E185" s="234">
        <v>42</v>
      </c>
      <c r="F185" s="67"/>
      <c r="G185" s="81">
        <f t="shared" si="8"/>
        <v>0</v>
      </c>
    </row>
    <row r="186" spans="1:7" s="21" customFormat="1" ht="46.5">
      <c r="A186" s="22"/>
      <c r="B186" s="124" t="s">
        <v>2054</v>
      </c>
      <c r="C186" s="156" t="s">
        <v>2192</v>
      </c>
      <c r="D186" s="25" t="s">
        <v>146</v>
      </c>
      <c r="E186" s="234">
        <v>11</v>
      </c>
      <c r="F186" s="67"/>
      <c r="G186" s="81">
        <f t="shared" si="8"/>
        <v>0</v>
      </c>
    </row>
    <row r="187" spans="1:7" s="21" customFormat="1" ht="31">
      <c r="A187" s="22"/>
      <c r="B187" s="124">
        <v>30251.040000000001</v>
      </c>
      <c r="C187" s="156" t="s">
        <v>2053</v>
      </c>
      <c r="D187" s="25" t="s">
        <v>146</v>
      </c>
      <c r="E187" s="234">
        <f>ROUNDUP(4.9+13.7+20.9+5.9,0)</f>
        <v>46</v>
      </c>
      <c r="F187" s="67"/>
      <c r="G187" s="81">
        <f t="shared" si="8"/>
        <v>0</v>
      </c>
    </row>
    <row r="188" spans="1:7" s="21" customFormat="1" ht="31">
      <c r="A188" s="22"/>
      <c r="B188" s="124">
        <v>30252.01</v>
      </c>
      <c r="C188" s="156" t="s">
        <v>1149</v>
      </c>
      <c r="D188" s="25" t="s">
        <v>146</v>
      </c>
      <c r="E188" s="234"/>
      <c r="F188" s="67"/>
      <c r="G188" s="81">
        <f t="shared" si="8"/>
        <v>0</v>
      </c>
    </row>
    <row r="189" spans="1:7" s="21" customFormat="1" ht="15.5">
      <c r="A189" s="22"/>
      <c r="B189" s="124">
        <v>30253.01</v>
      </c>
      <c r="C189" s="156" t="s">
        <v>1150</v>
      </c>
      <c r="D189" s="25" t="s">
        <v>146</v>
      </c>
      <c r="E189" s="234"/>
      <c r="F189" s="67"/>
      <c r="G189" s="81">
        <f t="shared" si="8"/>
        <v>0</v>
      </c>
    </row>
    <row r="190" spans="1:7" s="21" customFormat="1" ht="15.5">
      <c r="A190" s="22"/>
      <c r="B190" s="124">
        <v>30254.01</v>
      </c>
      <c r="C190" s="156" t="s">
        <v>1151</v>
      </c>
      <c r="D190" s="25" t="s">
        <v>146</v>
      </c>
      <c r="E190" s="234"/>
      <c r="F190" s="67"/>
      <c r="G190" s="81">
        <f t="shared" si="8"/>
        <v>0</v>
      </c>
    </row>
    <row r="191" spans="1:7" s="21" customFormat="1" ht="31">
      <c r="A191" s="22"/>
      <c r="B191" s="124">
        <v>30255.01</v>
      </c>
      <c r="C191" s="156" t="s">
        <v>1152</v>
      </c>
      <c r="D191" s="25" t="s">
        <v>146</v>
      </c>
      <c r="E191" s="234"/>
      <c r="F191" s="67"/>
      <c r="G191" s="81">
        <f t="shared" si="8"/>
        <v>0</v>
      </c>
    </row>
    <row r="192" spans="1:7" s="21" customFormat="1" ht="31">
      <c r="A192" s="22"/>
      <c r="B192" s="124">
        <v>30256.01</v>
      </c>
      <c r="C192" s="156" t="s">
        <v>1153</v>
      </c>
      <c r="D192" s="25" t="s">
        <v>146</v>
      </c>
      <c r="E192" s="234"/>
      <c r="F192" s="67"/>
      <c r="G192" s="81">
        <f t="shared" si="8"/>
        <v>0</v>
      </c>
    </row>
    <row r="193" spans="1:7" s="21" customFormat="1" ht="31">
      <c r="A193" s="22"/>
      <c r="B193" s="124">
        <v>30257.01</v>
      </c>
      <c r="C193" s="156" t="s">
        <v>1154</v>
      </c>
      <c r="D193" s="25" t="s">
        <v>146</v>
      </c>
      <c r="E193" s="234"/>
      <c r="F193" s="67"/>
      <c r="G193" s="81">
        <f t="shared" si="8"/>
        <v>0</v>
      </c>
    </row>
    <row r="194" spans="1:7" s="21" customFormat="1" ht="31">
      <c r="A194" s="22"/>
      <c r="B194" s="124">
        <v>30258.01</v>
      </c>
      <c r="C194" s="156" t="s">
        <v>1155</v>
      </c>
      <c r="D194" s="25" t="s">
        <v>146</v>
      </c>
      <c r="E194" s="234"/>
      <c r="F194" s="67"/>
      <c r="G194" s="81">
        <f t="shared" si="8"/>
        <v>0</v>
      </c>
    </row>
    <row r="195" spans="1:7" s="21" customFormat="1" ht="31">
      <c r="A195" s="22"/>
      <c r="B195" s="124">
        <v>30259.01</v>
      </c>
      <c r="C195" s="156" t="s">
        <v>1156</v>
      </c>
      <c r="D195" s="25" t="s">
        <v>146</v>
      </c>
      <c r="E195" s="234"/>
      <c r="F195" s="67"/>
      <c r="G195" s="81">
        <f t="shared" si="8"/>
        <v>0</v>
      </c>
    </row>
    <row r="196" spans="1:7" s="21" customFormat="1" ht="31">
      <c r="A196" s="22"/>
      <c r="B196" s="124">
        <v>30260.01</v>
      </c>
      <c r="C196" s="156" t="s">
        <v>1157</v>
      </c>
      <c r="D196" s="25" t="s">
        <v>146</v>
      </c>
      <c r="E196" s="234"/>
      <c r="F196" s="67"/>
      <c r="G196" s="81">
        <f t="shared" si="8"/>
        <v>0</v>
      </c>
    </row>
    <row r="197" spans="1:7" s="21" customFormat="1" ht="31">
      <c r="A197" s="22"/>
      <c r="B197" s="124">
        <v>30261.01</v>
      </c>
      <c r="C197" s="156" t="s">
        <v>1158</v>
      </c>
      <c r="D197" s="25" t="s">
        <v>146</v>
      </c>
      <c r="E197" s="234"/>
      <c r="F197" s="67"/>
      <c r="G197" s="81">
        <f t="shared" si="8"/>
        <v>0</v>
      </c>
    </row>
    <row r="198" spans="1:7" s="21" customFormat="1" ht="15.5">
      <c r="A198" s="22"/>
      <c r="B198" s="124">
        <v>30262.01</v>
      </c>
      <c r="C198" s="156" t="s">
        <v>1159</v>
      </c>
      <c r="D198" s="25" t="s">
        <v>146</v>
      </c>
      <c r="E198" s="234"/>
      <c r="F198" s="67"/>
      <c r="G198" s="81">
        <f t="shared" si="8"/>
        <v>0</v>
      </c>
    </row>
    <row r="199" spans="1:7" s="21" customFormat="1" ht="31">
      <c r="A199" s="22"/>
      <c r="B199" s="124">
        <v>30263.01</v>
      </c>
      <c r="C199" s="156" t="s">
        <v>1160</v>
      </c>
      <c r="D199" s="25" t="s">
        <v>146</v>
      </c>
      <c r="E199" s="234"/>
      <c r="F199" s="67"/>
      <c r="G199" s="81">
        <f t="shared" si="8"/>
        <v>0</v>
      </c>
    </row>
    <row r="200" spans="1:7" s="21" customFormat="1" ht="31.5" thickBot="1">
      <c r="A200" s="22"/>
      <c r="B200" s="124">
        <v>30264.01</v>
      </c>
      <c r="C200" s="156" t="s">
        <v>1161</v>
      </c>
      <c r="D200" s="25" t="s">
        <v>146</v>
      </c>
      <c r="E200" s="234"/>
      <c r="F200" s="67"/>
      <c r="G200" s="81">
        <f t="shared" si="8"/>
        <v>0</v>
      </c>
    </row>
    <row r="201" spans="1:7" s="21" customFormat="1" ht="31.5" thickBot="1">
      <c r="A201" s="22"/>
      <c r="B201" s="123"/>
      <c r="C201" s="23" t="s">
        <v>1643</v>
      </c>
      <c r="D201" s="43"/>
      <c r="E201" s="59" t="str">
        <f>IF(SUM(E202:E217)&gt;0,1,"")</f>
        <v/>
      </c>
      <c r="F201" s="60"/>
      <c r="G201" s="61"/>
    </row>
    <row r="202" spans="1:7" s="21" customFormat="1" ht="15.5">
      <c r="A202" s="22"/>
      <c r="B202" s="127">
        <v>30351.01</v>
      </c>
      <c r="C202" s="159" t="s">
        <v>49</v>
      </c>
      <c r="D202" s="62" t="s">
        <v>148</v>
      </c>
      <c r="E202" s="245"/>
      <c r="F202" s="63"/>
      <c r="G202" s="103">
        <f t="shared" ref="G202:G217" si="9">E202*F202</f>
        <v>0</v>
      </c>
    </row>
    <row r="203" spans="1:7" s="21" customFormat="1" ht="15.5">
      <c r="A203" s="22"/>
      <c r="B203" s="124">
        <v>30352.01</v>
      </c>
      <c r="C203" s="156" t="s">
        <v>48</v>
      </c>
      <c r="D203" s="25" t="s">
        <v>148</v>
      </c>
      <c r="E203" s="234"/>
      <c r="F203" s="67"/>
      <c r="G203" s="81">
        <f t="shared" si="9"/>
        <v>0</v>
      </c>
    </row>
    <row r="204" spans="1:7" s="21" customFormat="1" ht="15.5">
      <c r="A204" s="22"/>
      <c r="B204" s="124">
        <v>30353.01</v>
      </c>
      <c r="C204" s="156" t="s">
        <v>47</v>
      </c>
      <c r="D204" s="25" t="s">
        <v>148</v>
      </c>
      <c r="E204" s="234"/>
      <c r="F204" s="67"/>
      <c r="G204" s="81">
        <f t="shared" si="9"/>
        <v>0</v>
      </c>
    </row>
    <row r="205" spans="1:7" s="21" customFormat="1" ht="15.5">
      <c r="A205" s="22"/>
      <c r="B205" s="124">
        <v>30354.01</v>
      </c>
      <c r="C205" s="156" t="s">
        <v>46</v>
      </c>
      <c r="D205" s="25" t="s">
        <v>148</v>
      </c>
      <c r="E205" s="234"/>
      <c r="F205" s="67"/>
      <c r="G205" s="81">
        <f t="shared" si="9"/>
        <v>0</v>
      </c>
    </row>
    <row r="206" spans="1:7" s="21" customFormat="1" ht="15.5">
      <c r="A206" s="22"/>
      <c r="B206" s="124">
        <v>30355.01</v>
      </c>
      <c r="C206" s="156" t="s">
        <v>45</v>
      </c>
      <c r="D206" s="25" t="s">
        <v>148</v>
      </c>
      <c r="E206" s="234"/>
      <c r="F206" s="67"/>
      <c r="G206" s="81">
        <f t="shared" si="9"/>
        <v>0</v>
      </c>
    </row>
    <row r="207" spans="1:7" s="21" customFormat="1" ht="15.5">
      <c r="A207" s="22"/>
      <c r="B207" s="124">
        <v>30356.01</v>
      </c>
      <c r="C207" s="156" t="s">
        <v>44</v>
      </c>
      <c r="D207" s="25" t="s">
        <v>148</v>
      </c>
      <c r="E207" s="234"/>
      <c r="F207" s="67"/>
      <c r="G207" s="81">
        <f t="shared" si="9"/>
        <v>0</v>
      </c>
    </row>
    <row r="208" spans="1:7" s="21" customFormat="1" ht="15.5">
      <c r="A208" s="22"/>
      <c r="B208" s="124">
        <v>30357.01</v>
      </c>
      <c r="C208" s="156" t="s">
        <v>43</v>
      </c>
      <c r="D208" s="25" t="s">
        <v>148</v>
      </c>
      <c r="E208" s="234"/>
      <c r="F208" s="67"/>
      <c r="G208" s="81">
        <f t="shared" si="9"/>
        <v>0</v>
      </c>
    </row>
    <row r="209" spans="1:7" s="21" customFormat="1" ht="15.5">
      <c r="A209" s="22"/>
      <c r="B209" s="124">
        <v>30358.01</v>
      </c>
      <c r="C209" s="156" t="s">
        <v>42</v>
      </c>
      <c r="D209" s="25" t="s">
        <v>148</v>
      </c>
      <c r="E209" s="234"/>
      <c r="F209" s="67"/>
      <c r="G209" s="81">
        <f t="shared" si="9"/>
        <v>0</v>
      </c>
    </row>
    <row r="210" spans="1:7" s="21" customFormat="1" ht="15.5">
      <c r="A210" s="22"/>
      <c r="B210" s="124">
        <v>30359.01</v>
      </c>
      <c r="C210" s="156" t="s">
        <v>41</v>
      </c>
      <c r="D210" s="25" t="s">
        <v>148</v>
      </c>
      <c r="E210" s="234"/>
      <c r="F210" s="67"/>
      <c r="G210" s="81">
        <f t="shared" si="9"/>
        <v>0</v>
      </c>
    </row>
    <row r="211" spans="1:7" s="21" customFormat="1" ht="15.5">
      <c r="A211" s="22"/>
      <c r="B211" s="124">
        <v>30360.01</v>
      </c>
      <c r="C211" s="156" t="s">
        <v>40</v>
      </c>
      <c r="D211" s="25" t="s">
        <v>148</v>
      </c>
      <c r="E211" s="234"/>
      <c r="F211" s="67"/>
      <c r="G211" s="81">
        <f t="shared" si="9"/>
        <v>0</v>
      </c>
    </row>
    <row r="212" spans="1:7" s="21" customFormat="1" ht="15.5">
      <c r="A212" s="22"/>
      <c r="B212" s="124">
        <v>30361.01</v>
      </c>
      <c r="C212" s="156" t="s">
        <v>39</v>
      </c>
      <c r="D212" s="25" t="s">
        <v>148</v>
      </c>
      <c r="E212" s="234"/>
      <c r="F212" s="67"/>
      <c r="G212" s="81">
        <f t="shared" si="9"/>
        <v>0</v>
      </c>
    </row>
    <row r="213" spans="1:7" s="21" customFormat="1" ht="15.5">
      <c r="A213" s="22"/>
      <c r="B213" s="124">
        <v>30362.01</v>
      </c>
      <c r="C213" s="156" t="s">
        <v>38</v>
      </c>
      <c r="D213" s="25" t="s">
        <v>148</v>
      </c>
      <c r="E213" s="234"/>
      <c r="F213" s="67"/>
      <c r="G213" s="81">
        <f t="shared" si="9"/>
        <v>0</v>
      </c>
    </row>
    <row r="214" spans="1:7" s="21" customFormat="1" ht="15.5">
      <c r="A214" s="22"/>
      <c r="B214" s="124">
        <v>30363.01</v>
      </c>
      <c r="C214" s="156" t="s">
        <v>37</v>
      </c>
      <c r="D214" s="25" t="s">
        <v>148</v>
      </c>
      <c r="E214" s="234"/>
      <c r="F214" s="67"/>
      <c r="G214" s="81">
        <f t="shared" si="9"/>
        <v>0</v>
      </c>
    </row>
    <row r="215" spans="1:7" s="21" customFormat="1" ht="15.5">
      <c r="A215" s="22"/>
      <c r="B215" s="124">
        <v>30364.01</v>
      </c>
      <c r="C215" s="156" t="s">
        <v>36</v>
      </c>
      <c r="D215" s="25" t="s">
        <v>148</v>
      </c>
      <c r="E215" s="234"/>
      <c r="F215" s="67"/>
      <c r="G215" s="81">
        <f t="shared" si="9"/>
        <v>0</v>
      </c>
    </row>
    <row r="216" spans="1:7" s="21" customFormat="1" ht="15.5">
      <c r="A216" s="22"/>
      <c r="B216" s="124">
        <v>30365.01</v>
      </c>
      <c r="C216" s="156" t="s">
        <v>35</v>
      </c>
      <c r="D216" s="25" t="s">
        <v>148</v>
      </c>
      <c r="E216" s="234"/>
      <c r="F216" s="67"/>
      <c r="G216" s="81">
        <f t="shared" si="9"/>
        <v>0</v>
      </c>
    </row>
    <row r="217" spans="1:7" s="21" customFormat="1" ht="16" thickBot="1">
      <c r="A217" s="22"/>
      <c r="B217" s="124">
        <v>30366.01</v>
      </c>
      <c r="C217" s="156" t="s">
        <v>2056</v>
      </c>
      <c r="D217" s="25" t="s">
        <v>147</v>
      </c>
      <c r="E217" s="234"/>
      <c r="F217" s="67"/>
      <c r="G217" s="81">
        <f t="shared" si="9"/>
        <v>0</v>
      </c>
    </row>
    <row r="218" spans="1:7" s="21" customFormat="1" ht="15.5">
      <c r="A218" s="22"/>
      <c r="B218" s="151"/>
      <c r="C218" s="112" t="s">
        <v>1644</v>
      </c>
      <c r="D218" s="113"/>
      <c r="E218" s="114">
        <f>IF(SUM(E219:E240)&gt;0,1,"")</f>
        <v>1</v>
      </c>
      <c r="F218" s="115"/>
      <c r="G218" s="116"/>
    </row>
    <row r="219" spans="1:7" s="21" customFormat="1" ht="15.5">
      <c r="A219" s="22"/>
      <c r="B219" s="124">
        <v>30451.01</v>
      </c>
      <c r="C219" s="156" t="s">
        <v>2110</v>
      </c>
      <c r="D219" s="25" t="s">
        <v>146</v>
      </c>
      <c r="E219" s="234">
        <v>18</v>
      </c>
      <c r="F219" s="67"/>
      <c r="G219" s="81">
        <f t="shared" ref="G219:G233" si="10">E219*F219</f>
        <v>0</v>
      </c>
    </row>
    <row r="220" spans="1:7" s="21" customFormat="1" ht="15.5">
      <c r="A220" s="22"/>
      <c r="B220" s="124">
        <v>30451.02</v>
      </c>
      <c r="C220" s="156" t="s">
        <v>2111</v>
      </c>
      <c r="D220" s="25" t="s">
        <v>146</v>
      </c>
      <c r="E220" s="234">
        <v>20</v>
      </c>
      <c r="F220" s="67"/>
      <c r="G220" s="81">
        <f t="shared" si="10"/>
        <v>0</v>
      </c>
    </row>
    <row r="221" spans="1:7" s="21" customFormat="1" ht="15.5">
      <c r="A221" s="22"/>
      <c r="B221" s="124">
        <v>30451.03</v>
      </c>
      <c r="C221" s="156" t="s">
        <v>2112</v>
      </c>
      <c r="D221" s="25" t="s">
        <v>146</v>
      </c>
      <c r="E221" s="234">
        <v>14</v>
      </c>
      <c r="F221" s="67"/>
      <c r="G221" s="81">
        <f t="shared" si="10"/>
        <v>0</v>
      </c>
    </row>
    <row r="222" spans="1:7" s="21" customFormat="1" ht="15.5">
      <c r="A222" s="22"/>
      <c r="B222" s="124">
        <v>30452.01</v>
      </c>
      <c r="C222" s="156" t="s">
        <v>2113</v>
      </c>
      <c r="D222" s="25" t="s">
        <v>146</v>
      </c>
      <c r="E222" s="234">
        <f>ROUNDUP(2.6,0)</f>
        <v>3</v>
      </c>
      <c r="F222" s="67"/>
      <c r="G222" s="81">
        <f t="shared" si="10"/>
        <v>0</v>
      </c>
    </row>
    <row r="223" spans="1:7" s="21" customFormat="1" ht="15.5">
      <c r="A223" s="22"/>
      <c r="B223" s="124">
        <v>30453.01</v>
      </c>
      <c r="C223" s="156" t="s">
        <v>2114</v>
      </c>
      <c r="D223" s="25" t="s">
        <v>146</v>
      </c>
      <c r="E223" s="234">
        <v>25</v>
      </c>
      <c r="F223" s="67"/>
      <c r="G223" s="81">
        <f t="shared" si="10"/>
        <v>0</v>
      </c>
    </row>
    <row r="224" spans="1:7" s="21" customFormat="1" ht="46.5">
      <c r="A224" s="22"/>
      <c r="B224" s="124">
        <v>30454.01</v>
      </c>
      <c r="C224" s="156" t="s">
        <v>2115</v>
      </c>
      <c r="D224" s="25" t="s">
        <v>146</v>
      </c>
      <c r="E224" s="234">
        <f>ROUNDUP(6+5+21+14+7+36+26,0)</f>
        <v>115</v>
      </c>
      <c r="F224" s="67"/>
      <c r="G224" s="81">
        <f t="shared" si="10"/>
        <v>0</v>
      </c>
    </row>
    <row r="225" spans="1:7" s="21" customFormat="1" ht="46.5">
      <c r="A225" s="22"/>
      <c r="B225" s="124">
        <v>30455.01</v>
      </c>
      <c r="C225" s="156" t="s">
        <v>2116</v>
      </c>
      <c r="D225" s="25" t="s">
        <v>146</v>
      </c>
      <c r="E225" s="234">
        <f>ROUNDUP(6.2+3.1+3.2+3.2,0)</f>
        <v>16</v>
      </c>
      <c r="F225" s="67"/>
      <c r="G225" s="81">
        <f t="shared" si="10"/>
        <v>0</v>
      </c>
    </row>
    <row r="226" spans="1:7" s="21" customFormat="1" ht="46.5">
      <c r="A226" s="22"/>
      <c r="B226" s="124">
        <v>30455.02</v>
      </c>
      <c r="C226" s="156" t="s">
        <v>2193</v>
      </c>
      <c r="D226" s="25" t="s">
        <v>146</v>
      </c>
      <c r="E226" s="234">
        <v>8</v>
      </c>
      <c r="F226" s="67"/>
      <c r="G226" s="81">
        <f t="shared" si="10"/>
        <v>0</v>
      </c>
    </row>
    <row r="227" spans="1:7" s="21" customFormat="1" ht="15.5">
      <c r="A227" s="22"/>
      <c r="B227" s="124">
        <v>30456.01</v>
      </c>
      <c r="C227" s="156" t="s">
        <v>1905</v>
      </c>
      <c r="D227" s="25" t="s">
        <v>146</v>
      </c>
      <c r="E227" s="234"/>
      <c r="F227" s="67"/>
      <c r="G227" s="81">
        <f t="shared" si="10"/>
        <v>0</v>
      </c>
    </row>
    <row r="228" spans="1:7" s="21" customFormat="1" ht="15.5">
      <c r="A228" s="22"/>
      <c r="B228" s="124">
        <v>30457.01</v>
      </c>
      <c r="C228" s="156" t="s">
        <v>1906</v>
      </c>
      <c r="D228" s="25" t="s">
        <v>146</v>
      </c>
      <c r="E228" s="234"/>
      <c r="F228" s="67"/>
      <c r="G228" s="81">
        <f t="shared" si="10"/>
        <v>0</v>
      </c>
    </row>
    <row r="229" spans="1:7" s="21" customFormat="1" ht="15.5">
      <c r="A229" s="22"/>
      <c r="B229" s="124">
        <v>30458.01</v>
      </c>
      <c r="C229" s="156" t="s">
        <v>1907</v>
      </c>
      <c r="D229" s="25" t="s">
        <v>146</v>
      </c>
      <c r="E229" s="234"/>
      <c r="F229" s="67"/>
      <c r="G229" s="81">
        <f t="shared" si="10"/>
        <v>0</v>
      </c>
    </row>
    <row r="230" spans="1:7" s="21" customFormat="1" ht="15.5">
      <c r="A230" s="22"/>
      <c r="B230" s="124">
        <v>30459.01</v>
      </c>
      <c r="C230" s="156" t="s">
        <v>34</v>
      </c>
      <c r="D230" s="25" t="s">
        <v>146</v>
      </c>
      <c r="E230" s="234"/>
      <c r="F230" s="67"/>
      <c r="G230" s="81">
        <f t="shared" si="10"/>
        <v>0</v>
      </c>
    </row>
    <row r="231" spans="1:7" s="21" customFormat="1" ht="15.5">
      <c r="A231" s="22"/>
      <c r="B231" s="124">
        <v>30460.01</v>
      </c>
      <c r="C231" s="156" t="s">
        <v>33</v>
      </c>
      <c r="D231" s="25" t="s">
        <v>146</v>
      </c>
      <c r="E231" s="234"/>
      <c r="F231" s="67"/>
      <c r="G231" s="81">
        <f t="shared" si="10"/>
        <v>0</v>
      </c>
    </row>
    <row r="232" spans="1:7" s="21" customFormat="1" ht="15.5">
      <c r="A232" s="22"/>
      <c r="B232" s="124">
        <v>30461.01</v>
      </c>
      <c r="C232" s="156" t="s">
        <v>32</v>
      </c>
      <c r="D232" s="25" t="s">
        <v>146</v>
      </c>
      <c r="E232" s="234"/>
      <c r="F232" s="67"/>
      <c r="G232" s="81">
        <f t="shared" si="10"/>
        <v>0</v>
      </c>
    </row>
    <row r="233" spans="1:7" s="21" customFormat="1" ht="15.5">
      <c r="A233" s="22"/>
      <c r="B233" s="124">
        <v>30462.01</v>
      </c>
      <c r="C233" s="156" t="s">
        <v>1837</v>
      </c>
      <c r="D233" s="25" t="s">
        <v>147</v>
      </c>
      <c r="E233" s="234">
        <v>2</v>
      </c>
      <c r="F233" s="67"/>
      <c r="G233" s="81">
        <f t="shared" si="10"/>
        <v>0</v>
      </c>
    </row>
    <row r="234" spans="1:7" s="21" customFormat="1" ht="108.5">
      <c r="A234" s="22"/>
      <c r="B234" s="124">
        <v>30462.02</v>
      </c>
      <c r="C234" s="156" t="s">
        <v>1839</v>
      </c>
      <c r="D234" s="25" t="s">
        <v>147</v>
      </c>
      <c r="E234" s="234">
        <v>2</v>
      </c>
      <c r="F234" s="67" t="s">
        <v>1958</v>
      </c>
      <c r="G234" s="81"/>
    </row>
    <row r="235" spans="1:7" s="21" customFormat="1" ht="15.5">
      <c r="A235" s="22"/>
      <c r="B235" s="124">
        <v>30462.03</v>
      </c>
      <c r="C235" s="156" t="s">
        <v>1838</v>
      </c>
      <c r="D235" s="25" t="s">
        <v>147</v>
      </c>
      <c r="E235" s="234"/>
      <c r="F235" s="67"/>
      <c r="G235" s="81">
        <f t="shared" ref="G235:G240" si="11">E235*F235</f>
        <v>0</v>
      </c>
    </row>
    <row r="236" spans="1:7" s="21" customFormat="1" ht="15.5">
      <c r="A236" s="22"/>
      <c r="B236" s="124">
        <v>30463.01</v>
      </c>
      <c r="C236" s="156" t="s">
        <v>1840</v>
      </c>
      <c r="D236" s="25" t="s">
        <v>147</v>
      </c>
      <c r="E236" s="234">
        <v>1</v>
      </c>
      <c r="F236" s="67"/>
      <c r="G236" s="81">
        <f t="shared" si="11"/>
        <v>0</v>
      </c>
    </row>
    <row r="237" spans="1:7" s="21" customFormat="1" ht="15.5">
      <c r="A237" s="22"/>
      <c r="B237" s="124">
        <v>30463.02</v>
      </c>
      <c r="C237" s="156" t="s">
        <v>1841</v>
      </c>
      <c r="D237" s="25" t="s">
        <v>147</v>
      </c>
      <c r="E237" s="234">
        <v>3</v>
      </c>
      <c r="F237" s="67"/>
      <c r="G237" s="81">
        <f t="shared" si="11"/>
        <v>0</v>
      </c>
    </row>
    <row r="238" spans="1:7" s="21" customFormat="1" ht="15.5">
      <c r="A238" s="22"/>
      <c r="B238" s="124">
        <v>30464.01</v>
      </c>
      <c r="C238" s="156" t="s">
        <v>1973</v>
      </c>
      <c r="D238" s="25" t="s">
        <v>147</v>
      </c>
      <c r="E238" s="234"/>
      <c r="F238" s="67"/>
      <c r="G238" s="81">
        <f t="shared" si="11"/>
        <v>0</v>
      </c>
    </row>
    <row r="239" spans="1:7" s="21" customFormat="1" ht="15.5">
      <c r="A239" s="22"/>
      <c r="B239" s="124">
        <v>30465.01</v>
      </c>
      <c r="C239" s="156" t="s">
        <v>970</v>
      </c>
      <c r="D239" s="25" t="s">
        <v>147</v>
      </c>
      <c r="E239" s="234"/>
      <c r="F239" s="67"/>
      <c r="G239" s="81">
        <f t="shared" si="11"/>
        <v>0</v>
      </c>
    </row>
    <row r="240" spans="1:7" s="21" customFormat="1" ht="31">
      <c r="A240" s="22"/>
      <c r="B240" s="124">
        <v>30466.01</v>
      </c>
      <c r="C240" s="156" t="s">
        <v>971</v>
      </c>
      <c r="D240" s="25" t="s">
        <v>147</v>
      </c>
      <c r="E240" s="234"/>
      <c r="F240" s="67"/>
      <c r="G240" s="81">
        <f t="shared" si="11"/>
        <v>0</v>
      </c>
    </row>
    <row r="241" spans="1:7" s="21" customFormat="1" ht="16" thickBot="1">
      <c r="A241" s="22"/>
      <c r="B241" s="211"/>
      <c r="C241" s="212" t="s">
        <v>1645</v>
      </c>
      <c r="D241" s="213"/>
      <c r="E241" s="87" t="str">
        <f>IF(SUM(E242:E249)&gt;0,1,"")</f>
        <v/>
      </c>
      <c r="F241" s="88"/>
      <c r="G241" s="89"/>
    </row>
    <row r="242" spans="1:7" s="21" customFormat="1" ht="31">
      <c r="A242" s="22"/>
      <c r="B242" s="130" t="s">
        <v>803</v>
      </c>
      <c r="C242" s="161" t="s">
        <v>395</v>
      </c>
      <c r="D242" s="99" t="s">
        <v>146</v>
      </c>
      <c r="E242" s="209"/>
      <c r="F242" s="100"/>
      <c r="G242" s="85">
        <f t="shared" ref="G242:G249" si="12">E242*F242</f>
        <v>0</v>
      </c>
    </row>
    <row r="243" spans="1:7" s="21" customFormat="1" ht="31">
      <c r="A243" s="22"/>
      <c r="B243" s="131" t="s">
        <v>804</v>
      </c>
      <c r="C243" s="162" t="s">
        <v>332</v>
      </c>
      <c r="D243" s="75" t="s">
        <v>147</v>
      </c>
      <c r="E243" s="186"/>
      <c r="F243" s="76"/>
      <c r="G243" s="101">
        <f t="shared" si="12"/>
        <v>0</v>
      </c>
    </row>
    <row r="244" spans="1:7" s="21" customFormat="1" ht="46.5">
      <c r="A244" s="22"/>
      <c r="B244" s="131" t="s">
        <v>805</v>
      </c>
      <c r="C244" s="162" t="s">
        <v>333</v>
      </c>
      <c r="D244" s="75" t="s">
        <v>147</v>
      </c>
      <c r="E244" s="186"/>
      <c r="F244" s="76"/>
      <c r="G244" s="101">
        <f t="shared" si="12"/>
        <v>0</v>
      </c>
    </row>
    <row r="245" spans="1:7" s="21" customFormat="1" ht="31">
      <c r="A245" s="22"/>
      <c r="B245" s="131" t="s">
        <v>806</v>
      </c>
      <c r="C245" s="162" t="s">
        <v>334</v>
      </c>
      <c r="D245" s="75" t="s">
        <v>147</v>
      </c>
      <c r="E245" s="186"/>
      <c r="F245" s="76"/>
      <c r="G245" s="101">
        <f t="shared" si="12"/>
        <v>0</v>
      </c>
    </row>
    <row r="246" spans="1:7" s="21" customFormat="1" ht="15.5">
      <c r="A246" s="22"/>
      <c r="B246" s="131" t="s">
        <v>807</v>
      </c>
      <c r="C246" s="162" t="s">
        <v>156</v>
      </c>
      <c r="D246" s="75" t="s">
        <v>146</v>
      </c>
      <c r="E246" s="186"/>
      <c r="F246" s="76"/>
      <c r="G246" s="101">
        <f t="shared" si="12"/>
        <v>0</v>
      </c>
    </row>
    <row r="247" spans="1:7" s="21" customFormat="1" ht="31">
      <c r="A247" s="22"/>
      <c r="B247" s="131" t="s">
        <v>808</v>
      </c>
      <c r="C247" s="162" t="s">
        <v>335</v>
      </c>
      <c r="D247" s="75" t="s">
        <v>146</v>
      </c>
      <c r="E247" s="186"/>
      <c r="F247" s="76"/>
      <c r="G247" s="101">
        <f t="shared" si="12"/>
        <v>0</v>
      </c>
    </row>
    <row r="248" spans="1:7" s="21" customFormat="1" ht="31">
      <c r="A248" s="22"/>
      <c r="B248" s="131" t="s">
        <v>809</v>
      </c>
      <c r="C248" s="162" t="s">
        <v>336</v>
      </c>
      <c r="D248" s="75" t="s">
        <v>146</v>
      </c>
      <c r="E248" s="186"/>
      <c r="F248" s="76"/>
      <c r="G248" s="101">
        <f t="shared" si="12"/>
        <v>0</v>
      </c>
    </row>
    <row r="249" spans="1:7" s="21" customFormat="1" ht="31.5" thickBot="1">
      <c r="A249" s="22"/>
      <c r="B249" s="132" t="s">
        <v>810</v>
      </c>
      <c r="C249" s="163" t="s">
        <v>157</v>
      </c>
      <c r="D249" s="77" t="s">
        <v>146</v>
      </c>
      <c r="E249" s="210"/>
      <c r="F249" s="78"/>
      <c r="G249" s="102">
        <f t="shared" si="12"/>
        <v>0</v>
      </c>
    </row>
    <row r="250" spans="1:7" s="21" customFormat="1" ht="16" thickBot="1">
      <c r="A250" s="22"/>
      <c r="B250" s="123"/>
      <c r="C250" s="23" t="s">
        <v>1646</v>
      </c>
      <c r="D250" s="43"/>
      <c r="E250" s="59">
        <f>IF(SUM(E251:E266)&gt;0,1,"")</f>
        <v>1</v>
      </c>
      <c r="F250" s="60"/>
      <c r="G250" s="61"/>
    </row>
    <row r="251" spans="1:7" s="21" customFormat="1" ht="15.5">
      <c r="A251" s="22"/>
      <c r="B251" s="127">
        <v>30551.01</v>
      </c>
      <c r="C251" s="159" t="s">
        <v>2124</v>
      </c>
      <c r="D251" s="62" t="s">
        <v>146</v>
      </c>
      <c r="E251" s="234">
        <v>81</v>
      </c>
      <c r="F251" s="63"/>
      <c r="G251" s="103">
        <f t="shared" ref="G251:G266" si="13">E251*F251</f>
        <v>0</v>
      </c>
    </row>
    <row r="252" spans="1:7" s="21" customFormat="1" ht="31">
      <c r="A252" s="22"/>
      <c r="B252" s="146" t="s">
        <v>2122</v>
      </c>
      <c r="C252" s="167" t="s">
        <v>2172</v>
      </c>
      <c r="D252" s="24" t="s">
        <v>146</v>
      </c>
      <c r="E252" s="234">
        <v>7</v>
      </c>
      <c r="F252" s="68"/>
      <c r="G252" s="117">
        <f t="shared" si="13"/>
        <v>0</v>
      </c>
    </row>
    <row r="253" spans="1:7" s="21" customFormat="1" ht="15.5">
      <c r="A253" s="22"/>
      <c r="B253" s="124">
        <v>30552.01</v>
      </c>
      <c r="C253" s="156" t="s">
        <v>489</v>
      </c>
      <c r="D253" s="25" t="s">
        <v>146</v>
      </c>
      <c r="E253" s="234">
        <v>0</v>
      </c>
      <c r="F253" s="67"/>
      <c r="G253" s="81">
        <f t="shared" si="13"/>
        <v>0</v>
      </c>
    </row>
    <row r="254" spans="1:7" s="21" customFormat="1" ht="31">
      <c r="A254" s="22"/>
      <c r="B254" s="124">
        <v>30553.01</v>
      </c>
      <c r="C254" s="156" t="s">
        <v>2059</v>
      </c>
      <c r="D254" s="25" t="s">
        <v>147</v>
      </c>
      <c r="E254" s="234">
        <v>5</v>
      </c>
      <c r="F254" s="67"/>
      <c r="G254" s="81">
        <f t="shared" si="13"/>
        <v>0</v>
      </c>
    </row>
    <row r="255" spans="1:7" s="21" customFormat="1" ht="15.5">
      <c r="A255" s="22"/>
      <c r="B255" s="124">
        <v>30554.01</v>
      </c>
      <c r="C255" s="156" t="s">
        <v>2120</v>
      </c>
      <c r="D255" s="25" t="s">
        <v>147</v>
      </c>
      <c r="E255" s="234">
        <v>3</v>
      </c>
      <c r="F255" s="67"/>
      <c r="G255" s="81">
        <f t="shared" si="13"/>
        <v>0</v>
      </c>
    </row>
    <row r="256" spans="1:7" s="21" customFormat="1" ht="31">
      <c r="A256" s="22"/>
      <c r="B256" s="124" t="s">
        <v>2123</v>
      </c>
      <c r="C256" s="156" t="s">
        <v>2173</v>
      </c>
      <c r="D256" s="25" t="s">
        <v>147</v>
      </c>
      <c r="E256" s="234">
        <v>6</v>
      </c>
      <c r="F256" s="67"/>
      <c r="G256" s="81">
        <f t="shared" si="13"/>
        <v>0</v>
      </c>
    </row>
    <row r="257" spans="1:7" s="21" customFormat="1" ht="15.5">
      <c r="A257" s="22"/>
      <c r="B257" s="124">
        <v>30555.01</v>
      </c>
      <c r="C257" s="156" t="s">
        <v>31</v>
      </c>
      <c r="D257" s="25" t="s">
        <v>151</v>
      </c>
      <c r="E257" s="234">
        <v>279</v>
      </c>
      <c r="F257" s="67"/>
      <c r="G257" s="81">
        <f t="shared" si="13"/>
        <v>0</v>
      </c>
    </row>
    <row r="258" spans="1:7" s="21" customFormat="1" ht="15.5">
      <c r="A258" s="22"/>
      <c r="B258" s="124">
        <v>30556.01</v>
      </c>
      <c r="C258" s="156" t="s">
        <v>30</v>
      </c>
      <c r="D258" s="25" t="s">
        <v>146</v>
      </c>
      <c r="E258" s="234">
        <v>106</v>
      </c>
      <c r="F258" s="67"/>
      <c r="G258" s="81">
        <f t="shared" si="13"/>
        <v>0</v>
      </c>
    </row>
    <row r="259" spans="1:7" s="21" customFormat="1" ht="15.5">
      <c r="A259" s="22"/>
      <c r="B259" s="124">
        <v>30557.01</v>
      </c>
      <c r="C259" s="156" t="s">
        <v>1162</v>
      </c>
      <c r="D259" s="25" t="s">
        <v>147</v>
      </c>
      <c r="E259" s="234">
        <v>6</v>
      </c>
      <c r="F259" s="67"/>
      <c r="G259" s="81">
        <f t="shared" si="13"/>
        <v>0</v>
      </c>
    </row>
    <row r="260" spans="1:7" s="55" customFormat="1" ht="15.5">
      <c r="A260" s="53"/>
      <c r="B260" s="124">
        <v>30558.01</v>
      </c>
      <c r="C260" s="156" t="s">
        <v>29</v>
      </c>
      <c r="D260" s="25" t="s">
        <v>146</v>
      </c>
      <c r="E260" s="234"/>
      <c r="F260" s="67"/>
      <c r="G260" s="81">
        <f t="shared" si="13"/>
        <v>0</v>
      </c>
    </row>
    <row r="261" spans="1:7" s="21" customFormat="1" ht="15.5">
      <c r="A261" s="22"/>
      <c r="B261" s="124">
        <v>30559.01</v>
      </c>
      <c r="C261" s="156" t="s">
        <v>28</v>
      </c>
      <c r="D261" s="25" t="s">
        <v>146</v>
      </c>
      <c r="E261" s="234"/>
      <c r="F261" s="67"/>
      <c r="G261" s="81">
        <f t="shared" si="13"/>
        <v>0</v>
      </c>
    </row>
    <row r="262" spans="1:7" s="21" customFormat="1" ht="15.5">
      <c r="A262" s="22"/>
      <c r="B262" s="124">
        <v>30560.01</v>
      </c>
      <c r="C262" s="156" t="s">
        <v>27</v>
      </c>
      <c r="D262" s="25" t="s">
        <v>148</v>
      </c>
      <c r="E262" s="234"/>
      <c r="F262" s="67"/>
      <c r="G262" s="81">
        <f t="shared" si="13"/>
        <v>0</v>
      </c>
    </row>
    <row r="263" spans="1:7" s="21" customFormat="1" ht="31">
      <c r="A263" s="22"/>
      <c r="B263" s="124">
        <v>30561.01</v>
      </c>
      <c r="C263" s="156" t="s">
        <v>26</v>
      </c>
      <c r="D263" s="25" t="s">
        <v>151</v>
      </c>
      <c r="E263" s="234"/>
      <c r="F263" s="67"/>
      <c r="G263" s="81">
        <f t="shared" si="13"/>
        <v>0</v>
      </c>
    </row>
    <row r="264" spans="1:7" s="21" customFormat="1" ht="31">
      <c r="A264" s="22"/>
      <c r="B264" s="313" t="s">
        <v>2198</v>
      </c>
      <c r="C264" s="187" t="s">
        <v>2196</v>
      </c>
      <c r="D264" s="188" t="s">
        <v>151</v>
      </c>
      <c r="E264" s="234">
        <v>705</v>
      </c>
      <c r="F264" s="189"/>
      <c r="G264" s="190">
        <f t="shared" si="13"/>
        <v>0</v>
      </c>
    </row>
    <row r="265" spans="1:7" s="21" customFormat="1" ht="31">
      <c r="A265" s="22"/>
      <c r="B265" s="313" t="s">
        <v>2199</v>
      </c>
      <c r="C265" s="187" t="s">
        <v>2197</v>
      </c>
      <c r="D265" s="188" t="s">
        <v>151</v>
      </c>
      <c r="E265" s="235">
        <v>220</v>
      </c>
      <c r="F265" s="202"/>
      <c r="G265" s="190">
        <f t="shared" si="13"/>
        <v>0</v>
      </c>
    </row>
    <row r="266" spans="1:7" s="21" customFormat="1" ht="16" thickBot="1">
      <c r="A266" s="22"/>
      <c r="B266" s="125">
        <v>30563.01</v>
      </c>
      <c r="C266" s="157" t="s">
        <v>218</v>
      </c>
      <c r="D266" s="104" t="s">
        <v>146</v>
      </c>
      <c r="E266" s="194"/>
      <c r="F266" s="105"/>
      <c r="G266" s="106">
        <f t="shared" si="13"/>
        <v>0</v>
      </c>
    </row>
    <row r="267" spans="1:7" s="21" customFormat="1" ht="31.5" thickBot="1">
      <c r="A267" s="22"/>
      <c r="B267" s="133"/>
      <c r="C267" s="54" t="s">
        <v>1647</v>
      </c>
      <c r="D267" s="54"/>
      <c r="E267" s="59" t="str">
        <f>IF(SUM(E268:E274)&gt;0,1,"")</f>
        <v/>
      </c>
      <c r="F267" s="56"/>
      <c r="G267" s="57"/>
    </row>
    <row r="268" spans="1:7" s="21" customFormat="1" ht="31">
      <c r="A268" s="22"/>
      <c r="B268" s="130" t="s">
        <v>811</v>
      </c>
      <c r="C268" s="161" t="s">
        <v>337</v>
      </c>
      <c r="D268" s="99" t="s">
        <v>146</v>
      </c>
      <c r="E268" s="209"/>
      <c r="F268" s="100"/>
      <c r="G268" s="85">
        <f t="shared" ref="G268:G274" si="14">E268*F268</f>
        <v>0</v>
      </c>
    </row>
    <row r="269" spans="1:7" s="21" customFormat="1" ht="31">
      <c r="A269" s="22"/>
      <c r="B269" s="131" t="s">
        <v>812</v>
      </c>
      <c r="C269" s="162" t="s">
        <v>158</v>
      </c>
      <c r="D269" s="75" t="s">
        <v>146</v>
      </c>
      <c r="E269" s="186"/>
      <c r="F269" s="76"/>
      <c r="G269" s="101">
        <f t="shared" si="14"/>
        <v>0</v>
      </c>
    </row>
    <row r="270" spans="1:7" s="21" customFormat="1" ht="31">
      <c r="A270" s="22"/>
      <c r="B270" s="131" t="s">
        <v>813</v>
      </c>
      <c r="C270" s="162" t="s">
        <v>338</v>
      </c>
      <c r="D270" s="75" t="s">
        <v>146</v>
      </c>
      <c r="E270" s="186"/>
      <c r="F270" s="76"/>
      <c r="G270" s="101">
        <f t="shared" si="14"/>
        <v>0</v>
      </c>
    </row>
    <row r="271" spans="1:7" s="21" customFormat="1" ht="31">
      <c r="A271" s="22"/>
      <c r="B271" s="131" t="s">
        <v>814</v>
      </c>
      <c r="C271" s="162" t="s">
        <v>159</v>
      </c>
      <c r="D271" s="75" t="s">
        <v>146</v>
      </c>
      <c r="E271" s="186"/>
      <c r="F271" s="76"/>
      <c r="G271" s="101">
        <f t="shared" si="14"/>
        <v>0</v>
      </c>
    </row>
    <row r="272" spans="1:7" s="21" customFormat="1" ht="31">
      <c r="A272" s="22"/>
      <c r="B272" s="131" t="s">
        <v>815</v>
      </c>
      <c r="C272" s="162" t="s">
        <v>339</v>
      </c>
      <c r="D272" s="75" t="s">
        <v>146</v>
      </c>
      <c r="E272" s="186"/>
      <c r="F272" s="76"/>
      <c r="G272" s="101">
        <f t="shared" si="14"/>
        <v>0</v>
      </c>
    </row>
    <row r="273" spans="1:7" s="21" customFormat="1" ht="46.5">
      <c r="A273" s="22"/>
      <c r="B273" s="131" t="s">
        <v>816</v>
      </c>
      <c r="C273" s="162" t="s">
        <v>340</v>
      </c>
      <c r="D273" s="75" t="s">
        <v>147</v>
      </c>
      <c r="E273" s="186"/>
      <c r="F273" s="76"/>
      <c r="G273" s="101">
        <f t="shared" si="14"/>
        <v>0</v>
      </c>
    </row>
    <row r="274" spans="1:7" s="21" customFormat="1" ht="31.5" thickBot="1">
      <c r="A274" s="22"/>
      <c r="B274" s="132" t="s">
        <v>817</v>
      </c>
      <c r="C274" s="163" t="s">
        <v>160</v>
      </c>
      <c r="D274" s="77" t="s">
        <v>146</v>
      </c>
      <c r="E274" s="210"/>
      <c r="F274" s="78"/>
      <c r="G274" s="102">
        <f t="shared" si="14"/>
        <v>0</v>
      </c>
    </row>
    <row r="275" spans="1:7" s="21" customFormat="1" ht="16" thickBot="1">
      <c r="A275" s="22"/>
      <c r="B275" s="123"/>
      <c r="C275" s="316" t="s">
        <v>2217</v>
      </c>
      <c r="D275" s="43"/>
      <c r="E275" s="59">
        <f>IF(SUM(E276:E305)&gt;0,1,"")</f>
        <v>1</v>
      </c>
      <c r="F275" s="60"/>
      <c r="G275" s="61"/>
    </row>
    <row r="276" spans="1:7" s="21" customFormat="1" ht="15.5">
      <c r="A276" s="22"/>
      <c r="B276" s="127">
        <v>30651.01</v>
      </c>
      <c r="C276" s="159" t="s">
        <v>1163</v>
      </c>
      <c r="D276" s="62" t="s">
        <v>146</v>
      </c>
      <c r="E276" s="245"/>
      <c r="F276" s="63"/>
      <c r="G276" s="103">
        <f t="shared" ref="G276:G305" si="15">E276*F276</f>
        <v>0</v>
      </c>
    </row>
    <row r="277" spans="1:7" s="21" customFormat="1" ht="15.5">
      <c r="A277" s="22"/>
      <c r="B277" s="124">
        <v>30652.01</v>
      </c>
      <c r="C277" s="156" t="s">
        <v>25</v>
      </c>
      <c r="D277" s="25" t="s">
        <v>148</v>
      </c>
      <c r="E277" s="234"/>
      <c r="F277" s="67"/>
      <c r="G277" s="81">
        <f t="shared" si="15"/>
        <v>0</v>
      </c>
    </row>
    <row r="278" spans="1:7" s="21" customFormat="1" ht="15.5">
      <c r="A278" s="22"/>
      <c r="B278" s="124">
        <v>30653.01</v>
      </c>
      <c r="C278" s="156" t="s">
        <v>24</v>
      </c>
      <c r="D278" s="25" t="s">
        <v>148</v>
      </c>
      <c r="E278" s="234"/>
      <c r="F278" s="67"/>
      <c r="G278" s="81">
        <f t="shared" si="15"/>
        <v>0</v>
      </c>
    </row>
    <row r="279" spans="1:7" s="21" customFormat="1" ht="15.5">
      <c r="A279" s="22"/>
      <c r="B279" s="124">
        <v>30654.01</v>
      </c>
      <c r="C279" s="156" t="s">
        <v>23</v>
      </c>
      <c r="D279" s="25" t="s">
        <v>151</v>
      </c>
      <c r="E279" s="234"/>
      <c r="F279" s="67"/>
      <c r="G279" s="81">
        <f t="shared" si="15"/>
        <v>0</v>
      </c>
    </row>
    <row r="280" spans="1:7" s="21" customFormat="1" ht="15.5">
      <c r="A280" s="22"/>
      <c r="B280" s="124">
        <v>30655.01</v>
      </c>
      <c r="C280" s="156" t="s">
        <v>401</v>
      </c>
      <c r="D280" s="25" t="s">
        <v>148</v>
      </c>
      <c r="E280" s="234"/>
      <c r="F280" s="67"/>
      <c r="G280" s="81">
        <f t="shared" si="15"/>
        <v>0</v>
      </c>
    </row>
    <row r="281" spans="1:7" s="21" customFormat="1" ht="15.5">
      <c r="A281" s="22"/>
      <c r="B281" s="124">
        <v>30656.01</v>
      </c>
      <c r="C281" s="156" t="s">
        <v>1164</v>
      </c>
      <c r="D281" s="25" t="s">
        <v>146</v>
      </c>
      <c r="E281" s="234"/>
      <c r="F281" s="67"/>
      <c r="G281" s="81">
        <f t="shared" si="15"/>
        <v>0</v>
      </c>
    </row>
    <row r="282" spans="1:7" s="21" customFormat="1" ht="15.5">
      <c r="A282" s="22"/>
      <c r="B282" s="124">
        <v>30657.01</v>
      </c>
      <c r="C282" s="156" t="s">
        <v>22</v>
      </c>
      <c r="D282" s="25" t="s">
        <v>148</v>
      </c>
      <c r="E282" s="234"/>
      <c r="F282" s="67"/>
      <c r="G282" s="81">
        <f t="shared" si="15"/>
        <v>0</v>
      </c>
    </row>
    <row r="283" spans="1:7" s="21" customFormat="1" ht="15.5">
      <c r="A283" s="22"/>
      <c r="B283" s="124">
        <v>30658.01</v>
      </c>
      <c r="C283" s="156" t="s">
        <v>21</v>
      </c>
      <c r="D283" s="25" t="s">
        <v>148</v>
      </c>
      <c r="E283" s="234"/>
      <c r="F283" s="67"/>
      <c r="G283" s="81">
        <f t="shared" si="15"/>
        <v>0</v>
      </c>
    </row>
    <row r="284" spans="1:7" s="21" customFormat="1" ht="15.5">
      <c r="A284" s="22"/>
      <c r="B284" s="124">
        <v>30659.01</v>
      </c>
      <c r="C284" s="156" t="s">
        <v>20</v>
      </c>
      <c r="D284" s="25" t="s">
        <v>148</v>
      </c>
      <c r="E284" s="234"/>
      <c r="F284" s="67"/>
      <c r="G284" s="81">
        <f t="shared" si="15"/>
        <v>0</v>
      </c>
    </row>
    <row r="285" spans="1:7" s="21" customFormat="1" ht="15.5">
      <c r="A285" s="22"/>
      <c r="B285" s="124">
        <v>30660.01</v>
      </c>
      <c r="C285" s="156" t="s">
        <v>19</v>
      </c>
      <c r="D285" s="25" t="s">
        <v>148</v>
      </c>
      <c r="E285" s="234"/>
      <c r="F285" s="67"/>
      <c r="G285" s="81">
        <f t="shared" si="15"/>
        <v>0</v>
      </c>
    </row>
    <row r="286" spans="1:7" s="21" customFormat="1" ht="46.5">
      <c r="A286" s="22"/>
      <c r="B286" s="124">
        <v>30661.01</v>
      </c>
      <c r="C286" s="156" t="s">
        <v>2174</v>
      </c>
      <c r="D286" s="25" t="s">
        <v>151</v>
      </c>
      <c r="E286" s="234">
        <v>115</v>
      </c>
      <c r="F286" s="67"/>
      <c r="G286" s="81">
        <f t="shared" si="15"/>
        <v>0</v>
      </c>
    </row>
    <row r="287" spans="1:7" s="21" customFormat="1" ht="46.5">
      <c r="A287" s="22"/>
      <c r="B287" s="124">
        <v>30661.02</v>
      </c>
      <c r="C287" s="156" t="s">
        <v>2175</v>
      </c>
      <c r="D287" s="25" t="s">
        <v>151</v>
      </c>
      <c r="E287" s="234">
        <v>415</v>
      </c>
      <c r="F287" s="67"/>
      <c r="G287" s="81">
        <f t="shared" si="15"/>
        <v>0</v>
      </c>
    </row>
    <row r="288" spans="1:7" s="21" customFormat="1" ht="46.5">
      <c r="A288" s="22"/>
      <c r="B288" s="124" t="s">
        <v>2184</v>
      </c>
      <c r="C288" s="156" t="s">
        <v>2213</v>
      </c>
      <c r="D288" s="25" t="s">
        <v>151</v>
      </c>
      <c r="E288" s="234">
        <v>64</v>
      </c>
      <c r="F288" s="67"/>
      <c r="G288" s="81">
        <f t="shared" si="15"/>
        <v>0</v>
      </c>
    </row>
    <row r="289" spans="1:7" s="21" customFormat="1" ht="15.5">
      <c r="A289" s="22"/>
      <c r="B289" s="124">
        <v>30662.01</v>
      </c>
      <c r="C289" s="156" t="s">
        <v>1165</v>
      </c>
      <c r="D289" s="25" t="s">
        <v>151</v>
      </c>
      <c r="E289" s="234"/>
      <c r="F289" s="67"/>
      <c r="G289" s="81">
        <f t="shared" si="15"/>
        <v>0</v>
      </c>
    </row>
    <row r="290" spans="1:7" s="21" customFormat="1" ht="15.5">
      <c r="A290" s="22"/>
      <c r="B290" s="124">
        <v>30663.01</v>
      </c>
      <c r="C290" s="156" t="s">
        <v>1166</v>
      </c>
      <c r="D290" s="25" t="s">
        <v>151</v>
      </c>
      <c r="E290" s="234"/>
      <c r="F290" s="67"/>
      <c r="G290" s="81">
        <f t="shared" si="15"/>
        <v>0</v>
      </c>
    </row>
    <row r="291" spans="1:7" s="21" customFormat="1" ht="15.5">
      <c r="A291" s="22"/>
      <c r="B291" s="124">
        <v>30664.01</v>
      </c>
      <c r="C291" s="156" t="s">
        <v>18</v>
      </c>
      <c r="D291" s="25" t="s">
        <v>148</v>
      </c>
      <c r="E291" s="234"/>
      <c r="F291" s="67"/>
      <c r="G291" s="81">
        <f t="shared" si="15"/>
        <v>0</v>
      </c>
    </row>
    <row r="292" spans="1:7" s="21" customFormat="1" ht="15.5">
      <c r="A292" s="22"/>
      <c r="B292" s="124" t="s">
        <v>2060</v>
      </c>
      <c r="C292" s="156" t="s">
        <v>17</v>
      </c>
      <c r="D292" s="25" t="s">
        <v>151</v>
      </c>
      <c r="E292" s="234"/>
      <c r="F292" s="67"/>
      <c r="G292" s="81">
        <f t="shared" si="15"/>
        <v>0</v>
      </c>
    </row>
    <row r="293" spans="1:7" s="21" customFormat="1" ht="15.5">
      <c r="A293" s="22"/>
      <c r="B293" s="124" t="s">
        <v>2061</v>
      </c>
      <c r="C293" s="156" t="s">
        <v>16</v>
      </c>
      <c r="D293" s="25" t="s">
        <v>148</v>
      </c>
      <c r="E293" s="234"/>
      <c r="F293" s="67"/>
      <c r="G293" s="81">
        <f t="shared" si="15"/>
        <v>0</v>
      </c>
    </row>
    <row r="294" spans="1:7" s="21" customFormat="1" ht="15.5">
      <c r="A294" s="22"/>
      <c r="B294" s="124">
        <v>30667.01</v>
      </c>
      <c r="C294" s="156" t="s">
        <v>2083</v>
      </c>
      <c r="D294" s="25" t="s">
        <v>148</v>
      </c>
      <c r="E294" s="249">
        <v>15</v>
      </c>
      <c r="F294" s="67"/>
      <c r="G294" s="81">
        <f t="shared" si="15"/>
        <v>0</v>
      </c>
    </row>
    <row r="295" spans="1:7" s="21" customFormat="1" ht="15.5">
      <c r="A295" s="22"/>
      <c r="B295" s="124">
        <v>30667.02</v>
      </c>
      <c r="C295" s="156" t="s">
        <v>2084</v>
      </c>
      <c r="D295" s="25" t="s">
        <v>148</v>
      </c>
      <c r="E295" s="249">
        <v>12</v>
      </c>
      <c r="F295" s="67"/>
      <c r="G295" s="81">
        <f t="shared" si="15"/>
        <v>0</v>
      </c>
    </row>
    <row r="296" spans="1:7" s="21" customFormat="1" ht="15.5">
      <c r="A296" s="22"/>
      <c r="B296" s="124">
        <v>30668.01</v>
      </c>
      <c r="C296" s="156" t="s">
        <v>15</v>
      </c>
      <c r="D296" s="25" t="s">
        <v>151</v>
      </c>
      <c r="E296" s="249">
        <v>155</v>
      </c>
      <c r="F296" s="67"/>
      <c r="G296" s="81">
        <f t="shared" si="15"/>
        <v>0</v>
      </c>
    </row>
    <row r="297" spans="1:7" s="21" customFormat="1" ht="15.5">
      <c r="A297" s="22"/>
      <c r="B297" s="124">
        <v>30669.01</v>
      </c>
      <c r="C297" s="156" t="s">
        <v>14</v>
      </c>
      <c r="D297" s="25" t="s">
        <v>151</v>
      </c>
      <c r="E297" s="234"/>
      <c r="F297" s="67"/>
      <c r="G297" s="81">
        <f t="shared" si="15"/>
        <v>0</v>
      </c>
    </row>
    <row r="298" spans="1:7" s="21" customFormat="1" ht="15.5">
      <c r="A298" s="22"/>
      <c r="B298" s="124">
        <v>30670.01</v>
      </c>
      <c r="C298" s="156" t="s">
        <v>13</v>
      </c>
      <c r="D298" s="25" t="s">
        <v>151</v>
      </c>
      <c r="E298" s="234"/>
      <c r="F298" s="67"/>
      <c r="G298" s="81">
        <f t="shared" si="15"/>
        <v>0</v>
      </c>
    </row>
    <row r="299" spans="1:7" s="21" customFormat="1" ht="31">
      <c r="A299" s="22"/>
      <c r="B299" s="124">
        <v>30671.01</v>
      </c>
      <c r="C299" s="156" t="s">
        <v>1167</v>
      </c>
      <c r="D299" s="25" t="s">
        <v>147</v>
      </c>
      <c r="E299" s="234"/>
      <c r="F299" s="67"/>
      <c r="G299" s="81">
        <f t="shared" si="15"/>
        <v>0</v>
      </c>
    </row>
    <row r="300" spans="1:7" s="21" customFormat="1" ht="31">
      <c r="A300" s="22"/>
      <c r="B300" s="124">
        <v>30672.01</v>
      </c>
      <c r="C300" s="156" t="s">
        <v>1168</v>
      </c>
      <c r="D300" s="25" t="s">
        <v>147</v>
      </c>
      <c r="E300" s="234"/>
      <c r="F300" s="67"/>
      <c r="G300" s="81">
        <f t="shared" si="15"/>
        <v>0</v>
      </c>
    </row>
    <row r="301" spans="1:7" s="21" customFormat="1" ht="31">
      <c r="A301" s="22"/>
      <c r="B301" s="124">
        <v>30673.01</v>
      </c>
      <c r="C301" s="156" t="s">
        <v>1968</v>
      </c>
      <c r="D301" s="25" t="s">
        <v>147</v>
      </c>
      <c r="E301" s="234">
        <v>1</v>
      </c>
      <c r="F301" s="67"/>
      <c r="G301" s="81">
        <f t="shared" si="15"/>
        <v>0</v>
      </c>
    </row>
    <row r="302" spans="1:7" s="21" customFormat="1" ht="31">
      <c r="A302" s="22"/>
      <c r="B302" s="124">
        <v>30674.01</v>
      </c>
      <c r="C302" s="156" t="s">
        <v>1169</v>
      </c>
      <c r="D302" s="25" t="s">
        <v>147</v>
      </c>
      <c r="E302" s="234"/>
      <c r="F302" s="67"/>
      <c r="G302" s="81">
        <f t="shared" si="15"/>
        <v>0</v>
      </c>
    </row>
    <row r="303" spans="1:7" s="21" customFormat="1" ht="15.5">
      <c r="A303" s="22"/>
      <c r="B303" s="124">
        <v>30675.01</v>
      </c>
      <c r="C303" s="156" t="s">
        <v>2126</v>
      </c>
      <c r="D303" s="25" t="s">
        <v>148</v>
      </c>
      <c r="E303" s="234">
        <v>3</v>
      </c>
      <c r="F303" s="67"/>
      <c r="G303" s="81">
        <f t="shared" si="15"/>
        <v>0</v>
      </c>
    </row>
    <row r="304" spans="1:7" s="21" customFormat="1" ht="15.5">
      <c r="A304" s="22"/>
      <c r="B304" s="124" t="s">
        <v>2129</v>
      </c>
      <c r="C304" s="156" t="s">
        <v>1962</v>
      </c>
      <c r="D304" s="25" t="s">
        <v>148</v>
      </c>
      <c r="E304" s="234">
        <v>16</v>
      </c>
      <c r="F304" s="67"/>
      <c r="G304" s="81">
        <f t="shared" si="15"/>
        <v>0</v>
      </c>
    </row>
    <row r="305" spans="1:7" s="21" customFormat="1" ht="31.5" thickBot="1">
      <c r="A305" s="22"/>
      <c r="B305" s="125">
        <v>30676.01</v>
      </c>
      <c r="C305" s="157" t="s">
        <v>1170</v>
      </c>
      <c r="D305" s="104" t="s">
        <v>147</v>
      </c>
      <c r="E305" s="194"/>
      <c r="F305" s="105"/>
      <c r="G305" s="106">
        <f t="shared" si="15"/>
        <v>0</v>
      </c>
    </row>
    <row r="306" spans="1:7" s="21" customFormat="1" ht="31.5" thickBot="1">
      <c r="A306" s="22"/>
      <c r="B306" s="129"/>
      <c r="C306" s="52" t="s">
        <v>1647</v>
      </c>
      <c r="D306" s="52"/>
      <c r="E306" s="59" t="str">
        <f>IF(SUM(E307:E310)&gt;0,1,"")</f>
        <v/>
      </c>
      <c r="F306" s="60"/>
      <c r="G306" s="61"/>
    </row>
    <row r="307" spans="1:7" s="21" customFormat="1" ht="31">
      <c r="A307" s="22"/>
      <c r="B307" s="130" t="s">
        <v>818</v>
      </c>
      <c r="C307" s="161" t="s">
        <v>341</v>
      </c>
      <c r="D307" s="99" t="s">
        <v>317</v>
      </c>
      <c r="E307" s="209"/>
      <c r="F307" s="100"/>
      <c r="G307" s="85">
        <f>E307*F307</f>
        <v>0</v>
      </c>
    </row>
    <row r="308" spans="1:7" s="21" customFormat="1" ht="31">
      <c r="A308" s="22"/>
      <c r="B308" s="131" t="s">
        <v>819</v>
      </c>
      <c r="C308" s="162" t="s">
        <v>342</v>
      </c>
      <c r="D308" s="75" t="s">
        <v>317</v>
      </c>
      <c r="E308" s="186"/>
      <c r="F308" s="76"/>
      <c r="G308" s="101">
        <f>E308*F308</f>
        <v>0</v>
      </c>
    </row>
    <row r="309" spans="1:7" s="21" customFormat="1" ht="31">
      <c r="A309" s="22"/>
      <c r="B309" s="131" t="s">
        <v>820</v>
      </c>
      <c r="C309" s="162" t="s">
        <v>162</v>
      </c>
      <c r="D309" s="75" t="s">
        <v>146</v>
      </c>
      <c r="E309" s="186"/>
      <c r="F309" s="76"/>
      <c r="G309" s="101">
        <f>E309*F309</f>
        <v>0</v>
      </c>
    </row>
    <row r="310" spans="1:7" s="21" customFormat="1" ht="47" thickBot="1">
      <c r="A310" s="22"/>
      <c r="B310" s="132" t="s">
        <v>821</v>
      </c>
      <c r="C310" s="163" t="s">
        <v>343</v>
      </c>
      <c r="D310" s="77" t="s">
        <v>317</v>
      </c>
      <c r="E310" s="210"/>
      <c r="F310" s="78"/>
      <c r="G310" s="102">
        <f>E310*F310</f>
        <v>0</v>
      </c>
    </row>
    <row r="311" spans="1:7" s="21" customFormat="1" ht="16" thickBot="1">
      <c r="A311" s="22"/>
      <c r="B311" s="123"/>
      <c r="C311" s="23" t="s">
        <v>1648</v>
      </c>
      <c r="D311" s="43"/>
      <c r="E311" s="59">
        <f>IF(SUM(E312:E327)&gt;0,1,"")</f>
        <v>1</v>
      </c>
      <c r="F311" s="60"/>
      <c r="G311" s="61"/>
    </row>
    <row r="312" spans="1:7" s="21" customFormat="1" ht="15.5">
      <c r="A312" s="22"/>
      <c r="B312" s="127">
        <v>30801.01</v>
      </c>
      <c r="C312" s="159" t="s">
        <v>1843</v>
      </c>
      <c r="D312" s="62" t="s">
        <v>148</v>
      </c>
      <c r="E312" s="234">
        <v>215</v>
      </c>
      <c r="F312" s="63"/>
      <c r="G312" s="103">
        <f>E312*F312</f>
        <v>0</v>
      </c>
    </row>
    <row r="313" spans="1:7" s="21" customFormat="1" ht="15.5">
      <c r="A313" s="22"/>
      <c r="B313" s="124">
        <v>30801.02</v>
      </c>
      <c r="C313" s="324" t="s">
        <v>2221</v>
      </c>
      <c r="D313" s="25" t="s">
        <v>148</v>
      </c>
      <c r="E313" s="234">
        <v>75</v>
      </c>
      <c r="F313" s="67"/>
      <c r="G313" s="81">
        <f>E313*F313</f>
        <v>0</v>
      </c>
    </row>
    <row r="314" spans="1:7" s="21" customFormat="1" ht="15.5">
      <c r="A314" s="22"/>
      <c r="B314" s="124">
        <v>30802.01</v>
      </c>
      <c r="C314" s="156" t="s">
        <v>1844</v>
      </c>
      <c r="D314" s="25" t="s">
        <v>148</v>
      </c>
      <c r="E314" s="234">
        <v>57</v>
      </c>
      <c r="F314" s="67"/>
      <c r="G314" s="81">
        <f>E314*F314</f>
        <v>0</v>
      </c>
    </row>
    <row r="315" spans="1:7" s="21" customFormat="1" ht="15.5">
      <c r="A315" s="22"/>
      <c r="B315" s="124">
        <v>30802.02</v>
      </c>
      <c r="C315" s="156" t="s">
        <v>1845</v>
      </c>
      <c r="D315" s="25" t="s">
        <v>148</v>
      </c>
      <c r="E315" s="234">
        <v>40</v>
      </c>
      <c r="F315" s="67"/>
      <c r="G315" s="81"/>
    </row>
    <row r="316" spans="1:7" s="21" customFormat="1" ht="15.5">
      <c r="A316" s="22"/>
      <c r="B316" s="124">
        <v>30803.01</v>
      </c>
      <c r="C316" s="156" t="s">
        <v>1866</v>
      </c>
      <c r="D316" s="25" t="s">
        <v>149</v>
      </c>
      <c r="E316" s="234">
        <v>57</v>
      </c>
      <c r="F316" s="67"/>
      <c r="G316" s="81">
        <f t="shared" ref="G316:G327" si="16">E316*F316</f>
        <v>0</v>
      </c>
    </row>
    <row r="317" spans="1:7" s="21" customFormat="1" ht="15.5">
      <c r="A317" s="22"/>
      <c r="B317" s="124">
        <v>30803.02</v>
      </c>
      <c r="C317" s="324" t="s">
        <v>2222</v>
      </c>
      <c r="D317" s="25" t="s">
        <v>149</v>
      </c>
      <c r="E317" s="234">
        <v>9</v>
      </c>
      <c r="F317" s="67"/>
      <c r="G317" s="81">
        <f t="shared" si="16"/>
        <v>0</v>
      </c>
    </row>
    <row r="318" spans="1:7" s="21" customFormat="1" ht="31">
      <c r="A318" s="22"/>
      <c r="B318" s="124">
        <v>30804.01</v>
      </c>
      <c r="C318" s="156" t="s">
        <v>1870</v>
      </c>
      <c r="D318" s="25" t="s">
        <v>148</v>
      </c>
      <c r="E318" s="234"/>
      <c r="F318" s="67"/>
      <c r="G318" s="81">
        <f t="shared" si="16"/>
        <v>0</v>
      </c>
    </row>
    <row r="319" spans="1:7" s="21" customFormat="1" ht="31">
      <c r="A319" s="22"/>
      <c r="B319" s="124">
        <v>30805.01</v>
      </c>
      <c r="C319" s="156" t="s">
        <v>2093</v>
      </c>
      <c r="D319" s="25" t="s">
        <v>151</v>
      </c>
      <c r="E319" s="234">
        <v>72</v>
      </c>
      <c r="F319" s="67"/>
      <c r="G319" s="81">
        <f t="shared" si="16"/>
        <v>0</v>
      </c>
    </row>
    <row r="320" spans="1:7" s="21" customFormat="1" ht="31">
      <c r="A320" s="22"/>
      <c r="B320" s="124" t="s">
        <v>1901</v>
      </c>
      <c r="C320" s="156" t="s">
        <v>2038</v>
      </c>
      <c r="D320" s="25" t="s">
        <v>151</v>
      </c>
      <c r="E320" s="234">
        <f>50*1.8</f>
        <v>90</v>
      </c>
      <c r="F320" s="67"/>
      <c r="G320" s="81">
        <f t="shared" si="16"/>
        <v>0</v>
      </c>
    </row>
    <row r="321" spans="1:7" s="21" customFormat="1" ht="31">
      <c r="A321" s="22"/>
      <c r="B321" s="124">
        <v>30806.01</v>
      </c>
      <c r="C321" s="156" t="s">
        <v>1871</v>
      </c>
      <c r="D321" s="25" t="s">
        <v>149</v>
      </c>
      <c r="E321" s="249">
        <f>0.1*E319</f>
        <v>7.2</v>
      </c>
      <c r="F321" s="67"/>
      <c r="G321" s="81">
        <f t="shared" si="16"/>
        <v>0</v>
      </c>
    </row>
    <row r="322" spans="1:7" s="21" customFormat="1" ht="15.5">
      <c r="A322" s="22"/>
      <c r="B322" s="124">
        <v>30807.01</v>
      </c>
      <c r="C322" s="156" t="s">
        <v>64</v>
      </c>
      <c r="D322" s="25" t="s">
        <v>151</v>
      </c>
      <c r="E322" s="234"/>
      <c r="F322" s="67"/>
      <c r="G322" s="81">
        <f t="shared" si="16"/>
        <v>0</v>
      </c>
    </row>
    <row r="323" spans="1:7" s="21" customFormat="1" ht="15.5">
      <c r="A323" s="22"/>
      <c r="B323" s="124">
        <v>30808.01</v>
      </c>
      <c r="C323" s="156" t="s">
        <v>219</v>
      </c>
      <c r="D323" s="25" t="s">
        <v>148</v>
      </c>
      <c r="E323" s="234"/>
      <c r="F323" s="67"/>
      <c r="G323" s="81">
        <f t="shared" si="16"/>
        <v>0</v>
      </c>
    </row>
    <row r="324" spans="1:7" s="21" customFormat="1" ht="15.5">
      <c r="A324" s="22"/>
      <c r="B324" s="124">
        <v>30809.01</v>
      </c>
      <c r="C324" s="156" t="s">
        <v>2128</v>
      </c>
      <c r="D324" s="25" t="s">
        <v>146</v>
      </c>
      <c r="E324" s="234">
        <v>45</v>
      </c>
      <c r="F324" s="67"/>
      <c r="G324" s="81">
        <f t="shared" si="16"/>
        <v>0</v>
      </c>
    </row>
    <row r="325" spans="1:7" s="21" customFormat="1" ht="15.5">
      <c r="A325" s="22"/>
      <c r="B325" s="124" t="s">
        <v>2127</v>
      </c>
      <c r="C325" s="156" t="s">
        <v>1963</v>
      </c>
      <c r="D325" s="25" t="s">
        <v>146</v>
      </c>
      <c r="E325" s="234">
        <v>100</v>
      </c>
      <c r="F325" s="67"/>
      <c r="G325" s="81">
        <f t="shared" si="16"/>
        <v>0</v>
      </c>
    </row>
    <row r="326" spans="1:7" s="21" customFormat="1" ht="15.5">
      <c r="A326" s="22"/>
      <c r="B326" s="124" t="s">
        <v>1946</v>
      </c>
      <c r="C326" s="156" t="s">
        <v>1964</v>
      </c>
      <c r="D326" s="25" t="s">
        <v>146</v>
      </c>
      <c r="E326" s="234">
        <v>100</v>
      </c>
      <c r="F326" s="67"/>
      <c r="G326" s="81">
        <f t="shared" si="16"/>
        <v>0</v>
      </c>
    </row>
    <row r="327" spans="1:7" s="21" customFormat="1" ht="16" thickBot="1">
      <c r="A327" s="22"/>
      <c r="B327" s="125" t="s">
        <v>1903</v>
      </c>
      <c r="C327" s="157" t="s">
        <v>1965</v>
      </c>
      <c r="D327" s="104" t="s">
        <v>146</v>
      </c>
      <c r="E327" s="194">
        <v>0</v>
      </c>
      <c r="F327" s="105"/>
      <c r="G327" s="106">
        <f t="shared" si="16"/>
        <v>0</v>
      </c>
    </row>
    <row r="328" spans="1:7" s="21" customFormat="1" ht="31.5" thickBot="1">
      <c r="A328" s="22"/>
      <c r="B328" s="129"/>
      <c r="C328" s="52" t="s">
        <v>1649</v>
      </c>
      <c r="D328" s="52"/>
      <c r="E328" s="59">
        <f>IF(SUM(E329:E342)&gt;0,1,"")</f>
        <v>1</v>
      </c>
      <c r="F328" s="60"/>
      <c r="G328" s="61"/>
    </row>
    <row r="329" spans="1:7" s="21" customFormat="1" ht="31">
      <c r="A329" s="22"/>
      <c r="B329" s="130" t="s">
        <v>822</v>
      </c>
      <c r="C329" s="161" t="s">
        <v>344</v>
      </c>
      <c r="D329" s="99" t="s">
        <v>161</v>
      </c>
      <c r="E329" s="209"/>
      <c r="F329" s="100"/>
      <c r="G329" s="85">
        <f t="shared" ref="G329:G342" si="17">E329*F329</f>
        <v>0</v>
      </c>
    </row>
    <row r="330" spans="1:7" s="21" customFormat="1" ht="31">
      <c r="A330" s="22"/>
      <c r="B330" s="131" t="s">
        <v>823</v>
      </c>
      <c r="C330" s="162" t="s">
        <v>1899</v>
      </c>
      <c r="D330" s="75" t="s">
        <v>146</v>
      </c>
      <c r="E330" s="186">
        <v>9</v>
      </c>
      <c r="F330" s="76"/>
      <c r="G330" s="101">
        <f t="shared" si="17"/>
        <v>0</v>
      </c>
    </row>
    <row r="331" spans="1:7" s="21" customFormat="1" ht="31">
      <c r="A331" s="22"/>
      <c r="B331" s="131" t="s">
        <v>1947</v>
      </c>
      <c r="C331" s="326" t="s">
        <v>2225</v>
      </c>
      <c r="D331" s="75" t="s">
        <v>146</v>
      </c>
      <c r="E331" s="186">
        <v>25</v>
      </c>
      <c r="F331" s="76"/>
      <c r="G331" s="101">
        <f t="shared" si="17"/>
        <v>0</v>
      </c>
    </row>
    <row r="332" spans="1:7" s="21" customFormat="1" ht="46.5">
      <c r="A332" s="22"/>
      <c r="B332" s="131" t="s">
        <v>2082</v>
      </c>
      <c r="C332" s="326" t="s">
        <v>2226</v>
      </c>
      <c r="D332" s="75" t="s">
        <v>146</v>
      </c>
      <c r="E332" s="186">
        <v>3</v>
      </c>
      <c r="F332" s="76"/>
      <c r="G332" s="101">
        <f t="shared" si="17"/>
        <v>0</v>
      </c>
    </row>
    <row r="333" spans="1:7" s="21" customFormat="1" ht="31">
      <c r="A333" s="22"/>
      <c r="B333" s="131" t="s">
        <v>824</v>
      </c>
      <c r="C333" s="162" t="s">
        <v>1900</v>
      </c>
      <c r="D333" s="75" t="s">
        <v>161</v>
      </c>
      <c r="E333" s="186">
        <v>9</v>
      </c>
      <c r="F333" s="76"/>
      <c r="G333" s="101">
        <f t="shared" si="17"/>
        <v>0</v>
      </c>
    </row>
    <row r="334" spans="1:7" s="21" customFormat="1" ht="31">
      <c r="A334" s="22"/>
      <c r="B334" s="131" t="s">
        <v>1948</v>
      </c>
      <c r="C334" s="326" t="s">
        <v>2228</v>
      </c>
      <c r="D334" s="75" t="s">
        <v>161</v>
      </c>
      <c r="E334" s="186">
        <v>25</v>
      </c>
      <c r="F334" s="76"/>
      <c r="G334" s="101">
        <f t="shared" si="17"/>
        <v>0</v>
      </c>
    </row>
    <row r="335" spans="1:7" s="21" customFormat="1" ht="46.5">
      <c r="A335" s="22"/>
      <c r="B335" s="325" t="s">
        <v>2223</v>
      </c>
      <c r="C335" s="162" t="s">
        <v>2150</v>
      </c>
      <c r="D335" s="75" t="s">
        <v>161</v>
      </c>
      <c r="E335" s="186">
        <f>E333/2</f>
        <v>4.5</v>
      </c>
      <c r="F335" s="76"/>
      <c r="G335" s="101">
        <f t="shared" si="17"/>
        <v>0</v>
      </c>
    </row>
    <row r="336" spans="1:7" s="21" customFormat="1" ht="46.5">
      <c r="A336" s="22"/>
      <c r="B336" s="325" t="s">
        <v>2224</v>
      </c>
      <c r="C336" s="326" t="s">
        <v>2227</v>
      </c>
      <c r="D336" s="75" t="s">
        <v>161</v>
      </c>
      <c r="E336" s="186">
        <f>3*0.75</f>
        <v>2.25</v>
      </c>
      <c r="F336" s="76"/>
      <c r="G336" s="101">
        <f t="shared" si="17"/>
        <v>0</v>
      </c>
    </row>
    <row r="337" spans="1:7" s="21" customFormat="1" ht="31">
      <c r="A337" s="22"/>
      <c r="B337" s="131" t="s">
        <v>825</v>
      </c>
      <c r="C337" s="162" t="s">
        <v>345</v>
      </c>
      <c r="D337" s="75" t="s">
        <v>145</v>
      </c>
      <c r="E337" s="186"/>
      <c r="F337" s="76"/>
      <c r="G337" s="101">
        <f t="shared" si="17"/>
        <v>0</v>
      </c>
    </row>
    <row r="338" spans="1:7" s="21" customFormat="1" ht="31">
      <c r="A338" s="22"/>
      <c r="B338" s="131" t="s">
        <v>826</v>
      </c>
      <c r="C338" s="162" t="s">
        <v>346</v>
      </c>
      <c r="D338" s="75" t="s">
        <v>145</v>
      </c>
      <c r="E338" s="186"/>
      <c r="F338" s="76"/>
      <c r="G338" s="101">
        <f t="shared" si="17"/>
        <v>0</v>
      </c>
    </row>
    <row r="339" spans="1:7" s="21" customFormat="1" ht="31">
      <c r="A339" s="22"/>
      <c r="B339" s="131" t="s">
        <v>827</v>
      </c>
      <c r="C339" s="162" t="s">
        <v>347</v>
      </c>
      <c r="D339" s="75" t="s">
        <v>145</v>
      </c>
      <c r="E339" s="186"/>
      <c r="F339" s="76"/>
      <c r="G339" s="101">
        <f t="shared" si="17"/>
        <v>0</v>
      </c>
    </row>
    <row r="340" spans="1:7" s="21" customFormat="1" ht="31">
      <c r="A340" s="22"/>
      <c r="B340" s="131" t="s">
        <v>828</v>
      </c>
      <c r="C340" s="162" t="s">
        <v>348</v>
      </c>
      <c r="D340" s="75" t="s">
        <v>145</v>
      </c>
      <c r="E340" s="186"/>
      <c r="F340" s="76"/>
      <c r="G340" s="101">
        <f t="shared" si="17"/>
        <v>0</v>
      </c>
    </row>
    <row r="341" spans="1:7" s="21" customFormat="1" ht="31">
      <c r="A341" s="22"/>
      <c r="B341" s="131" t="s">
        <v>829</v>
      </c>
      <c r="C341" s="162" t="s">
        <v>349</v>
      </c>
      <c r="D341" s="75" t="s">
        <v>161</v>
      </c>
      <c r="E341" s="186"/>
      <c r="F341" s="76"/>
      <c r="G341" s="101">
        <f t="shared" si="17"/>
        <v>0</v>
      </c>
    </row>
    <row r="342" spans="1:7" s="21" customFormat="1" ht="31.5" thickBot="1">
      <c r="A342" s="22"/>
      <c r="B342" s="132" t="s">
        <v>830</v>
      </c>
      <c r="C342" s="163" t="s">
        <v>350</v>
      </c>
      <c r="D342" s="77" t="s">
        <v>161</v>
      </c>
      <c r="E342" s="210"/>
      <c r="F342" s="78"/>
      <c r="G342" s="102">
        <f t="shared" si="17"/>
        <v>0</v>
      </c>
    </row>
    <row r="343" spans="1:7" s="21" customFormat="1" ht="16" thickBot="1">
      <c r="A343" s="22"/>
      <c r="B343" s="123"/>
      <c r="C343" s="23" t="s">
        <v>1650</v>
      </c>
      <c r="D343" s="43"/>
      <c r="E343" s="59">
        <f>IF(SUM(E344:E349)&gt;0,1,"")</f>
        <v>1</v>
      </c>
      <c r="F343" s="60"/>
      <c r="G343" s="61"/>
    </row>
    <row r="344" spans="1:7" s="21" customFormat="1" ht="15.5">
      <c r="A344" s="22"/>
      <c r="B344" s="127">
        <v>30901.01</v>
      </c>
      <c r="C344" s="159" t="s">
        <v>402</v>
      </c>
      <c r="D344" s="62" t="s">
        <v>147</v>
      </c>
      <c r="E344" s="245">
        <v>1</v>
      </c>
      <c r="F344" s="63"/>
      <c r="G344" s="103">
        <f t="shared" ref="G344:G349" si="18">E344*F344</f>
        <v>0</v>
      </c>
    </row>
    <row r="345" spans="1:7" s="21" customFormat="1" ht="15.5">
      <c r="A345" s="22"/>
      <c r="B345" s="124">
        <v>30902.01</v>
      </c>
      <c r="C345" s="156" t="s">
        <v>403</v>
      </c>
      <c r="D345" s="25" t="s">
        <v>147</v>
      </c>
      <c r="E345" s="234">
        <v>1</v>
      </c>
      <c r="F345" s="67"/>
      <c r="G345" s="81">
        <f t="shared" si="18"/>
        <v>0</v>
      </c>
    </row>
    <row r="346" spans="1:7" s="21" customFormat="1" ht="15.5">
      <c r="A346" s="22"/>
      <c r="B346" s="124">
        <v>30903.01</v>
      </c>
      <c r="C346" s="156" t="s">
        <v>404</v>
      </c>
      <c r="D346" s="25" t="s">
        <v>147</v>
      </c>
      <c r="E346" s="234">
        <v>1</v>
      </c>
      <c r="F346" s="67"/>
      <c r="G346" s="81">
        <f t="shared" si="18"/>
        <v>0</v>
      </c>
    </row>
    <row r="347" spans="1:7" s="21" customFormat="1" ht="15.5">
      <c r="A347" s="22"/>
      <c r="B347" s="124">
        <v>30904.01</v>
      </c>
      <c r="C347" s="156" t="s">
        <v>405</v>
      </c>
      <c r="D347" s="25" t="s">
        <v>147</v>
      </c>
      <c r="E347" s="234"/>
      <c r="F347" s="67"/>
      <c r="G347" s="81">
        <f t="shared" si="18"/>
        <v>0</v>
      </c>
    </row>
    <row r="348" spans="1:7" s="21" customFormat="1" ht="15.5">
      <c r="A348" s="22"/>
      <c r="B348" s="124">
        <v>30905.01</v>
      </c>
      <c r="C348" s="156" t="s">
        <v>406</v>
      </c>
      <c r="D348" s="25" t="s">
        <v>147</v>
      </c>
      <c r="E348" s="234"/>
      <c r="F348" s="67"/>
      <c r="G348" s="81">
        <f t="shared" si="18"/>
        <v>0</v>
      </c>
    </row>
    <row r="349" spans="1:7" s="21" customFormat="1" ht="16" thickBot="1">
      <c r="A349" s="22"/>
      <c r="B349" s="125">
        <v>30906.01</v>
      </c>
      <c r="C349" s="157" t="s">
        <v>407</v>
      </c>
      <c r="D349" s="104" t="s">
        <v>145</v>
      </c>
      <c r="E349" s="194">
        <v>1</v>
      </c>
      <c r="F349" s="105"/>
      <c r="G349" s="106">
        <f t="shared" si="18"/>
        <v>0</v>
      </c>
    </row>
    <row r="350" spans="1:7" s="21" customFormat="1" ht="16" thickBot="1">
      <c r="A350" s="22"/>
      <c r="B350" s="123"/>
      <c r="C350" s="23" t="s">
        <v>983</v>
      </c>
      <c r="D350" s="43"/>
      <c r="E350" s="59">
        <f>IF(SUM(E351:E431)&gt;0,1,"")</f>
        <v>1</v>
      </c>
      <c r="F350" s="60"/>
      <c r="G350" s="61"/>
    </row>
    <row r="351" spans="1:7" s="21" customFormat="1" ht="16" thickBot="1">
      <c r="A351" s="22"/>
      <c r="B351" s="123"/>
      <c r="C351" s="23" t="s">
        <v>1651</v>
      </c>
      <c r="D351" s="43"/>
      <c r="E351" s="59">
        <f>IF(SUM(E352:E363)&gt;0,1,"")</f>
        <v>1</v>
      </c>
      <c r="F351" s="60"/>
      <c r="G351" s="61"/>
    </row>
    <row r="352" spans="1:7" s="21" customFormat="1" ht="15.5">
      <c r="A352" s="22"/>
      <c r="B352" s="124">
        <v>32001.01</v>
      </c>
      <c r="C352" s="156" t="s">
        <v>59</v>
      </c>
      <c r="D352" s="25" t="s">
        <v>151</v>
      </c>
      <c r="E352" s="234">
        <f>ROUNDUP(543+22+885+365,0)+185</f>
        <v>2000</v>
      </c>
      <c r="F352" s="67"/>
      <c r="G352" s="81">
        <f t="shared" ref="G352:G363" si="19">E352*F352</f>
        <v>0</v>
      </c>
    </row>
    <row r="353" spans="1:7" s="21" customFormat="1" ht="15.5">
      <c r="A353" s="22"/>
      <c r="B353" s="124">
        <v>32002.01</v>
      </c>
      <c r="C353" s="156" t="s">
        <v>58</v>
      </c>
      <c r="D353" s="25" t="s">
        <v>151</v>
      </c>
      <c r="E353" s="234">
        <f>ROUNDUP(218+252,0)+55</f>
        <v>525</v>
      </c>
      <c r="F353" s="67"/>
      <c r="G353" s="81">
        <f t="shared" si="19"/>
        <v>0</v>
      </c>
    </row>
    <row r="354" spans="1:7" s="21" customFormat="1" ht="15.5">
      <c r="A354" s="22"/>
      <c r="B354" s="124" t="s">
        <v>690</v>
      </c>
      <c r="C354" s="156" t="s">
        <v>408</v>
      </c>
      <c r="D354" s="25" t="s">
        <v>148</v>
      </c>
      <c r="E354" s="234">
        <f>ROUNDUP((E352+E353)*0.15,0)+1</f>
        <v>380</v>
      </c>
      <c r="F354" s="67"/>
      <c r="G354" s="81">
        <f t="shared" si="19"/>
        <v>0</v>
      </c>
    </row>
    <row r="355" spans="1:7" s="21" customFormat="1" ht="15.5">
      <c r="A355" s="22"/>
      <c r="B355" s="124">
        <v>32007.01</v>
      </c>
      <c r="C355" s="156" t="s">
        <v>57</v>
      </c>
      <c r="D355" s="25" t="s">
        <v>151</v>
      </c>
      <c r="E355" s="234">
        <v>1200</v>
      </c>
      <c r="F355" s="67"/>
      <c r="G355" s="81">
        <f t="shared" si="19"/>
        <v>0</v>
      </c>
    </row>
    <row r="356" spans="1:7" s="21" customFormat="1" ht="15.5">
      <c r="A356" s="22"/>
      <c r="B356" s="124" t="s">
        <v>2062</v>
      </c>
      <c r="C356" s="156" t="s">
        <v>56</v>
      </c>
      <c r="D356" s="25" t="s">
        <v>151</v>
      </c>
      <c r="E356" s="234"/>
      <c r="F356" s="67"/>
      <c r="G356" s="81">
        <f t="shared" si="19"/>
        <v>0</v>
      </c>
    </row>
    <row r="357" spans="1:7" s="21" customFormat="1" ht="15.5">
      <c r="A357" s="22"/>
      <c r="B357" s="124">
        <v>32009.01</v>
      </c>
      <c r="C357" s="156" t="s">
        <v>55</v>
      </c>
      <c r="D357" s="25" t="s">
        <v>148</v>
      </c>
      <c r="E357" s="234"/>
      <c r="F357" s="67"/>
      <c r="G357" s="81">
        <f t="shared" si="19"/>
        <v>0</v>
      </c>
    </row>
    <row r="358" spans="1:7" s="21" customFormat="1" ht="31">
      <c r="A358" s="22"/>
      <c r="B358" s="124" t="s">
        <v>691</v>
      </c>
      <c r="C358" s="156" t="s">
        <v>409</v>
      </c>
      <c r="D358" s="25" t="s">
        <v>148</v>
      </c>
      <c r="E358" s="234"/>
      <c r="F358" s="67"/>
      <c r="G358" s="81">
        <f t="shared" si="19"/>
        <v>0</v>
      </c>
    </row>
    <row r="359" spans="1:7" s="21" customFormat="1" ht="31">
      <c r="A359" s="22"/>
      <c r="B359" s="124" t="s">
        <v>692</v>
      </c>
      <c r="C359" s="156" t="s">
        <v>490</v>
      </c>
      <c r="D359" s="25" t="s">
        <v>148</v>
      </c>
      <c r="E359" s="234">
        <v>10</v>
      </c>
      <c r="F359" s="67"/>
      <c r="G359" s="81">
        <f t="shared" si="19"/>
        <v>0</v>
      </c>
    </row>
    <row r="360" spans="1:7" s="21" customFormat="1" ht="31">
      <c r="A360" s="22"/>
      <c r="B360" s="124" t="s">
        <v>693</v>
      </c>
      <c r="C360" s="156" t="s">
        <v>491</v>
      </c>
      <c r="D360" s="25" t="s">
        <v>148</v>
      </c>
      <c r="E360" s="234">
        <v>20</v>
      </c>
      <c r="F360" s="67"/>
      <c r="G360" s="81">
        <f t="shared" si="19"/>
        <v>0</v>
      </c>
    </row>
    <row r="361" spans="1:7" s="21" customFormat="1" ht="15.5">
      <c r="A361" s="22"/>
      <c r="B361" s="124" t="s">
        <v>694</v>
      </c>
      <c r="C361" s="156" t="s">
        <v>410</v>
      </c>
      <c r="D361" s="25" t="s">
        <v>149</v>
      </c>
      <c r="E361" s="234"/>
      <c r="F361" s="67"/>
      <c r="G361" s="81">
        <f t="shared" si="19"/>
        <v>0</v>
      </c>
    </row>
    <row r="362" spans="1:7" s="21" customFormat="1" ht="31">
      <c r="A362" s="22"/>
      <c r="B362" s="124" t="s">
        <v>695</v>
      </c>
      <c r="C362" s="156" t="s">
        <v>411</v>
      </c>
      <c r="D362" s="25" t="s">
        <v>412</v>
      </c>
      <c r="E362" s="234"/>
      <c r="F362" s="67"/>
      <c r="G362" s="81">
        <f t="shared" si="19"/>
        <v>0</v>
      </c>
    </row>
    <row r="363" spans="1:7" s="21" customFormat="1" ht="31.5" thickBot="1">
      <c r="A363" s="22"/>
      <c r="B363" s="125" t="s">
        <v>696</v>
      </c>
      <c r="C363" s="157" t="s">
        <v>492</v>
      </c>
      <c r="D363" s="104" t="s">
        <v>413</v>
      </c>
      <c r="E363" s="194"/>
      <c r="F363" s="105"/>
      <c r="G363" s="106">
        <f t="shared" si="19"/>
        <v>0</v>
      </c>
    </row>
    <row r="364" spans="1:7" s="21" customFormat="1" ht="16" thickBot="1">
      <c r="A364" s="22"/>
      <c r="B364" s="123"/>
      <c r="C364" s="23" t="s">
        <v>1652</v>
      </c>
      <c r="D364" s="43"/>
      <c r="E364" s="59">
        <f>IF(SUM(E365:E379)&gt;0,1,"")</f>
        <v>1</v>
      </c>
      <c r="F364" s="60"/>
      <c r="G364" s="61"/>
    </row>
    <row r="365" spans="1:7" s="21" customFormat="1" ht="15.5">
      <c r="A365" s="22"/>
      <c r="B365" s="127" t="s">
        <v>1738</v>
      </c>
      <c r="C365" s="159" t="s">
        <v>2190</v>
      </c>
      <c r="D365" s="62" t="s">
        <v>148</v>
      </c>
      <c r="E365" s="245">
        <v>105</v>
      </c>
      <c r="F365" s="63"/>
      <c r="G365" s="103">
        <f>E365*F365</f>
        <v>0</v>
      </c>
    </row>
    <row r="366" spans="1:7" s="21" customFormat="1" ht="15.5">
      <c r="A366" s="22"/>
      <c r="B366" s="124">
        <v>32102.01</v>
      </c>
      <c r="C366" s="156" t="s">
        <v>54</v>
      </c>
      <c r="D366" s="25" t="s">
        <v>148</v>
      </c>
      <c r="E366" s="234"/>
      <c r="F366" s="67"/>
      <c r="G366" s="81">
        <f>E366*F366</f>
        <v>0</v>
      </c>
    </row>
    <row r="367" spans="1:7" s="21" customFormat="1" ht="31">
      <c r="A367" s="22"/>
      <c r="B367" s="124">
        <v>32103.01</v>
      </c>
      <c r="C367" s="156" t="s">
        <v>1123</v>
      </c>
      <c r="D367" s="25" t="s">
        <v>148</v>
      </c>
      <c r="E367" s="234"/>
      <c r="F367" s="67"/>
      <c r="G367" s="81">
        <f>E367*F367</f>
        <v>0</v>
      </c>
    </row>
    <row r="368" spans="1:7" s="21" customFormat="1" ht="31">
      <c r="A368" s="22"/>
      <c r="B368" s="124" t="s">
        <v>2121</v>
      </c>
      <c r="C368" s="156" t="s">
        <v>2134</v>
      </c>
      <c r="D368" s="25" t="s">
        <v>148</v>
      </c>
      <c r="E368" s="234">
        <v>110</v>
      </c>
      <c r="F368" s="67"/>
      <c r="G368" s="81">
        <f>E368*F368</f>
        <v>0</v>
      </c>
    </row>
    <row r="369" spans="1:7" s="21" customFormat="1" ht="31">
      <c r="A369" s="22"/>
      <c r="B369" s="124" t="s">
        <v>2048</v>
      </c>
      <c r="C369" s="156" t="s">
        <v>2135</v>
      </c>
      <c r="D369" s="25" t="s">
        <v>148</v>
      </c>
      <c r="E369" s="234">
        <v>275</v>
      </c>
      <c r="F369" s="67"/>
      <c r="G369" s="81">
        <f>E369*F369</f>
        <v>0</v>
      </c>
    </row>
    <row r="370" spans="1:7" s="21" customFormat="1" ht="15.5">
      <c r="A370" s="22"/>
      <c r="B370" s="124">
        <v>32105.01</v>
      </c>
      <c r="C370" s="156" t="s">
        <v>53</v>
      </c>
      <c r="D370" s="25" t="s">
        <v>148</v>
      </c>
      <c r="E370" s="234"/>
      <c r="F370" s="67"/>
      <c r="G370" s="81">
        <f t="shared" ref="G370:G379" si="20">E370*F370</f>
        <v>0</v>
      </c>
    </row>
    <row r="371" spans="1:7" s="21" customFormat="1" ht="15.5">
      <c r="A371" s="22"/>
      <c r="B371" s="124">
        <v>32106.01</v>
      </c>
      <c r="C371" s="156" t="s">
        <v>52</v>
      </c>
      <c r="D371" s="25" t="s">
        <v>148</v>
      </c>
      <c r="E371" s="234"/>
      <c r="F371" s="67"/>
      <c r="G371" s="81">
        <f t="shared" si="20"/>
        <v>0</v>
      </c>
    </row>
    <row r="372" spans="1:7" s="21" customFormat="1" ht="15.5">
      <c r="A372" s="22"/>
      <c r="B372" s="124">
        <v>32107.01</v>
      </c>
      <c r="C372" s="156" t="s">
        <v>51</v>
      </c>
      <c r="D372" s="25" t="s">
        <v>148</v>
      </c>
      <c r="E372" s="234"/>
      <c r="F372" s="67"/>
      <c r="G372" s="81">
        <f t="shared" si="20"/>
        <v>0</v>
      </c>
    </row>
    <row r="373" spans="1:7" s="21" customFormat="1" ht="15.5">
      <c r="A373" s="22"/>
      <c r="B373" s="124" t="s">
        <v>2063</v>
      </c>
      <c r="C373" s="156" t="s">
        <v>2191</v>
      </c>
      <c r="D373" s="25" t="s">
        <v>148</v>
      </c>
      <c r="E373" s="234"/>
      <c r="F373" s="67"/>
      <c r="G373" s="81">
        <f t="shared" si="20"/>
        <v>0</v>
      </c>
    </row>
    <row r="374" spans="1:7" s="21" customFormat="1" ht="31">
      <c r="A374" s="22"/>
      <c r="B374" s="124" t="s">
        <v>697</v>
      </c>
      <c r="C374" s="156" t="s">
        <v>493</v>
      </c>
      <c r="D374" s="25" t="s">
        <v>148</v>
      </c>
      <c r="E374" s="234">
        <v>10</v>
      </c>
      <c r="F374" s="67"/>
      <c r="G374" s="81">
        <f t="shared" si="20"/>
        <v>0</v>
      </c>
    </row>
    <row r="375" spans="1:7" s="21" customFormat="1" ht="31">
      <c r="A375" s="22"/>
      <c r="B375" s="124" t="s">
        <v>698</v>
      </c>
      <c r="C375" s="156" t="s">
        <v>494</v>
      </c>
      <c r="D375" s="25" t="s">
        <v>148</v>
      </c>
      <c r="E375" s="234"/>
      <c r="F375" s="67"/>
      <c r="G375" s="81">
        <f t="shared" si="20"/>
        <v>0</v>
      </c>
    </row>
    <row r="376" spans="1:7" s="21" customFormat="1" ht="15.5">
      <c r="A376" s="22"/>
      <c r="B376" s="124">
        <v>32117.01</v>
      </c>
      <c r="C376" s="156" t="s">
        <v>50</v>
      </c>
      <c r="D376" s="25" t="s">
        <v>151</v>
      </c>
      <c r="E376" s="234"/>
      <c r="F376" s="67"/>
      <c r="G376" s="81">
        <f t="shared" si="20"/>
        <v>0</v>
      </c>
    </row>
    <row r="377" spans="1:7" s="21" customFormat="1" ht="31">
      <c r="A377" s="22"/>
      <c r="B377" s="124" t="s">
        <v>699</v>
      </c>
      <c r="C377" s="156" t="s">
        <v>414</v>
      </c>
      <c r="D377" s="25" t="s">
        <v>148</v>
      </c>
      <c r="E377" s="234"/>
      <c r="F377" s="67"/>
      <c r="G377" s="81">
        <f t="shared" si="20"/>
        <v>0</v>
      </c>
    </row>
    <row r="378" spans="1:7" s="21" customFormat="1" ht="46.5">
      <c r="A378" s="22"/>
      <c r="B378" s="124" t="s">
        <v>700</v>
      </c>
      <c r="C378" s="156" t="s">
        <v>495</v>
      </c>
      <c r="D378" s="25" t="s">
        <v>148</v>
      </c>
      <c r="E378" s="234"/>
      <c r="F378" s="67"/>
      <c r="G378" s="81">
        <f t="shared" si="20"/>
        <v>0</v>
      </c>
    </row>
    <row r="379" spans="1:7" s="21" customFormat="1" ht="16" thickBot="1">
      <c r="A379" s="22"/>
      <c r="B379" s="125">
        <v>32126.01</v>
      </c>
      <c r="C379" s="157" t="s">
        <v>1739</v>
      </c>
      <c r="D379" s="104" t="s">
        <v>151</v>
      </c>
      <c r="E379" s="194">
        <v>500</v>
      </c>
      <c r="F379" s="105"/>
      <c r="G379" s="106">
        <f t="shared" si="20"/>
        <v>0</v>
      </c>
    </row>
    <row r="380" spans="1:7" s="21" customFormat="1" ht="16" thickBot="1">
      <c r="A380" s="22"/>
      <c r="B380" s="123"/>
      <c r="C380" s="23" t="s">
        <v>1653</v>
      </c>
      <c r="D380" s="23"/>
      <c r="E380" s="59" t="str">
        <f>IF(SUM(E381:E387)&gt;0,1,"")</f>
        <v/>
      </c>
      <c r="F380" s="60"/>
      <c r="G380" s="61"/>
    </row>
    <row r="381" spans="1:7" s="21" customFormat="1" ht="15.5">
      <c r="A381" s="22"/>
      <c r="B381" s="127">
        <v>32201.01</v>
      </c>
      <c r="C381" s="159" t="s">
        <v>415</v>
      </c>
      <c r="D381" s="62" t="s">
        <v>148</v>
      </c>
      <c r="E381" s="245"/>
      <c r="F381" s="63"/>
      <c r="G381" s="103">
        <f t="shared" ref="G381:G387" si="21">E381*F381</f>
        <v>0</v>
      </c>
    </row>
    <row r="382" spans="1:7" s="21" customFormat="1" ht="31">
      <c r="A382" s="22"/>
      <c r="B382" s="124">
        <v>32202.01</v>
      </c>
      <c r="C382" s="156" t="s">
        <v>496</v>
      </c>
      <c r="D382" s="25" t="s">
        <v>148</v>
      </c>
      <c r="E382" s="234"/>
      <c r="F382" s="67"/>
      <c r="G382" s="81">
        <f t="shared" si="21"/>
        <v>0</v>
      </c>
    </row>
    <row r="383" spans="1:7" s="21" customFormat="1" ht="15.5">
      <c r="A383" s="22"/>
      <c r="B383" s="124">
        <v>32203.01</v>
      </c>
      <c r="C383" s="156" t="s">
        <v>1171</v>
      </c>
      <c r="D383" s="25" t="s">
        <v>148</v>
      </c>
      <c r="E383" s="234"/>
      <c r="F383" s="67"/>
      <c r="G383" s="81">
        <f t="shared" si="21"/>
        <v>0</v>
      </c>
    </row>
    <row r="384" spans="1:7" s="21" customFormat="1" ht="31">
      <c r="A384" s="22"/>
      <c r="B384" s="124">
        <v>32204.01</v>
      </c>
      <c r="C384" s="156" t="s">
        <v>1172</v>
      </c>
      <c r="D384" s="25" t="s">
        <v>151</v>
      </c>
      <c r="E384" s="234"/>
      <c r="F384" s="67"/>
      <c r="G384" s="81">
        <f t="shared" si="21"/>
        <v>0</v>
      </c>
    </row>
    <row r="385" spans="1:7" s="21" customFormat="1" ht="15.5">
      <c r="A385" s="22"/>
      <c r="B385" s="124">
        <v>32205.01</v>
      </c>
      <c r="C385" s="156" t="s">
        <v>416</v>
      </c>
      <c r="D385" s="25" t="s">
        <v>151</v>
      </c>
      <c r="E385" s="234"/>
      <c r="F385" s="67"/>
      <c r="G385" s="81">
        <f t="shared" si="21"/>
        <v>0</v>
      </c>
    </row>
    <row r="386" spans="1:7" s="21" customFormat="1" ht="46.5">
      <c r="A386" s="22"/>
      <c r="B386" s="124" t="s">
        <v>701</v>
      </c>
      <c r="C386" s="156" t="s">
        <v>497</v>
      </c>
      <c r="D386" s="25" t="s">
        <v>148</v>
      </c>
      <c r="E386" s="234"/>
      <c r="F386" s="67"/>
      <c r="G386" s="81">
        <f t="shared" si="21"/>
        <v>0</v>
      </c>
    </row>
    <row r="387" spans="1:7" s="21" customFormat="1" ht="16" thickBot="1">
      <c r="A387" s="22"/>
      <c r="B387" s="125" t="s">
        <v>2050</v>
      </c>
      <c r="C387" s="157" t="s">
        <v>417</v>
      </c>
      <c r="D387" s="104" t="s">
        <v>148</v>
      </c>
      <c r="E387" s="194"/>
      <c r="F387" s="105"/>
      <c r="G387" s="106">
        <f t="shared" si="21"/>
        <v>0</v>
      </c>
    </row>
    <row r="388" spans="1:7" s="21" customFormat="1" ht="31.5" thickBot="1">
      <c r="A388" s="22"/>
      <c r="B388" s="123"/>
      <c r="C388" s="23" t="s">
        <v>1654</v>
      </c>
      <c r="D388" s="43"/>
      <c r="E388" s="59">
        <f>IF(SUM(E389:E406)&gt;0,1,"")</f>
        <v>1</v>
      </c>
      <c r="F388" s="60"/>
      <c r="G388" s="61"/>
    </row>
    <row r="389" spans="1:7" s="21" customFormat="1" ht="15.5">
      <c r="A389" s="22"/>
      <c r="B389" s="127">
        <v>32301.01</v>
      </c>
      <c r="C389" s="159" t="s">
        <v>418</v>
      </c>
      <c r="D389" s="62" t="s">
        <v>145</v>
      </c>
      <c r="E389" s="245">
        <v>1</v>
      </c>
      <c r="F389" s="63"/>
      <c r="G389" s="103">
        <f t="shared" ref="G389:G406" si="22">E389*F389</f>
        <v>0</v>
      </c>
    </row>
    <row r="390" spans="1:7" s="21" customFormat="1" ht="31">
      <c r="A390" s="22"/>
      <c r="B390" s="124" t="s">
        <v>702</v>
      </c>
      <c r="C390" s="156" t="s">
        <v>2141</v>
      </c>
      <c r="D390" s="25" t="s">
        <v>412</v>
      </c>
      <c r="E390" s="234">
        <v>25</v>
      </c>
      <c r="F390" s="67"/>
      <c r="G390" s="81">
        <f t="shared" si="22"/>
        <v>0</v>
      </c>
    </row>
    <row r="391" spans="1:7" s="21" customFormat="1" ht="31">
      <c r="A391" s="22"/>
      <c r="B391" s="124" t="s">
        <v>2140</v>
      </c>
      <c r="C391" s="156" t="s">
        <v>2142</v>
      </c>
      <c r="D391" s="25" t="s">
        <v>412</v>
      </c>
      <c r="E391" s="234">
        <v>5</v>
      </c>
      <c r="F391" s="67"/>
      <c r="G391" s="81">
        <f t="shared" si="22"/>
        <v>0</v>
      </c>
    </row>
    <row r="392" spans="1:7" s="21" customFormat="1" ht="15.5">
      <c r="A392" s="22"/>
      <c r="B392" s="124" t="s">
        <v>703</v>
      </c>
      <c r="C392" s="156" t="s">
        <v>498</v>
      </c>
      <c r="D392" s="25" t="s">
        <v>151</v>
      </c>
      <c r="E392" s="234">
        <v>570</v>
      </c>
      <c r="F392" s="67"/>
      <c r="G392" s="81">
        <f t="shared" si="22"/>
        <v>0</v>
      </c>
    </row>
    <row r="393" spans="1:7" s="21" customFormat="1" ht="31">
      <c r="A393" s="22"/>
      <c r="B393" s="124" t="s">
        <v>704</v>
      </c>
      <c r="C393" s="156" t="s">
        <v>499</v>
      </c>
      <c r="D393" s="25" t="s">
        <v>148</v>
      </c>
      <c r="E393" s="234"/>
      <c r="F393" s="67"/>
      <c r="G393" s="81">
        <f t="shared" si="22"/>
        <v>0</v>
      </c>
    </row>
    <row r="394" spans="1:7" s="21" customFormat="1" ht="31">
      <c r="A394" s="22"/>
      <c r="B394" s="124" t="s">
        <v>705</v>
      </c>
      <c r="C394" s="156" t="s">
        <v>500</v>
      </c>
      <c r="D394" s="25" t="s">
        <v>148</v>
      </c>
      <c r="E394" s="234">
        <v>60</v>
      </c>
      <c r="F394" s="67"/>
      <c r="G394" s="81">
        <f t="shared" si="22"/>
        <v>0</v>
      </c>
    </row>
    <row r="395" spans="1:7" s="21" customFormat="1" ht="31">
      <c r="A395" s="22"/>
      <c r="B395" s="124" t="s">
        <v>706</v>
      </c>
      <c r="C395" s="156" t="s">
        <v>501</v>
      </c>
      <c r="D395" s="25" t="s">
        <v>148</v>
      </c>
      <c r="E395" s="234"/>
      <c r="F395" s="67"/>
      <c r="G395" s="81">
        <f t="shared" si="22"/>
        <v>0</v>
      </c>
    </row>
    <row r="396" spans="1:7" s="21" customFormat="1" ht="31">
      <c r="A396" s="22"/>
      <c r="B396" s="124" t="s">
        <v>707</v>
      </c>
      <c r="C396" s="156" t="s">
        <v>502</v>
      </c>
      <c r="D396" s="25" t="s">
        <v>148</v>
      </c>
      <c r="E396" s="234"/>
      <c r="F396" s="67"/>
      <c r="G396" s="81">
        <f t="shared" si="22"/>
        <v>0</v>
      </c>
    </row>
    <row r="397" spans="1:7" s="21" customFormat="1" ht="31">
      <c r="A397" s="22"/>
      <c r="B397" s="124" t="s">
        <v>708</v>
      </c>
      <c r="C397" s="156" t="s">
        <v>503</v>
      </c>
      <c r="D397" s="25" t="s">
        <v>148</v>
      </c>
      <c r="E397" s="234"/>
      <c r="F397" s="67"/>
      <c r="G397" s="81">
        <f t="shared" si="22"/>
        <v>0</v>
      </c>
    </row>
    <row r="398" spans="1:7" s="21" customFormat="1" ht="31">
      <c r="A398" s="22"/>
      <c r="B398" s="124" t="s">
        <v>709</v>
      </c>
      <c r="C398" s="156" t="s">
        <v>419</v>
      </c>
      <c r="D398" s="25" t="s">
        <v>148</v>
      </c>
      <c r="E398" s="234"/>
      <c r="F398" s="67"/>
      <c r="G398" s="81">
        <f t="shared" si="22"/>
        <v>0</v>
      </c>
    </row>
    <row r="399" spans="1:7" s="21" customFormat="1" ht="31">
      <c r="A399" s="22"/>
      <c r="B399" s="124" t="s">
        <v>710</v>
      </c>
      <c r="C399" s="156" t="s">
        <v>504</v>
      </c>
      <c r="D399" s="25" t="s">
        <v>148</v>
      </c>
      <c r="E399" s="234"/>
      <c r="F399" s="67"/>
      <c r="G399" s="81">
        <f t="shared" si="22"/>
        <v>0</v>
      </c>
    </row>
    <row r="400" spans="1:7" s="21" customFormat="1" ht="31">
      <c r="A400" s="22"/>
      <c r="B400" s="124" t="s">
        <v>711</v>
      </c>
      <c r="C400" s="156" t="s">
        <v>505</v>
      </c>
      <c r="D400" s="25" t="s">
        <v>148</v>
      </c>
      <c r="E400" s="234"/>
      <c r="F400" s="67"/>
      <c r="G400" s="81">
        <f t="shared" si="22"/>
        <v>0</v>
      </c>
    </row>
    <row r="401" spans="1:7" s="21" customFormat="1" ht="31">
      <c r="A401" s="22"/>
      <c r="B401" s="124" t="s">
        <v>712</v>
      </c>
      <c r="C401" s="156" t="s">
        <v>420</v>
      </c>
      <c r="D401" s="25" t="s">
        <v>148</v>
      </c>
      <c r="E401" s="234"/>
      <c r="F401" s="67"/>
      <c r="G401" s="81">
        <f t="shared" si="22"/>
        <v>0</v>
      </c>
    </row>
    <row r="402" spans="1:7" s="21" customFormat="1" ht="31">
      <c r="A402" s="22"/>
      <c r="B402" s="124" t="s">
        <v>713</v>
      </c>
      <c r="C402" s="156" t="s">
        <v>421</v>
      </c>
      <c r="D402" s="25" t="s">
        <v>148</v>
      </c>
      <c r="E402" s="234"/>
      <c r="F402" s="67"/>
      <c r="G402" s="81">
        <f t="shared" si="22"/>
        <v>0</v>
      </c>
    </row>
    <row r="403" spans="1:7" s="21" customFormat="1" ht="31">
      <c r="A403" s="22"/>
      <c r="B403" s="124" t="s">
        <v>714</v>
      </c>
      <c r="C403" s="156" t="s">
        <v>1632</v>
      </c>
      <c r="D403" s="25" t="s">
        <v>148</v>
      </c>
      <c r="E403" s="234"/>
      <c r="F403" s="67"/>
      <c r="G403" s="81">
        <f t="shared" si="22"/>
        <v>0</v>
      </c>
    </row>
    <row r="404" spans="1:7" s="21" customFormat="1" ht="31">
      <c r="A404" s="22"/>
      <c r="B404" s="124" t="s">
        <v>715</v>
      </c>
      <c r="C404" s="156" t="s">
        <v>506</v>
      </c>
      <c r="D404" s="25" t="s">
        <v>148</v>
      </c>
      <c r="E404" s="234"/>
      <c r="F404" s="67"/>
      <c r="G404" s="81">
        <f t="shared" si="22"/>
        <v>0</v>
      </c>
    </row>
    <row r="405" spans="1:7" s="21" customFormat="1" ht="15.5">
      <c r="A405" s="22"/>
      <c r="B405" s="124" t="s">
        <v>716</v>
      </c>
      <c r="C405" s="156" t="s">
        <v>422</v>
      </c>
      <c r="D405" s="25" t="s">
        <v>149</v>
      </c>
      <c r="E405" s="234"/>
      <c r="F405" s="67"/>
      <c r="G405" s="81">
        <f t="shared" si="22"/>
        <v>0</v>
      </c>
    </row>
    <row r="406" spans="1:7" s="21" customFormat="1" ht="31.5" thickBot="1">
      <c r="A406" s="22"/>
      <c r="B406" s="125" t="s">
        <v>717</v>
      </c>
      <c r="C406" s="157" t="s">
        <v>507</v>
      </c>
      <c r="D406" s="104" t="s">
        <v>149</v>
      </c>
      <c r="E406" s="194"/>
      <c r="F406" s="105"/>
      <c r="G406" s="106">
        <f t="shared" si="22"/>
        <v>0</v>
      </c>
    </row>
    <row r="407" spans="1:7" s="21" customFormat="1" ht="16" thickBot="1">
      <c r="A407" s="22"/>
      <c r="B407" s="123"/>
      <c r="C407" s="23" t="s">
        <v>1655</v>
      </c>
      <c r="D407" s="43"/>
      <c r="E407" s="59">
        <f>IF(SUM(E408:E424)&gt;0,1,"")</f>
        <v>1</v>
      </c>
      <c r="F407" s="60"/>
      <c r="G407" s="61"/>
    </row>
    <row r="408" spans="1:7" s="21" customFormat="1" ht="31">
      <c r="A408" s="22"/>
      <c r="B408" s="127">
        <v>32401.01</v>
      </c>
      <c r="C408" s="159" t="s">
        <v>1869</v>
      </c>
      <c r="D408" s="62" t="s">
        <v>148</v>
      </c>
      <c r="E408" s="245">
        <v>200</v>
      </c>
      <c r="F408" s="63"/>
      <c r="G408" s="103">
        <f t="shared" ref="G408:G424" si="23">E408*F408</f>
        <v>0</v>
      </c>
    </row>
    <row r="409" spans="1:7" s="21" customFormat="1" ht="31">
      <c r="A409" s="22"/>
      <c r="B409" s="124">
        <v>32401.02</v>
      </c>
      <c r="C409" s="156" t="s">
        <v>1949</v>
      </c>
      <c r="D409" s="25" t="s">
        <v>148</v>
      </c>
      <c r="E409" s="234">
        <v>165</v>
      </c>
      <c r="F409" s="67"/>
      <c r="G409" s="81">
        <f t="shared" si="23"/>
        <v>0</v>
      </c>
    </row>
    <row r="410" spans="1:7" s="21" customFormat="1" ht="15.5">
      <c r="A410" s="22"/>
      <c r="B410" s="124">
        <v>32402.01</v>
      </c>
      <c r="C410" s="156" t="s">
        <v>1173</v>
      </c>
      <c r="D410" s="25" t="s">
        <v>148</v>
      </c>
      <c r="E410" s="234"/>
      <c r="F410" s="67"/>
      <c r="G410" s="190">
        <f t="shared" si="23"/>
        <v>0</v>
      </c>
    </row>
    <row r="411" spans="1:7" s="21" customFormat="1" ht="31">
      <c r="A411" s="22"/>
      <c r="B411" s="124" t="s">
        <v>2047</v>
      </c>
      <c r="C411" s="156" t="s">
        <v>2151</v>
      </c>
      <c r="D411" s="25" t="s">
        <v>148</v>
      </c>
      <c r="E411" s="234">
        <v>2400</v>
      </c>
      <c r="F411" s="67"/>
      <c r="G411" s="190">
        <f t="shared" si="23"/>
        <v>0</v>
      </c>
    </row>
    <row r="412" spans="1:7" s="21" customFormat="1" ht="15.5">
      <c r="A412" s="22"/>
      <c r="B412" s="124">
        <v>32404.01</v>
      </c>
      <c r="C412" s="156" t="s">
        <v>1741</v>
      </c>
      <c r="D412" s="25" t="s">
        <v>148</v>
      </c>
      <c r="E412" s="234">
        <v>120</v>
      </c>
      <c r="F412" s="67"/>
      <c r="G412" s="190">
        <f t="shared" si="23"/>
        <v>0</v>
      </c>
    </row>
    <row r="413" spans="1:7" s="21" customFormat="1" ht="15.5">
      <c r="A413" s="22"/>
      <c r="B413" s="236" t="s">
        <v>1740</v>
      </c>
      <c r="C413" s="156" t="s">
        <v>1873</v>
      </c>
      <c r="D413" s="25"/>
      <c r="E413" s="234">
        <v>18</v>
      </c>
      <c r="F413" s="67"/>
      <c r="G413" s="190">
        <f t="shared" si="23"/>
        <v>0</v>
      </c>
    </row>
    <row r="414" spans="1:7" s="21" customFormat="1" ht="15.5">
      <c r="A414" s="22"/>
      <c r="B414" s="124">
        <v>32405.01</v>
      </c>
      <c r="C414" s="156" t="s">
        <v>1174</v>
      </c>
      <c r="D414" s="25" t="s">
        <v>148</v>
      </c>
      <c r="E414" s="234"/>
      <c r="F414" s="67"/>
      <c r="G414" s="81">
        <f t="shared" si="23"/>
        <v>0</v>
      </c>
    </row>
    <row r="415" spans="1:7" s="21" customFormat="1" ht="15.5">
      <c r="A415" s="22"/>
      <c r="B415" s="124">
        <v>32406.01</v>
      </c>
      <c r="C415" s="156" t="s">
        <v>1175</v>
      </c>
      <c r="D415" s="25" t="s">
        <v>148</v>
      </c>
      <c r="E415" s="234"/>
      <c r="F415" s="67"/>
      <c r="G415" s="81">
        <f t="shared" si="23"/>
        <v>0</v>
      </c>
    </row>
    <row r="416" spans="1:7" s="21" customFormat="1" ht="31">
      <c r="A416" s="22"/>
      <c r="B416" s="124" t="s">
        <v>1864</v>
      </c>
      <c r="C416" s="156" t="s">
        <v>1742</v>
      </c>
      <c r="D416" s="25" t="s">
        <v>148</v>
      </c>
      <c r="E416" s="234"/>
      <c r="F416" s="67"/>
      <c r="G416" s="81">
        <f t="shared" si="23"/>
        <v>0</v>
      </c>
    </row>
    <row r="417" spans="1:7" s="21" customFormat="1" ht="15.5">
      <c r="A417" s="22"/>
      <c r="B417" s="124">
        <v>32408.01</v>
      </c>
      <c r="C417" s="156" t="s">
        <v>1176</v>
      </c>
      <c r="D417" s="25" t="s">
        <v>148</v>
      </c>
      <c r="E417" s="234"/>
      <c r="F417" s="67"/>
      <c r="G417" s="81">
        <f t="shared" si="23"/>
        <v>0</v>
      </c>
    </row>
    <row r="418" spans="1:7" s="21" customFormat="1" ht="15.5">
      <c r="A418" s="22"/>
      <c r="B418" s="124">
        <v>32409.01</v>
      </c>
      <c r="C418" s="156" t="s">
        <v>1177</v>
      </c>
      <c r="D418" s="25" t="s">
        <v>148</v>
      </c>
      <c r="E418" s="234"/>
      <c r="F418" s="67"/>
      <c r="G418" s="81">
        <f t="shared" si="23"/>
        <v>0</v>
      </c>
    </row>
    <row r="419" spans="1:7" s="21" customFormat="1" ht="15.5">
      <c r="A419" s="22"/>
      <c r="B419" s="124">
        <v>32410.01</v>
      </c>
      <c r="C419" s="156" t="s">
        <v>1178</v>
      </c>
      <c r="D419" s="25" t="s">
        <v>148</v>
      </c>
      <c r="E419" s="234"/>
      <c r="F419" s="67"/>
      <c r="G419" s="81">
        <f t="shared" si="23"/>
        <v>0</v>
      </c>
    </row>
    <row r="420" spans="1:7" s="21" customFormat="1" ht="15.5">
      <c r="A420" s="22"/>
      <c r="B420" s="124">
        <v>32411.01</v>
      </c>
      <c r="C420" s="156" t="s">
        <v>1179</v>
      </c>
      <c r="D420" s="25" t="s">
        <v>148</v>
      </c>
      <c r="E420" s="234"/>
      <c r="F420" s="67"/>
      <c r="G420" s="81">
        <f t="shared" si="23"/>
        <v>0</v>
      </c>
    </row>
    <row r="421" spans="1:7" s="21" customFormat="1" ht="15.5">
      <c r="A421" s="22"/>
      <c r="B421" s="124">
        <v>32412.01</v>
      </c>
      <c r="C421" s="156" t="s">
        <v>1180</v>
      </c>
      <c r="D421" s="25" t="s">
        <v>148</v>
      </c>
      <c r="E421" s="234"/>
      <c r="F421" s="67"/>
      <c r="G421" s="81">
        <f t="shared" si="23"/>
        <v>0</v>
      </c>
    </row>
    <row r="422" spans="1:7" s="231" customFormat="1" ht="15.5">
      <c r="A422" s="230"/>
      <c r="B422" s="124">
        <v>32413.01</v>
      </c>
      <c r="C422" s="156" t="s">
        <v>1743</v>
      </c>
      <c r="D422" s="25" t="s">
        <v>148</v>
      </c>
      <c r="E422" s="234">
        <v>107</v>
      </c>
      <c r="F422" s="67"/>
      <c r="G422" s="81">
        <f t="shared" si="23"/>
        <v>0</v>
      </c>
    </row>
    <row r="423" spans="1:7" s="21" customFormat="1" ht="31">
      <c r="A423" s="22"/>
      <c r="B423" s="124" t="s">
        <v>718</v>
      </c>
      <c r="C423" s="156" t="s">
        <v>423</v>
      </c>
      <c r="D423" s="25" t="s">
        <v>148</v>
      </c>
      <c r="E423" s="234"/>
      <c r="F423" s="67"/>
      <c r="G423" s="81">
        <f t="shared" si="23"/>
        <v>0</v>
      </c>
    </row>
    <row r="424" spans="1:7" s="21" customFormat="1" ht="47" thickBot="1">
      <c r="A424" s="22"/>
      <c r="B424" s="132" t="s">
        <v>831</v>
      </c>
      <c r="C424" s="163" t="s">
        <v>351</v>
      </c>
      <c r="D424" s="77" t="s">
        <v>319</v>
      </c>
      <c r="E424" s="210"/>
      <c r="F424" s="78"/>
      <c r="G424" s="102">
        <f t="shared" si="23"/>
        <v>0</v>
      </c>
    </row>
    <row r="425" spans="1:7" s="21" customFormat="1" ht="31.5" thickBot="1">
      <c r="A425" s="22"/>
      <c r="B425" s="123"/>
      <c r="C425" s="23" t="s">
        <v>1656</v>
      </c>
      <c r="D425" s="43"/>
      <c r="E425" s="59">
        <f>IF(SUM(E426:E428)&gt;0,1,"")</f>
        <v>1</v>
      </c>
      <c r="F425" s="60"/>
      <c r="G425" s="61"/>
    </row>
    <row r="426" spans="1:7" s="21" customFormat="1" ht="15.5">
      <c r="A426" s="22"/>
      <c r="B426" s="127">
        <v>32501.01</v>
      </c>
      <c r="C426" s="159" t="s">
        <v>67</v>
      </c>
      <c r="D426" s="62" t="s">
        <v>146</v>
      </c>
      <c r="E426" s="245"/>
      <c r="F426" s="63"/>
      <c r="G426" s="103">
        <f>E426*F426</f>
        <v>0</v>
      </c>
    </row>
    <row r="427" spans="1:7" s="21" customFormat="1" ht="15.5">
      <c r="A427" s="22"/>
      <c r="B427" s="124">
        <v>32502.01</v>
      </c>
      <c r="C427" s="156" t="s">
        <v>66</v>
      </c>
      <c r="D427" s="25" t="s">
        <v>146</v>
      </c>
      <c r="E427" s="234">
        <v>10</v>
      </c>
      <c r="F427" s="67"/>
      <c r="G427" s="81">
        <f>E427*F427</f>
        <v>0</v>
      </c>
    </row>
    <row r="428" spans="1:7" s="21" customFormat="1" ht="16" thickBot="1">
      <c r="A428" s="22"/>
      <c r="B428" s="125">
        <v>32503.01</v>
      </c>
      <c r="C428" s="157" t="s">
        <v>424</v>
      </c>
      <c r="D428" s="104" t="s">
        <v>145</v>
      </c>
      <c r="E428" s="194"/>
      <c r="F428" s="105"/>
      <c r="G428" s="106">
        <f>E428*F428</f>
        <v>0</v>
      </c>
    </row>
    <row r="429" spans="1:7" s="21" customFormat="1" ht="16" thickBot="1">
      <c r="A429" s="22"/>
      <c r="B429" s="123"/>
      <c r="C429" s="23" t="s">
        <v>1657</v>
      </c>
      <c r="D429" s="43"/>
      <c r="E429" s="59" t="str">
        <f>IF(SUM(E430:E431)&gt;0,1,"")</f>
        <v/>
      </c>
      <c r="F429" s="60"/>
      <c r="G429" s="61"/>
    </row>
    <row r="430" spans="1:7" s="21" customFormat="1" ht="16" thickBot="1">
      <c r="A430" s="22"/>
      <c r="B430" s="127">
        <v>32601.01</v>
      </c>
      <c r="C430" s="159" t="s">
        <v>65</v>
      </c>
      <c r="D430" s="62" t="s">
        <v>146</v>
      </c>
      <c r="E430" s="245"/>
      <c r="F430" s="63"/>
      <c r="G430" s="103">
        <f>E430*F430</f>
        <v>0</v>
      </c>
    </row>
    <row r="431" spans="1:7" s="21" customFormat="1" ht="16" thickBot="1">
      <c r="A431" s="22"/>
      <c r="B431" s="125">
        <v>32602.01</v>
      </c>
      <c r="C431" s="157" t="s">
        <v>221</v>
      </c>
      <c r="D431" s="104" t="s">
        <v>151</v>
      </c>
      <c r="E431" s="245"/>
      <c r="F431" s="105"/>
      <c r="G431" s="106">
        <f>E431*F431</f>
        <v>0</v>
      </c>
    </row>
    <row r="432" spans="1:7" s="21" customFormat="1" ht="16" thickBot="1">
      <c r="A432" s="22"/>
      <c r="B432" s="123"/>
      <c r="C432" s="23" t="s">
        <v>984</v>
      </c>
      <c r="D432" s="43"/>
      <c r="E432" s="59" t="str">
        <f>IF(SUM(E433:E436)&gt;0,1,"")</f>
        <v/>
      </c>
      <c r="F432" s="60"/>
      <c r="G432" s="61"/>
    </row>
    <row r="433" spans="1:7" s="21" customFormat="1" ht="15.5">
      <c r="A433" s="22"/>
      <c r="B433" s="127">
        <v>33001.01</v>
      </c>
      <c r="C433" s="159" t="s">
        <v>1181</v>
      </c>
      <c r="D433" s="62" t="s">
        <v>145</v>
      </c>
      <c r="E433" s="245"/>
      <c r="F433" s="63"/>
      <c r="G433" s="103">
        <f>E433*F433</f>
        <v>0</v>
      </c>
    </row>
    <row r="434" spans="1:7" s="21" customFormat="1" ht="15.5">
      <c r="A434" s="22"/>
      <c r="B434" s="124">
        <v>33002.01</v>
      </c>
      <c r="C434" s="156" t="s">
        <v>1182</v>
      </c>
      <c r="D434" s="25" t="s">
        <v>145</v>
      </c>
      <c r="E434" s="234"/>
      <c r="F434" s="67"/>
      <c r="G434" s="81">
        <f>E434*F434</f>
        <v>0</v>
      </c>
    </row>
    <row r="435" spans="1:7" s="21" customFormat="1" ht="15.5">
      <c r="A435" s="22"/>
      <c r="B435" s="124">
        <v>33003.01</v>
      </c>
      <c r="C435" s="156" t="s">
        <v>1183</v>
      </c>
      <c r="D435" s="25" t="s">
        <v>145</v>
      </c>
      <c r="E435" s="234"/>
      <c r="F435" s="67"/>
      <c r="G435" s="81">
        <f>E435*F435</f>
        <v>0</v>
      </c>
    </row>
    <row r="436" spans="1:7" s="21" customFormat="1" ht="16" thickBot="1">
      <c r="A436" s="22"/>
      <c r="B436" s="125">
        <v>33004.01</v>
      </c>
      <c r="C436" s="157" t="s">
        <v>1184</v>
      </c>
      <c r="D436" s="104" t="s">
        <v>145</v>
      </c>
      <c r="E436" s="194"/>
      <c r="F436" s="105"/>
      <c r="G436" s="106">
        <f>E436*F436</f>
        <v>0</v>
      </c>
    </row>
    <row r="437" spans="1:7" s="21" customFormat="1" ht="16" thickBot="1">
      <c r="A437" s="22"/>
      <c r="B437" s="123"/>
      <c r="C437" s="23" t="s">
        <v>985</v>
      </c>
      <c r="D437" s="43"/>
      <c r="E437" s="59" t="str">
        <f>IF(SUM(E438:E447)&gt;0,1,"")</f>
        <v/>
      </c>
      <c r="F437" s="60"/>
      <c r="G437" s="61"/>
    </row>
    <row r="438" spans="1:7" s="21" customFormat="1" ht="15.5">
      <c r="A438" s="22"/>
      <c r="B438" s="127">
        <v>33301.01</v>
      </c>
      <c r="C438" s="159" t="s">
        <v>508</v>
      </c>
      <c r="D438" s="62" t="s">
        <v>145</v>
      </c>
      <c r="E438" s="245"/>
      <c r="F438" s="63"/>
      <c r="G438" s="103">
        <f t="shared" ref="G438:G447" si="24">E438*F438</f>
        <v>0</v>
      </c>
    </row>
    <row r="439" spans="1:7" s="21" customFormat="1" ht="15.5">
      <c r="A439" s="22"/>
      <c r="B439" s="124">
        <v>33302.01</v>
      </c>
      <c r="C439" s="156" t="s">
        <v>509</v>
      </c>
      <c r="D439" s="25" t="s">
        <v>146</v>
      </c>
      <c r="E439" s="234"/>
      <c r="F439" s="67"/>
      <c r="G439" s="81">
        <f t="shared" si="24"/>
        <v>0</v>
      </c>
    </row>
    <row r="440" spans="1:7" s="21" customFormat="1" ht="15.5">
      <c r="A440" s="22"/>
      <c r="B440" s="124">
        <v>33303.01</v>
      </c>
      <c r="C440" s="156" t="s">
        <v>510</v>
      </c>
      <c r="D440" s="25" t="s">
        <v>146</v>
      </c>
      <c r="E440" s="234"/>
      <c r="F440" s="67"/>
      <c r="G440" s="81">
        <f t="shared" si="24"/>
        <v>0</v>
      </c>
    </row>
    <row r="441" spans="1:7" s="21" customFormat="1" ht="31">
      <c r="A441" s="22"/>
      <c r="B441" s="124" t="s">
        <v>719</v>
      </c>
      <c r="C441" s="156" t="s">
        <v>511</v>
      </c>
      <c r="D441" s="25" t="s">
        <v>146</v>
      </c>
      <c r="E441" s="234"/>
      <c r="F441" s="67"/>
      <c r="G441" s="81">
        <f t="shared" si="24"/>
        <v>0</v>
      </c>
    </row>
    <row r="442" spans="1:7" s="21" customFormat="1" ht="15.5">
      <c r="A442" s="22"/>
      <c r="B442" s="124">
        <v>33308.01</v>
      </c>
      <c r="C442" s="156" t="s">
        <v>512</v>
      </c>
      <c r="D442" s="25" t="s">
        <v>148</v>
      </c>
      <c r="E442" s="234"/>
      <c r="F442" s="67"/>
      <c r="G442" s="81">
        <f t="shared" si="24"/>
        <v>0</v>
      </c>
    </row>
    <row r="443" spans="1:7" s="21" customFormat="1" ht="31">
      <c r="A443" s="22"/>
      <c r="B443" s="124" t="s">
        <v>720</v>
      </c>
      <c r="C443" s="156" t="s">
        <v>513</v>
      </c>
      <c r="D443" s="25" t="s">
        <v>148</v>
      </c>
      <c r="E443" s="234"/>
      <c r="F443" s="67"/>
      <c r="G443" s="81">
        <f t="shared" si="24"/>
        <v>0</v>
      </c>
    </row>
    <row r="444" spans="1:7" s="21" customFormat="1" ht="15.5">
      <c r="A444" s="22"/>
      <c r="B444" s="124">
        <v>33313.01</v>
      </c>
      <c r="C444" s="156" t="s">
        <v>514</v>
      </c>
      <c r="D444" s="25" t="s">
        <v>148</v>
      </c>
      <c r="E444" s="234"/>
      <c r="F444" s="67"/>
      <c r="G444" s="81">
        <f t="shared" si="24"/>
        <v>0</v>
      </c>
    </row>
    <row r="445" spans="1:7" s="21" customFormat="1" ht="15.5">
      <c r="A445" s="22"/>
      <c r="B445" s="124">
        <v>33314.01</v>
      </c>
      <c r="C445" s="156" t="s">
        <v>515</v>
      </c>
      <c r="D445" s="25" t="s">
        <v>148</v>
      </c>
      <c r="E445" s="234"/>
      <c r="F445" s="67"/>
      <c r="G445" s="81">
        <f t="shared" si="24"/>
        <v>0</v>
      </c>
    </row>
    <row r="446" spans="1:7" s="21" customFormat="1" ht="15.5">
      <c r="A446" s="22"/>
      <c r="B446" s="124">
        <v>33315.01</v>
      </c>
      <c r="C446" s="156" t="s">
        <v>516</v>
      </c>
      <c r="D446" s="25" t="s">
        <v>145</v>
      </c>
      <c r="E446" s="234"/>
      <c r="F446" s="67"/>
      <c r="G446" s="81">
        <f t="shared" si="24"/>
        <v>0</v>
      </c>
    </row>
    <row r="447" spans="1:7" s="21" customFormat="1" ht="16" thickBot="1">
      <c r="A447" s="22"/>
      <c r="B447" s="125">
        <v>33316.01</v>
      </c>
      <c r="C447" s="157" t="s">
        <v>517</v>
      </c>
      <c r="D447" s="104" t="s">
        <v>145</v>
      </c>
      <c r="E447" s="194"/>
      <c r="F447" s="105"/>
      <c r="G447" s="106">
        <f t="shared" si="24"/>
        <v>0</v>
      </c>
    </row>
    <row r="448" spans="1:7" s="21" customFormat="1" ht="16" thickBot="1">
      <c r="A448" s="22"/>
      <c r="B448" s="123"/>
      <c r="C448" s="23" t="s">
        <v>986</v>
      </c>
      <c r="D448" s="43"/>
      <c r="E448" s="59" t="str">
        <f>IF(SUM(E449:E458)&gt;0,1,"")</f>
        <v/>
      </c>
      <c r="F448" s="60"/>
      <c r="G448" s="61"/>
    </row>
    <row r="449" spans="1:7" s="21" customFormat="1" ht="15.5">
      <c r="A449" s="22"/>
      <c r="B449" s="127">
        <v>33401.01</v>
      </c>
      <c r="C449" s="159" t="s">
        <v>518</v>
      </c>
      <c r="D449" s="62" t="s">
        <v>145</v>
      </c>
      <c r="E449" s="245"/>
      <c r="F449" s="63"/>
      <c r="G449" s="103">
        <f t="shared" ref="G449:G458" si="25">E449*F449</f>
        <v>0</v>
      </c>
    </row>
    <row r="450" spans="1:7" s="21" customFormat="1" ht="15.5">
      <c r="A450" s="22"/>
      <c r="B450" s="124">
        <v>33402.01</v>
      </c>
      <c r="C450" s="156" t="s">
        <v>509</v>
      </c>
      <c r="D450" s="25" t="s">
        <v>146</v>
      </c>
      <c r="E450" s="234"/>
      <c r="F450" s="67"/>
      <c r="G450" s="81">
        <f t="shared" si="25"/>
        <v>0</v>
      </c>
    </row>
    <row r="451" spans="1:7" s="21" customFormat="1" ht="15.5">
      <c r="A451" s="22"/>
      <c r="B451" s="124">
        <v>33403.01</v>
      </c>
      <c r="C451" s="156" t="s">
        <v>519</v>
      </c>
      <c r="D451" s="25" t="s">
        <v>146</v>
      </c>
      <c r="E451" s="234"/>
      <c r="F451" s="67"/>
      <c r="G451" s="81">
        <f t="shared" si="25"/>
        <v>0</v>
      </c>
    </row>
    <row r="452" spans="1:7" s="21" customFormat="1" ht="31">
      <c r="A452" s="22"/>
      <c r="B452" s="124" t="s">
        <v>721</v>
      </c>
      <c r="C452" s="156" t="s">
        <v>520</v>
      </c>
      <c r="D452" s="25" t="s">
        <v>146</v>
      </c>
      <c r="E452" s="234"/>
      <c r="F452" s="67"/>
      <c r="G452" s="81">
        <f t="shared" si="25"/>
        <v>0</v>
      </c>
    </row>
    <row r="453" spans="1:7" s="21" customFormat="1" ht="15.5">
      <c r="A453" s="22"/>
      <c r="B453" s="124">
        <v>33408.01</v>
      </c>
      <c r="C453" s="156" t="s">
        <v>521</v>
      </c>
      <c r="D453" s="25" t="s">
        <v>148</v>
      </c>
      <c r="E453" s="234"/>
      <c r="F453" s="67"/>
      <c r="G453" s="81">
        <f t="shared" si="25"/>
        <v>0</v>
      </c>
    </row>
    <row r="454" spans="1:7" s="21" customFormat="1" ht="31">
      <c r="A454" s="22"/>
      <c r="B454" s="124" t="s">
        <v>722</v>
      </c>
      <c r="C454" s="156" t="s">
        <v>522</v>
      </c>
      <c r="D454" s="25" t="s">
        <v>148</v>
      </c>
      <c r="E454" s="234"/>
      <c r="F454" s="67"/>
      <c r="G454" s="81">
        <f t="shared" si="25"/>
        <v>0</v>
      </c>
    </row>
    <row r="455" spans="1:7" s="21" customFormat="1" ht="15.5">
      <c r="A455" s="22"/>
      <c r="B455" s="124">
        <v>33413.01</v>
      </c>
      <c r="C455" s="156" t="s">
        <v>514</v>
      </c>
      <c r="D455" s="25" t="s">
        <v>148</v>
      </c>
      <c r="E455" s="234"/>
      <c r="F455" s="67"/>
      <c r="G455" s="81">
        <f t="shared" si="25"/>
        <v>0</v>
      </c>
    </row>
    <row r="456" spans="1:7" s="21" customFormat="1" ht="15.5">
      <c r="A456" s="22"/>
      <c r="B456" s="124">
        <v>33414.01</v>
      </c>
      <c r="C456" s="156" t="s">
        <v>515</v>
      </c>
      <c r="D456" s="25" t="s">
        <v>148</v>
      </c>
      <c r="E456" s="234"/>
      <c r="F456" s="67"/>
      <c r="G456" s="81">
        <f t="shared" si="25"/>
        <v>0</v>
      </c>
    </row>
    <row r="457" spans="1:7" s="21" customFormat="1" ht="15.5">
      <c r="A457" s="22"/>
      <c r="B457" s="124">
        <v>33415.01</v>
      </c>
      <c r="C457" s="156" t="s">
        <v>523</v>
      </c>
      <c r="D457" s="25" t="s">
        <v>145</v>
      </c>
      <c r="E457" s="234"/>
      <c r="F457" s="67"/>
      <c r="G457" s="81">
        <f t="shared" si="25"/>
        <v>0</v>
      </c>
    </row>
    <row r="458" spans="1:7" s="21" customFormat="1" ht="16" thickBot="1">
      <c r="A458" s="22"/>
      <c r="B458" s="125">
        <v>33416.01</v>
      </c>
      <c r="C458" s="157" t="s">
        <v>517</v>
      </c>
      <c r="D458" s="104" t="s">
        <v>145</v>
      </c>
      <c r="E458" s="194"/>
      <c r="F458" s="105"/>
      <c r="G458" s="106">
        <f t="shared" si="25"/>
        <v>0</v>
      </c>
    </row>
    <row r="459" spans="1:7" s="21" customFormat="1" ht="16" thickBot="1">
      <c r="A459" s="22"/>
      <c r="B459" s="123"/>
      <c r="C459" s="23" t="s">
        <v>987</v>
      </c>
      <c r="D459" s="43"/>
      <c r="E459" s="59" t="str">
        <f>IF(SUM(E460:E469)&gt;0,1,"")</f>
        <v/>
      </c>
      <c r="F459" s="60"/>
      <c r="G459" s="61"/>
    </row>
    <row r="460" spans="1:7" s="21" customFormat="1" ht="15.5">
      <c r="A460" s="22"/>
      <c r="B460" s="127">
        <v>33501.01</v>
      </c>
      <c r="C460" s="159" t="s">
        <v>524</v>
      </c>
      <c r="D460" s="62" t="s">
        <v>145</v>
      </c>
      <c r="E460" s="245"/>
      <c r="F460" s="63"/>
      <c r="G460" s="103">
        <f t="shared" ref="G460:G469" si="26">E460*F460</f>
        <v>0</v>
      </c>
    </row>
    <row r="461" spans="1:7" s="21" customFormat="1" ht="15.5">
      <c r="A461" s="22"/>
      <c r="B461" s="124">
        <v>33502.01</v>
      </c>
      <c r="C461" s="156" t="s">
        <v>509</v>
      </c>
      <c r="D461" s="25" t="s">
        <v>146</v>
      </c>
      <c r="E461" s="234"/>
      <c r="F461" s="67"/>
      <c r="G461" s="81">
        <f t="shared" si="26"/>
        <v>0</v>
      </c>
    </row>
    <row r="462" spans="1:7" s="21" customFormat="1" ht="15.5">
      <c r="A462" s="22"/>
      <c r="B462" s="124">
        <v>33503.01</v>
      </c>
      <c r="C462" s="156" t="s">
        <v>525</v>
      </c>
      <c r="D462" s="25" t="s">
        <v>146</v>
      </c>
      <c r="E462" s="234"/>
      <c r="F462" s="67"/>
      <c r="G462" s="81">
        <f t="shared" si="26"/>
        <v>0</v>
      </c>
    </row>
    <row r="463" spans="1:7" s="21" customFormat="1" ht="31">
      <c r="A463" s="22"/>
      <c r="B463" s="124" t="s">
        <v>723</v>
      </c>
      <c r="C463" s="156" t="s">
        <v>526</v>
      </c>
      <c r="D463" s="25" t="s">
        <v>146</v>
      </c>
      <c r="E463" s="234"/>
      <c r="F463" s="67"/>
      <c r="G463" s="81">
        <f t="shared" si="26"/>
        <v>0</v>
      </c>
    </row>
    <row r="464" spans="1:7" s="21" customFormat="1" ht="15.5">
      <c r="A464" s="22"/>
      <c r="B464" s="124">
        <v>33508.01</v>
      </c>
      <c r="C464" s="156" t="s">
        <v>527</v>
      </c>
      <c r="D464" s="25" t="s">
        <v>148</v>
      </c>
      <c r="E464" s="234"/>
      <c r="F464" s="67"/>
      <c r="G464" s="81">
        <f t="shared" si="26"/>
        <v>0</v>
      </c>
    </row>
    <row r="465" spans="1:7" s="21" customFormat="1" ht="31">
      <c r="A465" s="22"/>
      <c r="B465" s="124" t="s">
        <v>724</v>
      </c>
      <c r="C465" s="156" t="s">
        <v>522</v>
      </c>
      <c r="D465" s="25" t="s">
        <v>148</v>
      </c>
      <c r="E465" s="234"/>
      <c r="F465" s="67"/>
      <c r="G465" s="81">
        <f t="shared" si="26"/>
        <v>0</v>
      </c>
    </row>
    <row r="466" spans="1:7" s="21" customFormat="1" ht="15.5">
      <c r="A466" s="22"/>
      <c r="B466" s="124">
        <v>33513.01</v>
      </c>
      <c r="C466" s="156" t="s">
        <v>514</v>
      </c>
      <c r="D466" s="25" t="s">
        <v>148</v>
      </c>
      <c r="E466" s="234"/>
      <c r="F466" s="67"/>
      <c r="G466" s="81">
        <f t="shared" si="26"/>
        <v>0</v>
      </c>
    </row>
    <row r="467" spans="1:7" s="21" customFormat="1" ht="15.5">
      <c r="A467" s="22"/>
      <c r="B467" s="124">
        <v>33514.01</v>
      </c>
      <c r="C467" s="156" t="s">
        <v>515</v>
      </c>
      <c r="D467" s="25" t="s">
        <v>148</v>
      </c>
      <c r="E467" s="234"/>
      <c r="F467" s="67"/>
      <c r="G467" s="81">
        <f t="shared" si="26"/>
        <v>0</v>
      </c>
    </row>
    <row r="468" spans="1:7" s="21" customFormat="1" ht="15.5">
      <c r="A468" s="22"/>
      <c r="B468" s="124">
        <v>33515.01</v>
      </c>
      <c r="C468" s="156" t="s">
        <v>528</v>
      </c>
      <c r="D468" s="25" t="s">
        <v>145</v>
      </c>
      <c r="E468" s="234"/>
      <c r="F468" s="67"/>
      <c r="G468" s="81">
        <f t="shared" si="26"/>
        <v>0</v>
      </c>
    </row>
    <row r="469" spans="1:7" s="21" customFormat="1" ht="16" thickBot="1">
      <c r="A469" s="22"/>
      <c r="B469" s="125">
        <v>33516.01</v>
      </c>
      <c r="C469" s="157" t="s">
        <v>517</v>
      </c>
      <c r="D469" s="104" t="s">
        <v>145</v>
      </c>
      <c r="E469" s="194"/>
      <c r="F469" s="105"/>
      <c r="G469" s="106">
        <f t="shared" si="26"/>
        <v>0</v>
      </c>
    </row>
    <row r="470" spans="1:7" s="21" customFormat="1" ht="16" thickBot="1">
      <c r="A470" s="22"/>
      <c r="B470" s="123"/>
      <c r="C470" s="23" t="s">
        <v>988</v>
      </c>
      <c r="D470" s="43"/>
      <c r="E470" s="59">
        <f>IF(SUM(E471:E482)&gt;0,1,"")</f>
        <v>1</v>
      </c>
      <c r="F470" s="60"/>
      <c r="G470" s="61"/>
    </row>
    <row r="471" spans="1:7" s="21" customFormat="1" ht="15.5">
      <c r="A471" s="22"/>
      <c r="B471" s="127">
        <v>40001.01</v>
      </c>
      <c r="C471" s="159" t="s">
        <v>1185</v>
      </c>
      <c r="D471" s="62" t="s">
        <v>148</v>
      </c>
      <c r="E471" s="245"/>
      <c r="F471" s="63"/>
      <c r="G471" s="103">
        <f t="shared" ref="G471:G482" si="27">E471*F471</f>
        <v>0</v>
      </c>
    </row>
    <row r="472" spans="1:7" s="21" customFormat="1" ht="15.5">
      <c r="A472" s="22"/>
      <c r="B472" s="124">
        <v>40002.01</v>
      </c>
      <c r="C472" s="156" t="s">
        <v>1186</v>
      </c>
      <c r="D472" s="25" t="s">
        <v>148</v>
      </c>
      <c r="E472" s="234"/>
      <c r="F472" s="67"/>
      <c r="G472" s="81">
        <f t="shared" si="27"/>
        <v>0</v>
      </c>
    </row>
    <row r="473" spans="1:7" s="21" customFormat="1" ht="15.5">
      <c r="A473" s="22"/>
      <c r="B473" s="124">
        <v>40003.01</v>
      </c>
      <c r="C473" s="156" t="s">
        <v>1187</v>
      </c>
      <c r="D473" s="25" t="s">
        <v>148</v>
      </c>
      <c r="E473" s="234"/>
      <c r="F473" s="67"/>
      <c r="G473" s="81">
        <f t="shared" si="27"/>
        <v>0</v>
      </c>
    </row>
    <row r="474" spans="1:7" s="21" customFormat="1" ht="31">
      <c r="A474" s="22"/>
      <c r="B474" s="124">
        <v>40004.01</v>
      </c>
      <c r="C474" s="156" t="s">
        <v>2117</v>
      </c>
      <c r="D474" s="25" t="s">
        <v>148</v>
      </c>
      <c r="E474" s="234"/>
      <c r="F474" s="67"/>
      <c r="G474" s="81">
        <f t="shared" si="27"/>
        <v>0</v>
      </c>
    </row>
    <row r="475" spans="1:7" s="21" customFormat="1" ht="31">
      <c r="A475" s="22"/>
      <c r="B475" s="124">
        <v>40004.019999999997</v>
      </c>
      <c r="C475" s="156" t="s">
        <v>2118</v>
      </c>
      <c r="D475" s="25" t="s">
        <v>148</v>
      </c>
      <c r="E475" s="234">
        <v>43</v>
      </c>
      <c r="F475" s="67"/>
      <c r="G475" s="81">
        <f t="shared" si="27"/>
        <v>0</v>
      </c>
    </row>
    <row r="476" spans="1:7" s="21" customFormat="1" ht="31">
      <c r="A476" s="22"/>
      <c r="B476" s="124">
        <v>40004.03</v>
      </c>
      <c r="C476" s="156" t="s">
        <v>2118</v>
      </c>
      <c r="D476" s="25" t="s">
        <v>148</v>
      </c>
      <c r="E476" s="234">
        <v>7</v>
      </c>
      <c r="F476" s="67"/>
      <c r="G476" s="81">
        <f t="shared" si="27"/>
        <v>0</v>
      </c>
    </row>
    <row r="477" spans="1:7" s="21" customFormat="1" ht="15.5">
      <c r="A477" s="22"/>
      <c r="B477" s="124">
        <v>40005.01</v>
      </c>
      <c r="C477" s="156" t="s">
        <v>1188</v>
      </c>
      <c r="D477" s="25" t="s">
        <v>148</v>
      </c>
      <c r="E477" s="234"/>
      <c r="F477" s="67"/>
      <c r="G477" s="81">
        <f t="shared" si="27"/>
        <v>0</v>
      </c>
    </row>
    <row r="478" spans="1:7" s="21" customFormat="1" ht="15.5">
      <c r="A478" s="22"/>
      <c r="B478" s="124">
        <v>40006.01</v>
      </c>
      <c r="C478" s="156" t="s">
        <v>1189</v>
      </c>
      <c r="D478" s="25" t="s">
        <v>148</v>
      </c>
      <c r="E478" s="234"/>
      <c r="F478" s="67"/>
      <c r="G478" s="81">
        <f t="shared" si="27"/>
        <v>0</v>
      </c>
    </row>
    <row r="479" spans="1:7" s="21" customFormat="1" ht="15.5">
      <c r="A479" s="22"/>
      <c r="B479" s="124">
        <v>40007.01</v>
      </c>
      <c r="C479" s="156" t="s">
        <v>1190</v>
      </c>
      <c r="D479" s="25" t="s">
        <v>148</v>
      </c>
      <c r="E479" s="234"/>
      <c r="F479" s="67"/>
      <c r="G479" s="81">
        <f t="shared" si="27"/>
        <v>0</v>
      </c>
    </row>
    <row r="480" spans="1:7" s="21" customFormat="1" ht="15.5">
      <c r="A480" s="22"/>
      <c r="B480" s="124">
        <v>40008.01</v>
      </c>
      <c r="C480" s="156" t="s">
        <v>1627</v>
      </c>
      <c r="D480" s="25" t="s">
        <v>148</v>
      </c>
      <c r="E480" s="234"/>
      <c r="F480" s="67"/>
      <c r="G480" s="81">
        <f t="shared" si="27"/>
        <v>0</v>
      </c>
    </row>
    <row r="481" spans="1:7" s="21" customFormat="1" ht="15.5">
      <c r="A481" s="22"/>
      <c r="B481" s="124">
        <v>40009.01</v>
      </c>
      <c r="C481" s="156" t="s">
        <v>1628</v>
      </c>
      <c r="D481" s="25" t="s">
        <v>148</v>
      </c>
      <c r="E481" s="234"/>
      <c r="F481" s="67"/>
      <c r="G481" s="81">
        <f t="shared" si="27"/>
        <v>0</v>
      </c>
    </row>
    <row r="482" spans="1:7" s="21" customFormat="1" ht="16" thickBot="1">
      <c r="A482" s="22"/>
      <c r="B482" s="125">
        <v>40010.01</v>
      </c>
      <c r="C482" s="157" t="s">
        <v>1629</v>
      </c>
      <c r="D482" s="104" t="s">
        <v>148</v>
      </c>
      <c r="E482" s="194"/>
      <c r="F482" s="105"/>
      <c r="G482" s="106">
        <f t="shared" si="27"/>
        <v>0</v>
      </c>
    </row>
    <row r="483" spans="1:7" s="21" customFormat="1" ht="16" thickBot="1">
      <c r="A483" s="22"/>
      <c r="B483" s="129"/>
      <c r="C483" s="52" t="s">
        <v>965</v>
      </c>
      <c r="D483" s="51"/>
      <c r="E483" s="59">
        <f>IF(SUM(E484:E493)&gt;0,1,"")</f>
        <v>1</v>
      </c>
      <c r="F483" s="60"/>
      <c r="G483" s="61"/>
    </row>
    <row r="484" spans="1:7" s="21" customFormat="1" ht="31">
      <c r="A484" s="22"/>
      <c r="B484" s="130" t="s">
        <v>832</v>
      </c>
      <c r="C484" s="161" t="s">
        <v>2065</v>
      </c>
      <c r="D484" s="99" t="s">
        <v>317</v>
      </c>
      <c r="E484" s="209">
        <v>74</v>
      </c>
      <c r="F484" s="100"/>
      <c r="G484" s="85">
        <f>E484*F484</f>
        <v>0</v>
      </c>
    </row>
    <row r="485" spans="1:7" s="21" customFormat="1" ht="31">
      <c r="A485" s="22"/>
      <c r="B485" s="131" t="s">
        <v>2064</v>
      </c>
      <c r="C485" s="162" t="s">
        <v>2066</v>
      </c>
      <c r="D485" s="75" t="s">
        <v>317</v>
      </c>
      <c r="E485" s="311">
        <v>124</v>
      </c>
      <c r="F485" s="73"/>
      <c r="G485" s="74"/>
    </row>
    <row r="486" spans="1:7" s="21" customFormat="1" ht="31">
      <c r="A486" s="22"/>
      <c r="B486" s="131" t="s">
        <v>2119</v>
      </c>
      <c r="C486" s="162" t="s">
        <v>2067</v>
      </c>
      <c r="D486" s="75" t="s">
        <v>317</v>
      </c>
      <c r="E486" s="311">
        <v>90</v>
      </c>
      <c r="F486" s="73"/>
      <c r="G486" s="74"/>
    </row>
    <row r="487" spans="1:7" s="21" customFormat="1" ht="46.5">
      <c r="A487" s="22"/>
      <c r="B487" s="131" t="s">
        <v>2177</v>
      </c>
      <c r="C487" s="162" t="s">
        <v>2178</v>
      </c>
      <c r="D487" s="75" t="s">
        <v>317</v>
      </c>
      <c r="E487" s="311">
        <v>164</v>
      </c>
      <c r="F487" s="73"/>
      <c r="G487" s="74"/>
    </row>
    <row r="488" spans="1:7" s="21" customFormat="1" ht="31">
      <c r="A488" s="22"/>
      <c r="B488" s="131" t="s">
        <v>833</v>
      </c>
      <c r="C488" s="162" t="s">
        <v>1630</v>
      </c>
      <c r="D488" s="75" t="s">
        <v>317</v>
      </c>
      <c r="E488" s="186"/>
      <c r="F488" s="76"/>
      <c r="G488" s="101">
        <f t="shared" ref="G488:G494" si="28">E488*F488</f>
        <v>0</v>
      </c>
    </row>
    <row r="489" spans="1:7" s="21" customFormat="1" ht="15.5">
      <c r="A489" s="22"/>
      <c r="B489" s="131" t="s">
        <v>834</v>
      </c>
      <c r="C489" s="162" t="s">
        <v>170</v>
      </c>
      <c r="D489" s="75" t="s">
        <v>146</v>
      </c>
      <c r="E489" s="186">
        <v>155</v>
      </c>
      <c r="F489" s="76"/>
      <c r="G489" s="101">
        <f t="shared" si="28"/>
        <v>0</v>
      </c>
    </row>
    <row r="490" spans="1:7" s="21" customFormat="1" ht="46.5">
      <c r="A490" s="22"/>
      <c r="B490" s="131" t="s">
        <v>835</v>
      </c>
      <c r="C490" s="162" t="s">
        <v>2176</v>
      </c>
      <c r="D490" s="75" t="s">
        <v>317</v>
      </c>
      <c r="E490" s="186">
        <v>42</v>
      </c>
      <c r="F490" s="76"/>
      <c r="G490" s="101">
        <f t="shared" si="28"/>
        <v>0</v>
      </c>
    </row>
    <row r="491" spans="1:7" s="21" customFormat="1" ht="31">
      <c r="A491" s="22"/>
      <c r="B491" s="131" t="s">
        <v>836</v>
      </c>
      <c r="C491" s="162" t="s">
        <v>1631</v>
      </c>
      <c r="D491" s="75" t="s">
        <v>317</v>
      </c>
      <c r="E491" s="186"/>
      <c r="F491" s="76"/>
      <c r="G491" s="101">
        <f t="shared" si="28"/>
        <v>0</v>
      </c>
    </row>
    <row r="492" spans="1:7" s="21" customFormat="1" ht="31">
      <c r="A492" s="22"/>
      <c r="B492" s="131" t="s">
        <v>837</v>
      </c>
      <c r="C492" s="162" t="s">
        <v>172</v>
      </c>
      <c r="D492" s="75" t="s">
        <v>317</v>
      </c>
      <c r="E492" s="186"/>
      <c r="F492" s="76"/>
      <c r="G492" s="101">
        <f t="shared" si="28"/>
        <v>0</v>
      </c>
    </row>
    <row r="493" spans="1:7" s="21" customFormat="1" ht="47" thickBot="1">
      <c r="A493" s="22"/>
      <c r="B493" s="131" t="s">
        <v>838</v>
      </c>
      <c r="C493" s="162" t="s">
        <v>2200</v>
      </c>
      <c r="D493" s="75" t="s">
        <v>317</v>
      </c>
      <c r="E493" s="186">
        <v>15</v>
      </c>
      <c r="F493" s="78"/>
      <c r="G493" s="102">
        <f t="shared" si="28"/>
        <v>0</v>
      </c>
    </row>
    <row r="494" spans="1:7" s="21" customFormat="1" ht="47" thickBot="1">
      <c r="A494" s="22"/>
      <c r="B494" s="131" t="s">
        <v>2202</v>
      </c>
      <c r="C494" s="162" t="s">
        <v>2201</v>
      </c>
      <c r="D494" s="75" t="s">
        <v>317</v>
      </c>
      <c r="E494" s="312">
        <v>15</v>
      </c>
      <c r="F494" s="297"/>
      <c r="G494" s="86">
        <f t="shared" si="28"/>
        <v>0</v>
      </c>
    </row>
    <row r="495" spans="1:7" s="21" customFormat="1" ht="31.5" thickBot="1">
      <c r="A495" s="22"/>
      <c r="B495" s="123"/>
      <c r="C495" s="23" t="s">
        <v>989</v>
      </c>
      <c r="D495" s="43"/>
      <c r="E495" s="59" t="str">
        <f>IF(SUM(E496:E501)&gt;0,1,"")</f>
        <v/>
      </c>
      <c r="F495" s="60"/>
      <c r="G495" s="61"/>
    </row>
    <row r="496" spans="1:7" s="21" customFormat="1" ht="15.5">
      <c r="A496" s="22"/>
      <c r="B496" s="127">
        <v>40101.01</v>
      </c>
      <c r="C496" s="159" t="s">
        <v>1191</v>
      </c>
      <c r="D496" s="62" t="s">
        <v>148</v>
      </c>
      <c r="E496" s="245"/>
      <c r="F496" s="63"/>
      <c r="G496" s="103">
        <f t="shared" ref="G496:G501" si="29">E496*F496</f>
        <v>0</v>
      </c>
    </row>
    <row r="497" spans="1:7" s="21" customFormat="1" ht="31">
      <c r="A497" s="22"/>
      <c r="B497" s="124" t="s">
        <v>725</v>
      </c>
      <c r="C497" s="156" t="s">
        <v>1192</v>
      </c>
      <c r="D497" s="25" t="s">
        <v>148</v>
      </c>
      <c r="E497" s="234"/>
      <c r="F497" s="67"/>
      <c r="G497" s="81">
        <f t="shared" si="29"/>
        <v>0</v>
      </c>
    </row>
    <row r="498" spans="1:7" s="21" customFormat="1" ht="31">
      <c r="A498" s="22"/>
      <c r="B498" s="124" t="s">
        <v>726</v>
      </c>
      <c r="C498" s="156" t="s">
        <v>1193</v>
      </c>
      <c r="D498" s="25" t="s">
        <v>148</v>
      </c>
      <c r="E498" s="234"/>
      <c r="F498" s="67"/>
      <c r="G498" s="81">
        <f t="shared" si="29"/>
        <v>0</v>
      </c>
    </row>
    <row r="499" spans="1:7" s="21" customFormat="1" ht="15.5">
      <c r="A499" s="22"/>
      <c r="B499" s="124">
        <v>40110.01</v>
      </c>
      <c r="C499" s="156" t="s">
        <v>1194</v>
      </c>
      <c r="D499" s="25" t="s">
        <v>151</v>
      </c>
      <c r="E499" s="234"/>
      <c r="F499" s="67"/>
      <c r="G499" s="81">
        <f t="shared" si="29"/>
        <v>0</v>
      </c>
    </row>
    <row r="500" spans="1:7" s="21" customFormat="1" ht="15.5">
      <c r="A500" s="22"/>
      <c r="B500" s="124">
        <v>40111.01</v>
      </c>
      <c r="C500" s="156" t="s">
        <v>1195</v>
      </c>
      <c r="D500" s="25" t="s">
        <v>149</v>
      </c>
      <c r="E500" s="234"/>
      <c r="F500" s="67"/>
      <c r="G500" s="81">
        <f t="shared" si="29"/>
        <v>0</v>
      </c>
    </row>
    <row r="501" spans="1:7" s="21" customFormat="1" ht="16" thickBot="1">
      <c r="A501" s="22"/>
      <c r="B501" s="125">
        <v>40112.01</v>
      </c>
      <c r="C501" s="157" t="s">
        <v>1196</v>
      </c>
      <c r="D501" s="104" t="s">
        <v>151</v>
      </c>
      <c r="E501" s="194"/>
      <c r="F501" s="105"/>
      <c r="G501" s="106">
        <f t="shared" si="29"/>
        <v>0</v>
      </c>
    </row>
    <row r="502" spans="1:7" s="21" customFormat="1" ht="31.5" thickBot="1">
      <c r="A502" s="22"/>
      <c r="B502" s="123"/>
      <c r="C502" s="23" t="s">
        <v>990</v>
      </c>
      <c r="D502" s="43"/>
      <c r="E502" s="59" t="str">
        <f>IF(SUM(E503:E509)&gt;0,1,"")</f>
        <v/>
      </c>
      <c r="F502" s="60"/>
      <c r="G502" s="61"/>
    </row>
    <row r="503" spans="1:7" s="21" customFormat="1" ht="31">
      <c r="A503" s="22"/>
      <c r="B503" s="127" t="s">
        <v>727</v>
      </c>
      <c r="C503" s="159" t="s">
        <v>1197</v>
      </c>
      <c r="D503" s="62" t="s">
        <v>148</v>
      </c>
      <c r="E503" s="245"/>
      <c r="F503" s="63"/>
      <c r="G503" s="103">
        <f t="shared" ref="G503:G509" si="30">E503*F503</f>
        <v>0</v>
      </c>
    </row>
    <row r="504" spans="1:7" s="21" customFormat="1" ht="31">
      <c r="A504" s="22"/>
      <c r="B504" s="124" t="s">
        <v>728</v>
      </c>
      <c r="C504" s="156" t="s">
        <v>1198</v>
      </c>
      <c r="D504" s="25" t="s">
        <v>148</v>
      </c>
      <c r="E504" s="234"/>
      <c r="F504" s="67"/>
      <c r="G504" s="81">
        <f t="shared" si="30"/>
        <v>0</v>
      </c>
    </row>
    <row r="505" spans="1:7" s="21" customFormat="1" ht="15.5">
      <c r="A505" s="22"/>
      <c r="B505" s="124">
        <v>40209.01</v>
      </c>
      <c r="C505" s="156" t="s">
        <v>1199</v>
      </c>
      <c r="D505" s="25" t="s">
        <v>151</v>
      </c>
      <c r="E505" s="234"/>
      <c r="F505" s="67"/>
      <c r="G505" s="81">
        <f t="shared" si="30"/>
        <v>0</v>
      </c>
    </row>
    <row r="506" spans="1:7" s="21" customFormat="1" ht="31">
      <c r="A506" s="22"/>
      <c r="B506" s="124" t="s">
        <v>729</v>
      </c>
      <c r="C506" s="156" t="s">
        <v>1200</v>
      </c>
      <c r="D506" s="25" t="s">
        <v>148</v>
      </c>
      <c r="E506" s="234"/>
      <c r="F506" s="67"/>
      <c r="G506" s="81">
        <f t="shared" si="30"/>
        <v>0</v>
      </c>
    </row>
    <row r="507" spans="1:7" s="21" customFormat="1" ht="31">
      <c r="A507" s="22"/>
      <c r="B507" s="124">
        <v>40214.01</v>
      </c>
      <c r="C507" s="156" t="s">
        <v>1201</v>
      </c>
      <c r="D507" s="25" t="s">
        <v>151</v>
      </c>
      <c r="E507" s="234"/>
      <c r="F507" s="67"/>
      <c r="G507" s="81">
        <f t="shared" si="30"/>
        <v>0</v>
      </c>
    </row>
    <row r="508" spans="1:7" s="21" customFormat="1" ht="15.5">
      <c r="A508" s="22"/>
      <c r="B508" s="124">
        <v>40215.01</v>
      </c>
      <c r="C508" s="156" t="s">
        <v>1195</v>
      </c>
      <c r="D508" s="25" t="s">
        <v>149</v>
      </c>
      <c r="E508" s="234"/>
      <c r="F508" s="67"/>
      <c r="G508" s="81">
        <f t="shared" si="30"/>
        <v>0</v>
      </c>
    </row>
    <row r="509" spans="1:7" s="21" customFormat="1" ht="16" thickBot="1">
      <c r="A509" s="22"/>
      <c r="B509" s="125">
        <v>40216.01</v>
      </c>
      <c r="C509" s="157" t="s">
        <v>1202</v>
      </c>
      <c r="D509" s="104" t="s">
        <v>151</v>
      </c>
      <c r="E509" s="194"/>
      <c r="F509" s="105"/>
      <c r="G509" s="106">
        <f t="shared" si="30"/>
        <v>0</v>
      </c>
    </row>
    <row r="510" spans="1:7" s="21" customFormat="1" ht="31.5" thickBot="1">
      <c r="A510" s="22"/>
      <c r="B510" s="123"/>
      <c r="C510" s="23" t="s">
        <v>991</v>
      </c>
      <c r="D510" s="43"/>
      <c r="E510" s="59" t="str">
        <f>IF(SUM(E511:E519)&gt;0,1,"")</f>
        <v/>
      </c>
      <c r="F510" s="60"/>
      <c r="G510" s="61"/>
    </row>
    <row r="511" spans="1:7" s="21" customFormat="1" ht="31">
      <c r="A511" s="22"/>
      <c r="B511" s="127" t="s">
        <v>730</v>
      </c>
      <c r="C511" s="159" t="s">
        <v>1197</v>
      </c>
      <c r="D511" s="62" t="s">
        <v>148</v>
      </c>
      <c r="E511" s="245"/>
      <c r="F511" s="63"/>
      <c r="G511" s="103">
        <f t="shared" ref="G511:G519" si="31">E511*F511</f>
        <v>0</v>
      </c>
    </row>
    <row r="512" spans="1:7" s="21" customFormat="1" ht="31">
      <c r="A512" s="22"/>
      <c r="B512" s="124" t="s">
        <v>731</v>
      </c>
      <c r="C512" s="156" t="s">
        <v>1203</v>
      </c>
      <c r="D512" s="25" t="s">
        <v>148</v>
      </c>
      <c r="E512" s="234"/>
      <c r="F512" s="67"/>
      <c r="G512" s="81">
        <f t="shared" si="31"/>
        <v>0</v>
      </c>
    </row>
    <row r="513" spans="1:7" s="21" customFormat="1" ht="15.5">
      <c r="A513" s="22"/>
      <c r="B513" s="124">
        <v>40309.01</v>
      </c>
      <c r="C513" s="156" t="s">
        <v>1204</v>
      </c>
      <c r="D513" s="25" t="s">
        <v>151</v>
      </c>
      <c r="E513" s="234"/>
      <c r="F513" s="67"/>
      <c r="G513" s="81">
        <f t="shared" si="31"/>
        <v>0</v>
      </c>
    </row>
    <row r="514" spans="1:7" s="21" customFormat="1" ht="31">
      <c r="A514" s="22"/>
      <c r="B514" s="124" t="s">
        <v>732</v>
      </c>
      <c r="C514" s="156" t="s">
        <v>1205</v>
      </c>
      <c r="D514" s="25" t="s">
        <v>148</v>
      </c>
      <c r="E514" s="234"/>
      <c r="F514" s="67"/>
      <c r="G514" s="81">
        <f t="shared" si="31"/>
        <v>0</v>
      </c>
    </row>
    <row r="515" spans="1:7" s="21" customFormat="1" ht="15.5">
      <c r="A515" s="22"/>
      <c r="B515" s="124">
        <v>40314.01</v>
      </c>
      <c r="C515" s="156" t="s">
        <v>1206</v>
      </c>
      <c r="D515" s="25" t="s">
        <v>151</v>
      </c>
      <c r="E515" s="234"/>
      <c r="F515" s="67"/>
      <c r="G515" s="81">
        <f t="shared" si="31"/>
        <v>0</v>
      </c>
    </row>
    <row r="516" spans="1:7" s="21" customFormat="1" ht="31">
      <c r="A516" s="22"/>
      <c r="B516" s="124">
        <v>40315.01</v>
      </c>
      <c r="C516" s="156" t="s">
        <v>1207</v>
      </c>
      <c r="D516" s="25" t="s">
        <v>151</v>
      </c>
      <c r="E516" s="234"/>
      <c r="F516" s="67"/>
      <c r="G516" s="81">
        <f t="shared" si="31"/>
        <v>0</v>
      </c>
    </row>
    <row r="517" spans="1:7" s="21" customFormat="1" ht="31">
      <c r="A517" s="22"/>
      <c r="B517" s="124">
        <v>40316.01</v>
      </c>
      <c r="C517" s="156" t="s">
        <v>1208</v>
      </c>
      <c r="D517" s="25" t="s">
        <v>150</v>
      </c>
      <c r="E517" s="234"/>
      <c r="F517" s="67"/>
      <c r="G517" s="81">
        <f t="shared" si="31"/>
        <v>0</v>
      </c>
    </row>
    <row r="518" spans="1:7" s="21" customFormat="1" ht="15.5">
      <c r="A518" s="22"/>
      <c r="B518" s="124">
        <v>40317.01</v>
      </c>
      <c r="C518" s="156" t="s">
        <v>1209</v>
      </c>
      <c r="D518" s="25" t="s">
        <v>149</v>
      </c>
      <c r="E518" s="234"/>
      <c r="F518" s="67"/>
      <c r="G518" s="81">
        <f t="shared" si="31"/>
        <v>0</v>
      </c>
    </row>
    <row r="519" spans="1:7" s="21" customFormat="1" ht="16" thickBot="1">
      <c r="A519" s="22"/>
      <c r="B519" s="125">
        <v>40318.01</v>
      </c>
      <c r="C519" s="157" t="s">
        <v>1196</v>
      </c>
      <c r="D519" s="104" t="s">
        <v>151</v>
      </c>
      <c r="E519" s="194"/>
      <c r="F519" s="105"/>
      <c r="G519" s="106">
        <f t="shared" si="31"/>
        <v>0</v>
      </c>
    </row>
    <row r="520" spans="1:7" s="21" customFormat="1" ht="31.5" thickBot="1">
      <c r="A520" s="22"/>
      <c r="B520" s="123"/>
      <c r="C520" s="23" t="s">
        <v>992</v>
      </c>
      <c r="D520" s="43"/>
      <c r="E520" s="59" t="str">
        <f>IF(SUM(E521:E523)&gt;0,1,"")</f>
        <v/>
      </c>
      <c r="F520" s="60"/>
      <c r="G520" s="61"/>
    </row>
    <row r="521" spans="1:7" s="21" customFormat="1" ht="15.5">
      <c r="A521" s="22"/>
      <c r="B521" s="127">
        <v>40401.01</v>
      </c>
      <c r="C521" s="159" t="s">
        <v>74</v>
      </c>
      <c r="D521" s="62" t="s">
        <v>148</v>
      </c>
      <c r="E521" s="245"/>
      <c r="F521" s="63"/>
      <c r="G521" s="103">
        <f>E521*F521</f>
        <v>0</v>
      </c>
    </row>
    <row r="522" spans="1:7" s="21" customFormat="1" ht="15.5">
      <c r="A522" s="22"/>
      <c r="B522" s="124">
        <v>40402.01</v>
      </c>
      <c r="C522" s="156" t="s">
        <v>73</v>
      </c>
      <c r="D522" s="25" t="s">
        <v>149</v>
      </c>
      <c r="E522" s="234"/>
      <c r="F522" s="67"/>
      <c r="G522" s="81">
        <f>E522*F522</f>
        <v>0</v>
      </c>
    </row>
    <row r="523" spans="1:7" s="21" customFormat="1" ht="16" thickBot="1">
      <c r="A523" s="22"/>
      <c r="B523" s="125">
        <v>40403.01</v>
      </c>
      <c r="C523" s="157" t="s">
        <v>425</v>
      </c>
      <c r="D523" s="104" t="s">
        <v>151</v>
      </c>
      <c r="E523" s="194"/>
      <c r="F523" s="105"/>
      <c r="G523" s="106">
        <f>E523*F523</f>
        <v>0</v>
      </c>
    </row>
    <row r="524" spans="1:7" s="21" customFormat="1" ht="31.5" thickBot="1">
      <c r="A524" s="22"/>
      <c r="B524" s="123"/>
      <c r="C524" s="23" t="s">
        <v>653</v>
      </c>
      <c r="D524" s="43"/>
      <c r="E524" s="59" t="str">
        <f>IF(SUM(E525:E532)&gt;0,1,"")</f>
        <v/>
      </c>
      <c r="F524" s="60"/>
      <c r="G524" s="61"/>
    </row>
    <row r="525" spans="1:7" s="21" customFormat="1" ht="15.5">
      <c r="A525" s="22"/>
      <c r="B525" s="127" t="s">
        <v>2068</v>
      </c>
      <c r="C525" s="159" t="s">
        <v>2179</v>
      </c>
      <c r="D525" s="62" t="s">
        <v>151</v>
      </c>
      <c r="E525" s="234"/>
      <c r="F525" s="63"/>
      <c r="G525" s="103">
        <f t="shared" ref="G525:G532" si="32">E525*F525</f>
        <v>0</v>
      </c>
    </row>
    <row r="526" spans="1:7" s="21" customFormat="1" ht="31">
      <c r="A526" s="22"/>
      <c r="B526" s="124">
        <v>40502.01</v>
      </c>
      <c r="C526" s="156" t="s">
        <v>1210</v>
      </c>
      <c r="D526" s="25" t="s">
        <v>151</v>
      </c>
      <c r="E526" s="234"/>
      <c r="F526" s="67"/>
      <c r="G526" s="81">
        <f t="shared" si="32"/>
        <v>0</v>
      </c>
    </row>
    <row r="527" spans="1:7" s="21" customFormat="1" ht="46.5">
      <c r="A527" s="22"/>
      <c r="B527" s="124">
        <v>40503.01</v>
      </c>
      <c r="C527" s="156" t="s">
        <v>1211</v>
      </c>
      <c r="D527" s="25" t="s">
        <v>151</v>
      </c>
      <c r="E527" s="234"/>
      <c r="F527" s="67"/>
      <c r="G527" s="81">
        <f t="shared" si="32"/>
        <v>0</v>
      </c>
    </row>
    <row r="528" spans="1:7" s="21" customFormat="1" ht="31">
      <c r="A528" s="22"/>
      <c r="B528" s="124" t="s">
        <v>733</v>
      </c>
      <c r="C528" s="156" t="s">
        <v>1212</v>
      </c>
      <c r="D528" s="25" t="s">
        <v>148</v>
      </c>
      <c r="E528" s="234"/>
      <c r="F528" s="67"/>
      <c r="G528" s="81">
        <f t="shared" si="32"/>
        <v>0</v>
      </c>
    </row>
    <row r="529" spans="1:7" s="21" customFormat="1" ht="15.5">
      <c r="A529" s="22"/>
      <c r="B529" s="124">
        <v>40508.01</v>
      </c>
      <c r="C529" s="156" t="s">
        <v>223</v>
      </c>
      <c r="D529" s="25" t="s">
        <v>148</v>
      </c>
      <c r="E529" s="234"/>
      <c r="F529" s="67"/>
      <c r="G529" s="81">
        <f t="shared" si="32"/>
        <v>0</v>
      </c>
    </row>
    <row r="530" spans="1:7" s="21" customFormat="1" ht="31">
      <c r="A530" s="22"/>
      <c r="B530" s="124">
        <v>40509.01</v>
      </c>
      <c r="C530" s="156" t="s">
        <v>426</v>
      </c>
      <c r="D530" s="25" t="s">
        <v>148</v>
      </c>
      <c r="E530" s="234"/>
      <c r="F530" s="67"/>
      <c r="G530" s="81">
        <f t="shared" si="32"/>
        <v>0</v>
      </c>
    </row>
    <row r="531" spans="1:7" s="21" customFormat="1" ht="31">
      <c r="A531" s="22"/>
      <c r="B531" s="124">
        <v>40510.01</v>
      </c>
      <c r="C531" s="156" t="s">
        <v>1213</v>
      </c>
      <c r="D531" s="25" t="s">
        <v>150</v>
      </c>
      <c r="E531" s="234"/>
      <c r="F531" s="67"/>
      <c r="G531" s="81">
        <f t="shared" si="32"/>
        <v>0</v>
      </c>
    </row>
    <row r="532" spans="1:7" s="21" customFormat="1" ht="16" thickBot="1">
      <c r="A532" s="22"/>
      <c r="B532" s="125">
        <v>40511.01</v>
      </c>
      <c r="C532" s="157" t="s">
        <v>1202</v>
      </c>
      <c r="D532" s="104" t="s">
        <v>151</v>
      </c>
      <c r="E532" s="194"/>
      <c r="F532" s="105"/>
      <c r="G532" s="106">
        <f t="shared" si="32"/>
        <v>0</v>
      </c>
    </row>
    <row r="533" spans="1:7" s="21" customFormat="1" ht="16" thickBot="1">
      <c r="A533" s="22"/>
      <c r="B533" s="123"/>
      <c r="C533" s="23" t="s">
        <v>993</v>
      </c>
      <c r="D533" s="43"/>
      <c r="E533" s="59" t="str">
        <f>IF(SUM(E534:E535)&gt;0,1,"")</f>
        <v/>
      </c>
      <c r="F533" s="60"/>
      <c r="G533" s="61"/>
    </row>
    <row r="534" spans="1:7" s="21" customFormat="1" ht="15.5">
      <c r="A534" s="22"/>
      <c r="B534" s="127">
        <v>40601.01</v>
      </c>
      <c r="C534" s="159" t="s">
        <v>1214</v>
      </c>
      <c r="D534" s="62" t="s">
        <v>148</v>
      </c>
      <c r="E534" s="245"/>
      <c r="F534" s="63"/>
      <c r="G534" s="103">
        <f>E534*F534</f>
        <v>0</v>
      </c>
    </row>
    <row r="535" spans="1:7" s="21" customFormat="1" ht="16" thickBot="1">
      <c r="A535" s="22"/>
      <c r="B535" s="125">
        <v>40602.01</v>
      </c>
      <c r="C535" s="157" t="s">
        <v>1215</v>
      </c>
      <c r="D535" s="104" t="s">
        <v>148</v>
      </c>
      <c r="E535" s="194"/>
      <c r="F535" s="105"/>
      <c r="G535" s="106">
        <f>E535*F535</f>
        <v>0</v>
      </c>
    </row>
    <row r="536" spans="1:7" s="21" customFormat="1" ht="31.5" thickBot="1">
      <c r="A536" s="22"/>
      <c r="B536" s="123"/>
      <c r="C536" s="23" t="s">
        <v>994</v>
      </c>
      <c r="D536" s="43"/>
      <c r="E536" s="59" t="str">
        <f>IF(SUM(E537:E544)&gt;0,1,"")</f>
        <v/>
      </c>
      <c r="F536" s="60"/>
      <c r="G536" s="61"/>
    </row>
    <row r="537" spans="1:7" s="21" customFormat="1" ht="46.5">
      <c r="A537" s="22"/>
      <c r="B537" s="127">
        <v>40721.01</v>
      </c>
      <c r="C537" s="159" t="s">
        <v>1216</v>
      </c>
      <c r="D537" s="62" t="s">
        <v>150</v>
      </c>
      <c r="E537" s="245"/>
      <c r="F537" s="63"/>
      <c r="G537" s="103">
        <f t="shared" ref="G537:G544" si="33">E537*F537</f>
        <v>0</v>
      </c>
    </row>
    <row r="538" spans="1:7" s="21" customFormat="1" ht="31">
      <c r="A538" s="22"/>
      <c r="B538" s="124">
        <v>40722.01</v>
      </c>
      <c r="C538" s="156" t="s">
        <v>1217</v>
      </c>
      <c r="D538" s="25" t="s">
        <v>148</v>
      </c>
      <c r="E538" s="234"/>
      <c r="F538" s="67"/>
      <c r="G538" s="81">
        <f t="shared" si="33"/>
        <v>0</v>
      </c>
    </row>
    <row r="539" spans="1:7" s="21" customFormat="1" ht="31">
      <c r="A539" s="22"/>
      <c r="B539" s="124">
        <v>40723.01</v>
      </c>
      <c r="C539" s="156" t="s">
        <v>1218</v>
      </c>
      <c r="D539" s="25" t="s">
        <v>148</v>
      </c>
      <c r="E539" s="234"/>
      <c r="F539" s="67"/>
      <c r="G539" s="81">
        <f t="shared" si="33"/>
        <v>0</v>
      </c>
    </row>
    <row r="540" spans="1:7" s="21" customFormat="1" ht="62">
      <c r="A540" s="22"/>
      <c r="B540" s="134">
        <v>40724.01</v>
      </c>
      <c r="C540" s="156" t="s">
        <v>1219</v>
      </c>
      <c r="D540" s="25" t="s">
        <v>151</v>
      </c>
      <c r="E540" s="234"/>
      <c r="F540" s="67"/>
      <c r="G540" s="81">
        <f t="shared" si="33"/>
        <v>0</v>
      </c>
    </row>
    <row r="541" spans="1:7" s="21" customFormat="1" ht="15.5">
      <c r="A541" s="22"/>
      <c r="B541" s="124" t="s">
        <v>734</v>
      </c>
      <c r="C541" s="156" t="s">
        <v>427</v>
      </c>
      <c r="D541" s="25" t="s">
        <v>150</v>
      </c>
      <c r="E541" s="234"/>
      <c r="F541" s="67"/>
      <c r="G541" s="81">
        <f t="shared" si="33"/>
        <v>0</v>
      </c>
    </row>
    <row r="542" spans="1:7" s="21" customFormat="1" ht="15.5">
      <c r="A542" s="22"/>
      <c r="B542" s="134" t="s">
        <v>735</v>
      </c>
      <c r="C542" s="156" t="s">
        <v>428</v>
      </c>
      <c r="D542" s="25" t="s">
        <v>150</v>
      </c>
      <c r="E542" s="234"/>
      <c r="F542" s="67"/>
      <c r="G542" s="81">
        <f t="shared" si="33"/>
        <v>0</v>
      </c>
    </row>
    <row r="543" spans="1:7" s="21" customFormat="1" ht="31">
      <c r="A543" s="22"/>
      <c r="B543" s="124" t="s">
        <v>736</v>
      </c>
      <c r="C543" s="156" t="s">
        <v>1220</v>
      </c>
      <c r="D543" s="25" t="s">
        <v>150</v>
      </c>
      <c r="E543" s="234"/>
      <c r="F543" s="67"/>
      <c r="G543" s="81">
        <f t="shared" si="33"/>
        <v>0</v>
      </c>
    </row>
    <row r="544" spans="1:7" s="21" customFormat="1" ht="31.5" thickBot="1">
      <c r="A544" s="22"/>
      <c r="B544" s="135" t="s">
        <v>737</v>
      </c>
      <c r="C544" s="157" t="s">
        <v>1221</v>
      </c>
      <c r="D544" s="104" t="s">
        <v>150</v>
      </c>
      <c r="E544" s="194"/>
      <c r="F544" s="105"/>
      <c r="G544" s="106">
        <f t="shared" si="33"/>
        <v>0</v>
      </c>
    </row>
    <row r="545" spans="1:7" s="21" customFormat="1" ht="16" thickBot="1">
      <c r="A545" s="22"/>
      <c r="B545" s="123"/>
      <c r="C545" s="23" t="s">
        <v>995</v>
      </c>
      <c r="D545" s="43"/>
      <c r="E545" s="59" t="str">
        <f>IF(SUM(E546:E556)&gt;0,1,"")</f>
        <v/>
      </c>
      <c r="F545" s="60"/>
      <c r="G545" s="61"/>
    </row>
    <row r="546" spans="1:7" s="21" customFormat="1" ht="31">
      <c r="A546" s="22"/>
      <c r="B546" s="127">
        <v>40801.01</v>
      </c>
      <c r="C546" s="159" t="s">
        <v>2069</v>
      </c>
      <c r="D546" s="62" t="s">
        <v>150</v>
      </c>
      <c r="E546" s="245"/>
      <c r="F546" s="63"/>
      <c r="G546" s="103">
        <f t="shared" ref="G546:G556" si="34">E546*F546</f>
        <v>0</v>
      </c>
    </row>
    <row r="547" spans="1:7" s="21" customFormat="1" ht="31">
      <c r="A547" s="22"/>
      <c r="B547" s="124">
        <v>40802.01</v>
      </c>
      <c r="C547" s="156" t="s">
        <v>1222</v>
      </c>
      <c r="D547" s="25" t="s">
        <v>150</v>
      </c>
      <c r="E547" s="234"/>
      <c r="F547" s="67"/>
      <c r="G547" s="81">
        <f t="shared" si="34"/>
        <v>0</v>
      </c>
    </row>
    <row r="548" spans="1:7" s="21" customFormat="1" ht="31">
      <c r="A548" s="22"/>
      <c r="B548" s="124">
        <v>40803.01</v>
      </c>
      <c r="C548" s="156" t="s">
        <v>2070</v>
      </c>
      <c r="D548" s="25" t="s">
        <v>150</v>
      </c>
      <c r="E548" s="234"/>
      <c r="F548" s="67"/>
      <c r="G548" s="81">
        <f t="shared" si="34"/>
        <v>0</v>
      </c>
    </row>
    <row r="549" spans="1:7" s="21" customFormat="1" ht="31">
      <c r="A549" s="22"/>
      <c r="B549" s="124">
        <v>40804.01</v>
      </c>
      <c r="C549" s="156" t="s">
        <v>1223</v>
      </c>
      <c r="D549" s="25" t="s">
        <v>150</v>
      </c>
      <c r="E549" s="234"/>
      <c r="F549" s="67"/>
      <c r="G549" s="81">
        <f t="shared" si="34"/>
        <v>0</v>
      </c>
    </row>
    <row r="550" spans="1:7" s="21" customFormat="1" ht="31">
      <c r="A550" s="22"/>
      <c r="B550" s="124">
        <v>40805.01</v>
      </c>
      <c r="C550" s="156" t="s">
        <v>1224</v>
      </c>
      <c r="D550" s="25" t="s">
        <v>150</v>
      </c>
      <c r="E550" s="234"/>
      <c r="F550" s="67"/>
      <c r="G550" s="81">
        <f t="shared" si="34"/>
        <v>0</v>
      </c>
    </row>
    <row r="551" spans="1:7" s="21" customFormat="1" ht="15.5">
      <c r="A551" s="22"/>
      <c r="B551" s="124">
        <v>40806.01</v>
      </c>
      <c r="C551" s="156" t="s">
        <v>1225</v>
      </c>
      <c r="D551" s="25" t="s">
        <v>148</v>
      </c>
      <c r="E551" s="234"/>
      <c r="F551" s="67"/>
      <c r="G551" s="81">
        <f t="shared" si="34"/>
        <v>0</v>
      </c>
    </row>
    <row r="552" spans="1:7" s="21" customFormat="1" ht="31">
      <c r="A552" s="22"/>
      <c r="B552" s="124">
        <v>40807.01</v>
      </c>
      <c r="C552" s="156" t="s">
        <v>2072</v>
      </c>
      <c r="D552" s="25" t="s">
        <v>148</v>
      </c>
      <c r="E552" s="234"/>
      <c r="F552" s="67"/>
      <c r="G552" s="81">
        <f t="shared" si="34"/>
        <v>0</v>
      </c>
    </row>
    <row r="553" spans="1:7" s="21" customFormat="1" ht="15.5">
      <c r="A553" s="22"/>
      <c r="B553" s="124">
        <v>40808.01</v>
      </c>
      <c r="C553" s="156" t="s">
        <v>1226</v>
      </c>
      <c r="D553" s="25" t="s">
        <v>150</v>
      </c>
      <c r="E553" s="234"/>
      <c r="F553" s="67"/>
      <c r="G553" s="81">
        <f t="shared" si="34"/>
        <v>0</v>
      </c>
    </row>
    <row r="554" spans="1:7" s="21" customFormat="1" ht="31">
      <c r="A554" s="22"/>
      <c r="B554" s="124">
        <v>40809.01</v>
      </c>
      <c r="C554" s="156" t="s">
        <v>1227</v>
      </c>
      <c r="D554" s="25" t="s">
        <v>150</v>
      </c>
      <c r="E554" s="234"/>
      <c r="F554" s="67"/>
      <c r="G554" s="81">
        <f t="shared" si="34"/>
        <v>0</v>
      </c>
    </row>
    <row r="555" spans="1:7" s="21" customFormat="1" ht="31">
      <c r="A555" s="22"/>
      <c r="B555" s="124">
        <v>40810.01</v>
      </c>
      <c r="C555" s="156" t="s">
        <v>1228</v>
      </c>
      <c r="D555" s="25" t="s">
        <v>148</v>
      </c>
      <c r="E555" s="234"/>
      <c r="F555" s="67"/>
      <c r="G555" s="81">
        <f t="shared" si="34"/>
        <v>0</v>
      </c>
    </row>
    <row r="556" spans="1:7" s="21" customFormat="1" ht="47" thickBot="1">
      <c r="A556" s="22"/>
      <c r="B556" s="125">
        <v>40811.01</v>
      </c>
      <c r="C556" s="157" t="s">
        <v>1229</v>
      </c>
      <c r="D556" s="104" t="s">
        <v>151</v>
      </c>
      <c r="E556" s="194"/>
      <c r="F556" s="105"/>
      <c r="G556" s="106">
        <f t="shared" si="34"/>
        <v>0</v>
      </c>
    </row>
    <row r="557" spans="1:7" s="21" customFormat="1" ht="16" thickBot="1">
      <c r="A557" s="22"/>
      <c r="B557" s="123"/>
      <c r="C557" s="23" t="s">
        <v>996</v>
      </c>
      <c r="D557" s="43"/>
      <c r="E557" s="59" t="str">
        <f>IF(SUM(E558:E565)&gt;0,1,"")</f>
        <v/>
      </c>
      <c r="F557" s="60"/>
      <c r="G557" s="61"/>
    </row>
    <row r="558" spans="1:7" s="21" customFormat="1" ht="15.5">
      <c r="A558" s="22"/>
      <c r="B558" s="127">
        <v>40901.01</v>
      </c>
      <c r="C558" s="159" t="s">
        <v>85</v>
      </c>
      <c r="D558" s="62" t="s">
        <v>151</v>
      </c>
      <c r="E558" s="245"/>
      <c r="F558" s="63"/>
      <c r="G558" s="103">
        <f t="shared" ref="G558:G565" si="35">E558*F558</f>
        <v>0</v>
      </c>
    </row>
    <row r="559" spans="1:7" s="21" customFormat="1" ht="15.5">
      <c r="A559" s="22"/>
      <c r="B559" s="124">
        <v>40902.01</v>
      </c>
      <c r="C559" s="156" t="s">
        <v>84</v>
      </c>
      <c r="D559" s="25" t="s">
        <v>148</v>
      </c>
      <c r="E559" s="234"/>
      <c r="F559" s="67"/>
      <c r="G559" s="81">
        <f t="shared" si="35"/>
        <v>0</v>
      </c>
    </row>
    <row r="560" spans="1:7" s="21" customFormat="1" ht="15.5">
      <c r="A560" s="22"/>
      <c r="B560" s="124">
        <v>40903.01</v>
      </c>
      <c r="C560" s="156" t="s">
        <v>83</v>
      </c>
      <c r="D560" s="25" t="s">
        <v>148</v>
      </c>
      <c r="E560" s="234"/>
      <c r="F560" s="67"/>
      <c r="G560" s="81">
        <f t="shared" si="35"/>
        <v>0</v>
      </c>
    </row>
    <row r="561" spans="1:7" s="21" customFormat="1" ht="15.5">
      <c r="A561" s="22"/>
      <c r="B561" s="124">
        <v>40904.01</v>
      </c>
      <c r="C561" s="156" t="s">
        <v>82</v>
      </c>
      <c r="D561" s="25" t="s">
        <v>148</v>
      </c>
      <c r="E561" s="234"/>
      <c r="F561" s="67"/>
      <c r="G561" s="81">
        <f t="shared" si="35"/>
        <v>0</v>
      </c>
    </row>
    <row r="562" spans="1:7" s="21" customFormat="1" ht="15.5">
      <c r="A562" s="22"/>
      <c r="B562" s="124">
        <v>40905.01</v>
      </c>
      <c r="C562" s="156" t="s">
        <v>81</v>
      </c>
      <c r="D562" s="25" t="s">
        <v>148</v>
      </c>
      <c r="E562" s="234"/>
      <c r="F562" s="67"/>
      <c r="G562" s="81">
        <f t="shared" si="35"/>
        <v>0</v>
      </c>
    </row>
    <row r="563" spans="1:7" s="21" customFormat="1" ht="15.5">
      <c r="A563" s="22"/>
      <c r="B563" s="124">
        <v>40906.01</v>
      </c>
      <c r="C563" s="156" t="s">
        <v>80</v>
      </c>
      <c r="D563" s="25" t="s">
        <v>148</v>
      </c>
      <c r="E563" s="234"/>
      <c r="F563" s="67"/>
      <c r="G563" s="81">
        <f t="shared" si="35"/>
        <v>0</v>
      </c>
    </row>
    <row r="564" spans="1:7" s="21" customFormat="1" ht="15.5">
      <c r="A564" s="22"/>
      <c r="B564" s="124">
        <v>40907.01</v>
      </c>
      <c r="C564" s="156" t="s">
        <v>79</v>
      </c>
      <c r="D564" s="25" t="s">
        <v>148</v>
      </c>
      <c r="E564" s="234"/>
      <c r="F564" s="67"/>
      <c r="G564" s="81">
        <f t="shared" si="35"/>
        <v>0</v>
      </c>
    </row>
    <row r="565" spans="1:7" s="21" customFormat="1" ht="16" thickBot="1">
      <c r="A565" s="22"/>
      <c r="B565" s="125">
        <v>40908.01</v>
      </c>
      <c r="C565" s="157" t="s">
        <v>226</v>
      </c>
      <c r="D565" s="104" t="s">
        <v>148</v>
      </c>
      <c r="E565" s="194"/>
      <c r="F565" s="105"/>
      <c r="G565" s="106">
        <f t="shared" si="35"/>
        <v>0</v>
      </c>
    </row>
    <row r="566" spans="1:7" s="21" customFormat="1" ht="16" thickBot="1">
      <c r="A566" s="22"/>
      <c r="B566" s="123"/>
      <c r="C566" s="23" t="s">
        <v>654</v>
      </c>
      <c r="D566" s="43"/>
      <c r="E566" s="59" t="str">
        <f>IF(SUM(E567:E571)&gt;0,1,"")</f>
        <v/>
      </c>
      <c r="F566" s="60"/>
      <c r="G566" s="61"/>
    </row>
    <row r="567" spans="1:7" s="21" customFormat="1" ht="15.5">
      <c r="A567" s="22"/>
      <c r="B567" s="127">
        <v>41001.01</v>
      </c>
      <c r="C567" s="159" t="s">
        <v>2071</v>
      </c>
      <c r="D567" s="62" t="s">
        <v>148</v>
      </c>
      <c r="E567" s="234"/>
      <c r="F567" s="63"/>
      <c r="G567" s="103">
        <f>E567*F567</f>
        <v>0</v>
      </c>
    </row>
    <row r="568" spans="1:7" s="21" customFormat="1" ht="31">
      <c r="A568" s="22"/>
      <c r="B568" s="124">
        <v>41002.01</v>
      </c>
      <c r="C568" s="156" t="s">
        <v>1230</v>
      </c>
      <c r="D568" s="25" t="s">
        <v>149</v>
      </c>
      <c r="E568" s="234"/>
      <c r="F568" s="67"/>
      <c r="G568" s="81">
        <f>E568*F568</f>
        <v>0</v>
      </c>
    </row>
    <row r="569" spans="1:7" s="21" customFormat="1" ht="15.5">
      <c r="A569" s="22"/>
      <c r="B569" s="124">
        <v>41003.01</v>
      </c>
      <c r="C569" s="156" t="s">
        <v>1231</v>
      </c>
      <c r="D569" s="25" t="s">
        <v>148</v>
      </c>
      <c r="E569" s="234"/>
      <c r="F569" s="67"/>
      <c r="G569" s="81">
        <f>E569*F569</f>
        <v>0</v>
      </c>
    </row>
    <row r="570" spans="1:7" s="21" customFormat="1" ht="15.5">
      <c r="A570" s="22"/>
      <c r="B570" s="124">
        <v>41004.01</v>
      </c>
      <c r="C570" s="156" t="s">
        <v>1232</v>
      </c>
      <c r="D570" s="25" t="s">
        <v>148</v>
      </c>
      <c r="E570" s="234"/>
      <c r="F570" s="67"/>
      <c r="G570" s="81">
        <f>E570*F570</f>
        <v>0</v>
      </c>
    </row>
    <row r="571" spans="1:7" s="21" customFormat="1" ht="16" thickBot="1">
      <c r="A571" s="22"/>
      <c r="B571" s="125">
        <v>41005.01</v>
      </c>
      <c r="C571" s="157" t="s">
        <v>225</v>
      </c>
      <c r="D571" s="104" t="s">
        <v>145</v>
      </c>
      <c r="E571" s="194"/>
      <c r="F571" s="105"/>
      <c r="G571" s="106">
        <f>E571*F571</f>
        <v>0</v>
      </c>
    </row>
    <row r="572" spans="1:7" s="21" customFormat="1" ht="16" thickBot="1">
      <c r="A572" s="22"/>
      <c r="B572" s="123"/>
      <c r="C572" s="23" t="s">
        <v>997</v>
      </c>
      <c r="D572" s="43"/>
      <c r="E572" s="59">
        <f>IF(SUM(E573:E609)&gt;0,1,"")</f>
        <v>1</v>
      </c>
      <c r="F572" s="60"/>
      <c r="G572" s="61"/>
    </row>
    <row r="573" spans="1:7" s="21" customFormat="1" ht="16" thickBot="1">
      <c r="A573" s="22"/>
      <c r="B573" s="123"/>
      <c r="C573" s="23" t="s">
        <v>1658</v>
      </c>
      <c r="D573" s="43"/>
      <c r="E573" s="59" t="str">
        <f>IF(SUM(E574:E577)&gt;0,1,"")</f>
        <v/>
      </c>
      <c r="F573" s="60"/>
      <c r="G573" s="61"/>
    </row>
    <row r="574" spans="1:7" s="21" customFormat="1" ht="15.5">
      <c r="A574" s="22"/>
      <c r="B574" s="127">
        <v>41701.01</v>
      </c>
      <c r="C574" s="159" t="s">
        <v>78</v>
      </c>
      <c r="D574" s="62" t="s">
        <v>151</v>
      </c>
      <c r="E574" s="245"/>
      <c r="F574" s="63"/>
      <c r="G574" s="103">
        <f>E574*F574</f>
        <v>0</v>
      </c>
    </row>
    <row r="575" spans="1:7" s="21" customFormat="1" ht="15.5">
      <c r="A575" s="22"/>
      <c r="B575" s="124" t="s">
        <v>738</v>
      </c>
      <c r="C575" s="156" t="s">
        <v>77</v>
      </c>
      <c r="D575" s="25" t="s">
        <v>146</v>
      </c>
      <c r="E575" s="234"/>
      <c r="F575" s="67"/>
      <c r="G575" s="81">
        <f>E575*F575</f>
        <v>0</v>
      </c>
    </row>
    <row r="576" spans="1:7" s="21" customFormat="1" ht="15.5">
      <c r="A576" s="22"/>
      <c r="B576" s="124" t="s">
        <v>739</v>
      </c>
      <c r="C576" s="156" t="s">
        <v>227</v>
      </c>
      <c r="D576" s="25" t="s">
        <v>146</v>
      </c>
      <c r="E576" s="234"/>
      <c r="F576" s="67"/>
      <c r="G576" s="81">
        <f>E576*F576</f>
        <v>0</v>
      </c>
    </row>
    <row r="577" spans="1:7" s="21" customFormat="1" ht="16" thickBot="1">
      <c r="A577" s="22"/>
      <c r="B577" s="125" t="s">
        <v>740</v>
      </c>
      <c r="C577" s="157" t="s">
        <v>228</v>
      </c>
      <c r="D577" s="104" t="s">
        <v>150</v>
      </c>
      <c r="E577" s="194"/>
      <c r="F577" s="105"/>
      <c r="G577" s="106">
        <f>E577*F577</f>
        <v>0</v>
      </c>
    </row>
    <row r="578" spans="1:7" s="21" customFormat="1" ht="16" thickBot="1">
      <c r="A578" s="22"/>
      <c r="B578" s="129"/>
      <c r="C578" s="52" t="s">
        <v>1659</v>
      </c>
      <c r="D578" s="51"/>
      <c r="E578" s="59">
        <f>IF(SUM(E579:E583)&gt;0,1,"")</f>
        <v>1</v>
      </c>
      <c r="F578" s="60"/>
      <c r="G578" s="61"/>
    </row>
    <row r="579" spans="1:7" s="21" customFormat="1" ht="15.5">
      <c r="A579" s="22"/>
      <c r="B579" s="130" t="s">
        <v>839</v>
      </c>
      <c r="C579" s="161" t="s">
        <v>307</v>
      </c>
      <c r="D579" s="99" t="s">
        <v>151</v>
      </c>
      <c r="E579" s="209"/>
      <c r="F579" s="100"/>
      <c r="G579" s="85">
        <f>E579*F579</f>
        <v>0</v>
      </c>
    </row>
    <row r="580" spans="1:7" s="21" customFormat="1" ht="15.5">
      <c r="A580" s="22"/>
      <c r="B580" s="131" t="s">
        <v>840</v>
      </c>
      <c r="C580" s="162" t="s">
        <v>308</v>
      </c>
      <c r="D580" s="75" t="s">
        <v>146</v>
      </c>
      <c r="E580" s="186"/>
      <c r="F580" s="76"/>
      <c r="G580" s="101">
        <f>E580*F580</f>
        <v>0</v>
      </c>
    </row>
    <row r="581" spans="1:7" s="21" customFormat="1" ht="15.5">
      <c r="A581" s="22"/>
      <c r="B581" s="131" t="s">
        <v>841</v>
      </c>
      <c r="C581" s="162" t="s">
        <v>309</v>
      </c>
      <c r="D581" s="75" t="s">
        <v>146</v>
      </c>
      <c r="E581" s="186"/>
      <c r="F581" s="76"/>
      <c r="G581" s="101">
        <f>E581*F581</f>
        <v>0</v>
      </c>
    </row>
    <row r="582" spans="1:7" s="21" customFormat="1" ht="34.5" customHeight="1">
      <c r="A582" s="22"/>
      <c r="B582" s="131" t="s">
        <v>842</v>
      </c>
      <c r="C582" s="162" t="s">
        <v>2204</v>
      </c>
      <c r="D582" s="75" t="s">
        <v>150</v>
      </c>
      <c r="E582" s="186">
        <v>90</v>
      </c>
      <c r="F582" s="76"/>
      <c r="G582" s="101">
        <f>E582*F582</f>
        <v>0</v>
      </c>
    </row>
    <row r="583" spans="1:7" s="21" customFormat="1" ht="31.5" thickBot="1">
      <c r="A583" s="22"/>
      <c r="B583" s="132" t="s">
        <v>843</v>
      </c>
      <c r="C583" s="163" t="s">
        <v>352</v>
      </c>
      <c r="D583" s="77" t="s">
        <v>149</v>
      </c>
      <c r="E583" s="210"/>
      <c r="F583" s="78"/>
      <c r="G583" s="102">
        <f>E583*F583</f>
        <v>0</v>
      </c>
    </row>
    <row r="584" spans="1:7" s="21" customFormat="1" ht="16" thickBot="1">
      <c r="A584" s="22"/>
      <c r="B584" s="129"/>
      <c r="C584" s="52" t="s">
        <v>1660</v>
      </c>
      <c r="D584" s="51"/>
      <c r="E584" s="59" t="str">
        <f>IF(SUM(E585:E588)&gt;0,1,"")</f>
        <v/>
      </c>
      <c r="F584" s="60"/>
      <c r="G584" s="61"/>
    </row>
    <row r="585" spans="1:7" s="21" customFormat="1" ht="15.5">
      <c r="A585" s="22"/>
      <c r="B585" s="130" t="s">
        <v>844</v>
      </c>
      <c r="C585" s="161" t="s">
        <v>353</v>
      </c>
      <c r="D585" s="99" t="s">
        <v>151</v>
      </c>
      <c r="E585" s="209"/>
      <c r="F585" s="100"/>
      <c r="G585" s="85">
        <f>E585*F585</f>
        <v>0</v>
      </c>
    </row>
    <row r="586" spans="1:7" s="21" customFormat="1" ht="15.5">
      <c r="A586" s="22"/>
      <c r="B586" s="131" t="s">
        <v>845</v>
      </c>
      <c r="C586" s="162" t="s">
        <v>354</v>
      </c>
      <c r="D586" s="75" t="s">
        <v>151</v>
      </c>
      <c r="E586" s="186"/>
      <c r="F586" s="76"/>
      <c r="G586" s="101">
        <f>E586*F586</f>
        <v>0</v>
      </c>
    </row>
    <row r="587" spans="1:7" s="21" customFormat="1" ht="15.5">
      <c r="A587" s="22"/>
      <c r="B587" s="131" t="s">
        <v>846</v>
      </c>
      <c r="C587" s="162" t="s">
        <v>355</v>
      </c>
      <c r="D587" s="75" t="s">
        <v>151</v>
      </c>
      <c r="E587" s="186"/>
      <c r="F587" s="76"/>
      <c r="G587" s="101">
        <f>E587*F587</f>
        <v>0</v>
      </c>
    </row>
    <row r="588" spans="1:7" s="21" customFormat="1" ht="16" thickBot="1">
      <c r="A588" s="22"/>
      <c r="B588" s="132" t="s">
        <v>847</v>
      </c>
      <c r="C588" s="163" t="s">
        <v>356</v>
      </c>
      <c r="D588" s="77" t="s">
        <v>151</v>
      </c>
      <c r="E588" s="210"/>
      <c r="F588" s="78"/>
      <c r="G588" s="102">
        <f>E588*F588</f>
        <v>0</v>
      </c>
    </row>
    <row r="589" spans="1:7" s="21" customFormat="1" ht="16" thickBot="1">
      <c r="A589" s="22"/>
      <c r="B589" s="129"/>
      <c r="C589" s="52" t="s">
        <v>1661</v>
      </c>
      <c r="D589" s="51"/>
      <c r="E589" s="59" t="str">
        <f>IF(SUM(E590:E591)&gt;0,1,"")</f>
        <v/>
      </c>
      <c r="F589" s="60"/>
      <c r="G589" s="61"/>
    </row>
    <row r="590" spans="1:7" s="21" customFormat="1" ht="31">
      <c r="A590" s="22"/>
      <c r="B590" s="130" t="s">
        <v>848</v>
      </c>
      <c r="C590" s="161" t="s">
        <v>310</v>
      </c>
      <c r="D590" s="99" t="s">
        <v>149</v>
      </c>
      <c r="E590" s="209"/>
      <c r="F590" s="100"/>
      <c r="G590" s="85">
        <f>E590*F590</f>
        <v>0</v>
      </c>
    </row>
    <row r="591" spans="1:7" s="21" customFormat="1" ht="31">
      <c r="A591" s="22"/>
      <c r="B591" s="131" t="s">
        <v>849</v>
      </c>
      <c r="C591" s="162" t="s">
        <v>311</v>
      </c>
      <c r="D591" s="75" t="s">
        <v>149</v>
      </c>
      <c r="E591" s="186"/>
      <c r="F591" s="76"/>
      <c r="G591" s="101">
        <f>E591*F591</f>
        <v>0</v>
      </c>
    </row>
    <row r="592" spans="1:7" s="21" customFormat="1" ht="31">
      <c r="A592" s="22"/>
      <c r="B592" s="131" t="s">
        <v>960</v>
      </c>
      <c r="C592" s="162" t="s">
        <v>962</v>
      </c>
      <c r="D592" s="75" t="s">
        <v>149</v>
      </c>
      <c r="E592" s="186"/>
      <c r="F592" s="76"/>
      <c r="G592" s="101">
        <f>E592*F592</f>
        <v>0</v>
      </c>
    </row>
    <row r="593" spans="1:7" s="21" customFormat="1" ht="36" customHeight="1" thickBot="1">
      <c r="A593" s="22"/>
      <c r="B593" s="132" t="s">
        <v>961</v>
      </c>
      <c r="C593" s="163" t="s">
        <v>963</v>
      </c>
      <c r="D593" s="77" t="s">
        <v>149</v>
      </c>
      <c r="E593" s="210"/>
      <c r="F593" s="78"/>
      <c r="G593" s="102">
        <f>E593*F593</f>
        <v>0</v>
      </c>
    </row>
    <row r="594" spans="1:7" s="21" customFormat="1" ht="16" thickBot="1">
      <c r="A594" s="22"/>
      <c r="B594" s="123"/>
      <c r="C594" s="23" t="s">
        <v>1662</v>
      </c>
      <c r="D594" s="43"/>
      <c r="E594" s="59">
        <f>IF(SUM(E595:E599)&gt;0,1,"")</f>
        <v>1</v>
      </c>
      <c r="F594" s="60"/>
      <c r="G594" s="61"/>
    </row>
    <row r="595" spans="1:7" s="21" customFormat="1" ht="31">
      <c r="A595" s="22"/>
      <c r="B595" s="127">
        <v>41751.01</v>
      </c>
      <c r="C595" s="159" t="s">
        <v>1233</v>
      </c>
      <c r="D595" s="62" t="s">
        <v>149</v>
      </c>
      <c r="E595" s="245"/>
      <c r="F595" s="63"/>
      <c r="G595" s="103">
        <f>E595*F595</f>
        <v>0</v>
      </c>
    </row>
    <row r="596" spans="1:7" s="21" customFormat="1" ht="31">
      <c r="A596" s="22"/>
      <c r="B596" s="124">
        <v>41752.01</v>
      </c>
      <c r="C596" s="156" t="s">
        <v>2180</v>
      </c>
      <c r="D596" s="25" t="s">
        <v>149</v>
      </c>
      <c r="E596" s="234">
        <v>40</v>
      </c>
      <c r="F596" s="67"/>
      <c r="G596" s="81">
        <f>E596*F596</f>
        <v>0</v>
      </c>
    </row>
    <row r="597" spans="1:7" s="21" customFormat="1" ht="31">
      <c r="A597" s="22"/>
      <c r="B597" s="134">
        <v>41753.01</v>
      </c>
      <c r="C597" s="156" t="s">
        <v>1234</v>
      </c>
      <c r="D597" s="25" t="s">
        <v>149</v>
      </c>
      <c r="E597" s="234"/>
      <c r="F597" s="67"/>
      <c r="G597" s="81">
        <f>E597*F597</f>
        <v>0</v>
      </c>
    </row>
    <row r="598" spans="1:7" s="21" customFormat="1" ht="31">
      <c r="A598" s="22"/>
      <c r="B598" s="134">
        <v>41754.01</v>
      </c>
      <c r="C598" s="156" t="s">
        <v>2181</v>
      </c>
      <c r="D598" s="25" t="s">
        <v>149</v>
      </c>
      <c r="E598" s="234">
        <v>26</v>
      </c>
      <c r="F598" s="67"/>
      <c r="G598" s="81">
        <f>E598*F598</f>
        <v>0</v>
      </c>
    </row>
    <row r="599" spans="1:7" s="21" customFormat="1" ht="31.5" thickBot="1">
      <c r="A599" s="22"/>
      <c r="B599" s="135" t="s">
        <v>2182</v>
      </c>
      <c r="C599" s="157" t="s">
        <v>2183</v>
      </c>
      <c r="D599" s="104" t="s">
        <v>149</v>
      </c>
      <c r="E599" s="194">
        <v>21</v>
      </c>
      <c r="F599" s="105"/>
      <c r="G599" s="106">
        <f>E599*F599</f>
        <v>0</v>
      </c>
    </row>
    <row r="600" spans="1:7" s="21" customFormat="1" ht="16" thickBot="1">
      <c r="A600" s="22"/>
      <c r="B600" s="123"/>
      <c r="C600" s="23" t="s">
        <v>1663</v>
      </c>
      <c r="D600" s="43"/>
      <c r="E600" s="59" t="str">
        <f>IF(SUM(E601:E604)&gt;0,1,"")</f>
        <v/>
      </c>
      <c r="F600" s="60"/>
      <c r="G600" s="61"/>
    </row>
    <row r="601" spans="1:7" s="21" customFormat="1" ht="31">
      <c r="A601" s="22"/>
      <c r="B601" s="136">
        <v>41801.01</v>
      </c>
      <c r="C601" s="159" t="s">
        <v>1235</v>
      </c>
      <c r="D601" s="62" t="s">
        <v>149</v>
      </c>
      <c r="E601" s="245"/>
      <c r="F601" s="63"/>
      <c r="G601" s="103">
        <f>E601*F601</f>
        <v>0</v>
      </c>
    </row>
    <row r="602" spans="1:7" s="21" customFormat="1" ht="31">
      <c r="A602" s="22"/>
      <c r="B602" s="134">
        <v>41802.01</v>
      </c>
      <c r="C602" s="156" t="s">
        <v>1236</v>
      </c>
      <c r="D602" s="25" t="s">
        <v>149</v>
      </c>
      <c r="E602" s="234"/>
      <c r="F602" s="67"/>
      <c r="G602" s="81">
        <f>E602*F602</f>
        <v>0</v>
      </c>
    </row>
    <row r="603" spans="1:7" s="21" customFormat="1" ht="31">
      <c r="A603" s="22"/>
      <c r="B603" s="134">
        <v>41803.01</v>
      </c>
      <c r="C603" s="156" t="s">
        <v>1237</v>
      </c>
      <c r="D603" s="25" t="s">
        <v>149</v>
      </c>
      <c r="E603" s="234"/>
      <c r="F603" s="67"/>
      <c r="G603" s="81">
        <f>E603*F603</f>
        <v>0</v>
      </c>
    </row>
    <row r="604" spans="1:7" s="21" customFormat="1" ht="31.5" thickBot="1">
      <c r="A604" s="22"/>
      <c r="B604" s="135">
        <v>41804.01</v>
      </c>
      <c r="C604" s="157" t="s">
        <v>1238</v>
      </c>
      <c r="D604" s="104" t="s">
        <v>149</v>
      </c>
      <c r="E604" s="194"/>
      <c r="F604" s="105"/>
      <c r="G604" s="106">
        <f>E604*F604</f>
        <v>0</v>
      </c>
    </row>
    <row r="605" spans="1:7" s="21" customFormat="1" ht="16" thickBot="1">
      <c r="A605" s="22"/>
      <c r="B605" s="123"/>
      <c r="C605" s="23" t="s">
        <v>1664</v>
      </c>
      <c r="D605" s="43"/>
      <c r="E605" s="59" t="str">
        <f>IF(SUM(E606)&gt;0,1,"")</f>
        <v/>
      </c>
      <c r="F605" s="60"/>
      <c r="G605" s="61"/>
    </row>
    <row r="606" spans="1:7" s="21" customFormat="1" ht="16" thickBot="1">
      <c r="A606" s="22"/>
      <c r="B606" s="137">
        <v>41851.01</v>
      </c>
      <c r="C606" s="158" t="s">
        <v>1239</v>
      </c>
      <c r="D606" s="109" t="s">
        <v>149</v>
      </c>
      <c r="E606" s="246"/>
      <c r="F606" s="110"/>
      <c r="G606" s="111">
        <f>E606*F606</f>
        <v>0</v>
      </c>
    </row>
    <row r="607" spans="1:7" s="21" customFormat="1" ht="16" thickBot="1">
      <c r="A607" s="22"/>
      <c r="B607" s="123"/>
      <c r="C607" s="23" t="s">
        <v>1665</v>
      </c>
      <c r="D607" s="43"/>
      <c r="E607" s="59" t="str">
        <f>IF(SUM(E608:E609)&gt;0,1,"")</f>
        <v/>
      </c>
      <c r="F607" s="60"/>
      <c r="G607" s="61"/>
    </row>
    <row r="608" spans="1:7" s="21" customFormat="1" ht="15.5">
      <c r="A608" s="22"/>
      <c r="B608" s="136">
        <v>41901.01</v>
      </c>
      <c r="C608" s="159" t="s">
        <v>1240</v>
      </c>
      <c r="D608" s="62" t="s">
        <v>149</v>
      </c>
      <c r="E608" s="245"/>
      <c r="F608" s="63"/>
      <c r="G608" s="103">
        <f>E608*F608</f>
        <v>0</v>
      </c>
    </row>
    <row r="609" spans="1:7" s="21" customFormat="1" ht="16" thickBot="1">
      <c r="A609" s="22"/>
      <c r="B609" s="125">
        <v>41902.01</v>
      </c>
      <c r="C609" s="157" t="s">
        <v>222</v>
      </c>
      <c r="D609" s="104" t="s">
        <v>149</v>
      </c>
      <c r="E609" s="194"/>
      <c r="F609" s="105"/>
      <c r="G609" s="106">
        <f>E609*F609</f>
        <v>0</v>
      </c>
    </row>
    <row r="610" spans="1:7" s="21" customFormat="1" ht="16" thickBot="1">
      <c r="A610" s="22"/>
      <c r="B610" s="123"/>
      <c r="C610" s="23" t="s">
        <v>998</v>
      </c>
      <c r="D610" s="43"/>
      <c r="E610" s="59" t="str">
        <f>IF(SUM(E611:E612)&gt;0,1,"")</f>
        <v/>
      </c>
      <c r="F610" s="60"/>
      <c r="G610" s="61"/>
    </row>
    <row r="611" spans="1:7" s="21" customFormat="1" ht="15.5">
      <c r="A611" s="22"/>
      <c r="B611" s="127">
        <v>42101.01</v>
      </c>
      <c r="C611" s="159" t="s">
        <v>529</v>
      </c>
      <c r="D611" s="62" t="s">
        <v>149</v>
      </c>
      <c r="E611" s="245"/>
      <c r="F611" s="63"/>
      <c r="G611" s="103">
        <f>E611*F611</f>
        <v>0</v>
      </c>
    </row>
    <row r="612" spans="1:7" s="21" customFormat="1" ht="31.5" thickBot="1">
      <c r="A612" s="22"/>
      <c r="B612" s="125" t="s">
        <v>741</v>
      </c>
      <c r="C612" s="157" t="s">
        <v>530</v>
      </c>
      <c r="D612" s="104" t="s">
        <v>149</v>
      </c>
      <c r="E612" s="194"/>
      <c r="F612" s="105"/>
      <c r="G612" s="106">
        <f>E612*F612</f>
        <v>0</v>
      </c>
    </row>
    <row r="613" spans="1:7" s="21" customFormat="1" ht="16" thickBot="1">
      <c r="A613" s="22"/>
      <c r="B613" s="123"/>
      <c r="C613" s="23" t="s">
        <v>999</v>
      </c>
      <c r="D613" s="43"/>
      <c r="E613" s="59" t="str">
        <f>IF(SUM(E614:E621)&gt;0,1,"")</f>
        <v/>
      </c>
      <c r="F613" s="60"/>
      <c r="G613" s="61"/>
    </row>
    <row r="614" spans="1:7" s="21" customFormat="1" ht="31">
      <c r="A614" s="22"/>
      <c r="B614" s="127" t="s">
        <v>742</v>
      </c>
      <c r="C614" s="159" t="s">
        <v>1241</v>
      </c>
      <c r="D614" s="62" t="s">
        <v>148</v>
      </c>
      <c r="E614" s="245"/>
      <c r="F614" s="63"/>
      <c r="G614" s="103">
        <f t="shared" ref="G614:G621" si="36">E614*F614</f>
        <v>0</v>
      </c>
    </row>
    <row r="615" spans="1:7" s="21" customFormat="1" ht="31">
      <c r="A615" s="22"/>
      <c r="B615" s="124" t="s">
        <v>743</v>
      </c>
      <c r="C615" s="156" t="s">
        <v>1242</v>
      </c>
      <c r="D615" s="25" t="s">
        <v>148</v>
      </c>
      <c r="E615" s="234"/>
      <c r="F615" s="67"/>
      <c r="G615" s="81">
        <f t="shared" si="36"/>
        <v>0</v>
      </c>
    </row>
    <row r="616" spans="1:7" s="21" customFormat="1" ht="31">
      <c r="A616" s="22"/>
      <c r="B616" s="124" t="s">
        <v>744</v>
      </c>
      <c r="C616" s="156" t="s">
        <v>1243</v>
      </c>
      <c r="D616" s="25" t="s">
        <v>148</v>
      </c>
      <c r="E616" s="234"/>
      <c r="F616" s="67"/>
      <c r="G616" s="81">
        <f t="shared" si="36"/>
        <v>0</v>
      </c>
    </row>
    <row r="617" spans="1:7" s="21" customFormat="1" ht="31">
      <c r="A617" s="22"/>
      <c r="B617" s="124" t="s">
        <v>745</v>
      </c>
      <c r="C617" s="156" t="s">
        <v>1244</v>
      </c>
      <c r="D617" s="25" t="s">
        <v>148</v>
      </c>
      <c r="E617" s="234"/>
      <c r="F617" s="67"/>
      <c r="G617" s="81">
        <f t="shared" si="36"/>
        <v>0</v>
      </c>
    </row>
    <row r="618" spans="1:7" s="21" customFormat="1" ht="31">
      <c r="A618" s="22"/>
      <c r="B618" s="124" t="s">
        <v>746</v>
      </c>
      <c r="C618" s="156" t="s">
        <v>1245</v>
      </c>
      <c r="D618" s="25" t="s">
        <v>148</v>
      </c>
      <c r="E618" s="234"/>
      <c r="F618" s="67"/>
      <c r="G618" s="81">
        <f t="shared" si="36"/>
        <v>0</v>
      </c>
    </row>
    <row r="619" spans="1:7" s="21" customFormat="1" ht="31">
      <c r="A619" s="22"/>
      <c r="B619" s="124" t="s">
        <v>747</v>
      </c>
      <c r="C619" s="156" t="s">
        <v>1246</v>
      </c>
      <c r="D619" s="25" t="s">
        <v>148</v>
      </c>
      <c r="E619" s="234"/>
      <c r="F619" s="67"/>
      <c r="G619" s="81">
        <f t="shared" si="36"/>
        <v>0</v>
      </c>
    </row>
    <row r="620" spans="1:7" s="21" customFormat="1" ht="31">
      <c r="A620" s="22"/>
      <c r="B620" s="124" t="s">
        <v>748</v>
      </c>
      <c r="C620" s="156" t="s">
        <v>1247</v>
      </c>
      <c r="D620" s="25" t="s">
        <v>148</v>
      </c>
      <c r="E620" s="234"/>
      <c r="F620" s="67"/>
      <c r="G620" s="81">
        <f t="shared" si="36"/>
        <v>0</v>
      </c>
    </row>
    <row r="621" spans="1:7" s="21" customFormat="1" ht="31.5" thickBot="1">
      <c r="A621" s="22"/>
      <c r="B621" s="125" t="s">
        <v>749</v>
      </c>
      <c r="C621" s="157" t="s">
        <v>1248</v>
      </c>
      <c r="D621" s="104" t="s">
        <v>148</v>
      </c>
      <c r="E621" s="194"/>
      <c r="F621" s="105"/>
      <c r="G621" s="106">
        <f t="shared" si="36"/>
        <v>0</v>
      </c>
    </row>
    <row r="622" spans="1:7" s="21" customFormat="1" ht="16" thickBot="1">
      <c r="A622" s="22"/>
      <c r="B622" s="123"/>
      <c r="C622" s="23" t="s">
        <v>1000</v>
      </c>
      <c r="D622" s="43"/>
      <c r="E622" s="59" t="str">
        <f>IF(SUM(E623:E627)&gt;0,1,"")</f>
        <v/>
      </c>
      <c r="F622" s="60"/>
      <c r="G622" s="61"/>
    </row>
    <row r="623" spans="1:7" s="21" customFormat="1" ht="15.5">
      <c r="A623" s="22"/>
      <c r="B623" s="127">
        <v>42701.01</v>
      </c>
      <c r="C623" s="159" t="s">
        <v>63</v>
      </c>
      <c r="D623" s="62" t="s">
        <v>146</v>
      </c>
      <c r="E623" s="245"/>
      <c r="F623" s="63"/>
      <c r="G623" s="103">
        <f>E623*F623</f>
        <v>0</v>
      </c>
    </row>
    <row r="624" spans="1:7" s="21" customFormat="1" ht="15.5">
      <c r="A624" s="22"/>
      <c r="B624" s="124">
        <v>42702.01</v>
      </c>
      <c r="C624" s="156" t="s">
        <v>62</v>
      </c>
      <c r="D624" s="25" t="s">
        <v>147</v>
      </c>
      <c r="E624" s="234"/>
      <c r="F624" s="67"/>
      <c r="G624" s="81">
        <f>E624*F624</f>
        <v>0</v>
      </c>
    </row>
    <row r="625" spans="1:7" s="21" customFormat="1" ht="15.5">
      <c r="A625" s="22"/>
      <c r="B625" s="124">
        <v>42703.01</v>
      </c>
      <c r="C625" s="156" t="s">
        <v>61</v>
      </c>
      <c r="D625" s="25" t="s">
        <v>147</v>
      </c>
      <c r="E625" s="234"/>
      <c r="F625" s="67"/>
      <c r="G625" s="81">
        <f>E625*F625</f>
        <v>0</v>
      </c>
    </row>
    <row r="626" spans="1:7" s="21" customFormat="1" ht="15.5">
      <c r="A626" s="22"/>
      <c r="B626" s="124" t="s">
        <v>750</v>
      </c>
      <c r="C626" s="156" t="s">
        <v>60</v>
      </c>
      <c r="D626" s="25" t="s">
        <v>148</v>
      </c>
      <c r="E626" s="234"/>
      <c r="F626" s="67"/>
      <c r="G626" s="81">
        <f>E626*F626</f>
        <v>0</v>
      </c>
    </row>
    <row r="627" spans="1:7" s="21" customFormat="1" ht="16" thickBot="1">
      <c r="A627" s="22"/>
      <c r="B627" s="125" t="s">
        <v>751</v>
      </c>
      <c r="C627" s="157" t="s">
        <v>220</v>
      </c>
      <c r="D627" s="104" t="s">
        <v>148</v>
      </c>
      <c r="E627" s="194"/>
      <c r="F627" s="105"/>
      <c r="G627" s="106">
        <f>E627*F627</f>
        <v>0</v>
      </c>
    </row>
    <row r="628" spans="1:7" s="21" customFormat="1" ht="16" thickBot="1">
      <c r="A628" s="22"/>
      <c r="B628" s="123"/>
      <c r="C628" s="23" t="s">
        <v>1001</v>
      </c>
      <c r="D628" s="43"/>
      <c r="E628" s="59" t="str">
        <f>IF(SUM(E629:E634)&gt;0,1,"")</f>
        <v/>
      </c>
      <c r="F628" s="60"/>
      <c r="G628" s="61"/>
    </row>
    <row r="629" spans="1:7" s="21" customFormat="1" ht="15.5">
      <c r="A629" s="22"/>
      <c r="B629" s="127">
        <v>42801.01</v>
      </c>
      <c r="C629" s="164" t="s">
        <v>72</v>
      </c>
      <c r="D629" s="62" t="s">
        <v>151</v>
      </c>
      <c r="E629" s="245"/>
      <c r="F629" s="63"/>
      <c r="G629" s="103">
        <f t="shared" ref="G629:G634" si="37">E629*F629</f>
        <v>0</v>
      </c>
    </row>
    <row r="630" spans="1:7" s="21" customFormat="1" ht="15.5">
      <c r="A630" s="22"/>
      <c r="B630" s="124">
        <v>42802.01</v>
      </c>
      <c r="C630" s="165" t="s">
        <v>71</v>
      </c>
      <c r="D630" s="25" t="s">
        <v>148</v>
      </c>
      <c r="E630" s="234"/>
      <c r="F630" s="67"/>
      <c r="G630" s="81">
        <f t="shared" si="37"/>
        <v>0</v>
      </c>
    </row>
    <row r="631" spans="1:7" s="21" customFormat="1" ht="15.5">
      <c r="A631" s="22"/>
      <c r="B631" s="124">
        <v>42803.01</v>
      </c>
      <c r="C631" s="156" t="s">
        <v>70</v>
      </c>
      <c r="D631" s="25" t="s">
        <v>148</v>
      </c>
      <c r="E631" s="234"/>
      <c r="F631" s="67"/>
      <c r="G631" s="81">
        <f t="shared" si="37"/>
        <v>0</v>
      </c>
    </row>
    <row r="632" spans="1:7" s="21" customFormat="1" ht="15.5">
      <c r="A632" s="22"/>
      <c r="B632" s="124">
        <v>42804.01</v>
      </c>
      <c r="C632" s="156" t="s">
        <v>69</v>
      </c>
      <c r="D632" s="25" t="s">
        <v>151</v>
      </c>
      <c r="E632" s="234"/>
      <c r="F632" s="67"/>
      <c r="G632" s="81">
        <f t="shared" si="37"/>
        <v>0</v>
      </c>
    </row>
    <row r="633" spans="1:7" s="21" customFormat="1" ht="15.5">
      <c r="A633" s="22"/>
      <c r="B633" s="124">
        <v>42805.01</v>
      </c>
      <c r="C633" s="156" t="s">
        <v>68</v>
      </c>
      <c r="D633" s="25" t="s">
        <v>151</v>
      </c>
      <c r="E633" s="234"/>
      <c r="F633" s="67"/>
      <c r="G633" s="81">
        <f t="shared" si="37"/>
        <v>0</v>
      </c>
    </row>
    <row r="634" spans="1:7" s="21" customFormat="1" ht="16" thickBot="1">
      <c r="A634" s="22"/>
      <c r="B634" s="125">
        <v>42806.01</v>
      </c>
      <c r="C634" s="157" t="s">
        <v>224</v>
      </c>
      <c r="D634" s="104" t="s">
        <v>148</v>
      </c>
      <c r="E634" s="194"/>
      <c r="F634" s="105"/>
      <c r="G634" s="106">
        <f t="shared" si="37"/>
        <v>0</v>
      </c>
    </row>
    <row r="635" spans="1:7" s="21" customFormat="1" ht="16" thickBot="1">
      <c r="A635" s="22"/>
      <c r="B635" s="123"/>
      <c r="C635" s="23" t="s">
        <v>1002</v>
      </c>
      <c r="D635" s="43"/>
      <c r="E635" s="59" t="str">
        <f>IF(SUM(E636:E651)&gt;0,1,"")</f>
        <v/>
      </c>
      <c r="F635" s="60"/>
      <c r="G635" s="61"/>
    </row>
    <row r="636" spans="1:7" s="21" customFormat="1" ht="15.5">
      <c r="A636" s="22"/>
      <c r="B636" s="127">
        <v>42901.01</v>
      </c>
      <c r="C636" s="159" t="s">
        <v>441</v>
      </c>
      <c r="D636" s="62" t="s">
        <v>148</v>
      </c>
      <c r="E636" s="245"/>
      <c r="F636" s="63"/>
      <c r="G636" s="103">
        <f t="shared" ref="G636:G651" si="38">E636*F636</f>
        <v>0</v>
      </c>
    </row>
    <row r="637" spans="1:7" s="21" customFormat="1" ht="15.5">
      <c r="A637" s="22"/>
      <c r="B637" s="124">
        <v>42902.01</v>
      </c>
      <c r="C637" s="156" t="s">
        <v>1902</v>
      </c>
      <c r="D637" s="25" t="s">
        <v>148</v>
      </c>
      <c r="E637" s="234"/>
      <c r="F637" s="67"/>
      <c r="G637" s="81">
        <f t="shared" si="38"/>
        <v>0</v>
      </c>
    </row>
    <row r="638" spans="1:7" s="21" customFormat="1" ht="31">
      <c r="A638" s="22"/>
      <c r="B638" s="124" t="s">
        <v>2036</v>
      </c>
      <c r="C638" s="156" t="s">
        <v>2132</v>
      </c>
      <c r="D638" s="25" t="s">
        <v>148</v>
      </c>
      <c r="E638" s="186">
        <v>0</v>
      </c>
      <c r="F638" s="67"/>
      <c r="G638" s="81">
        <f t="shared" si="38"/>
        <v>0</v>
      </c>
    </row>
    <row r="639" spans="1:7" s="21" customFormat="1" ht="31">
      <c r="A639" s="22"/>
      <c r="B639" s="124" t="s">
        <v>2037</v>
      </c>
      <c r="C639" s="156" t="s">
        <v>2133</v>
      </c>
      <c r="D639" s="25" t="s">
        <v>148</v>
      </c>
      <c r="E639" s="234"/>
      <c r="F639" s="67"/>
      <c r="G639" s="81">
        <f t="shared" si="38"/>
        <v>0</v>
      </c>
    </row>
    <row r="640" spans="1:7" s="21" customFormat="1" ht="31">
      <c r="A640" s="22"/>
      <c r="B640" s="124">
        <v>42903.03</v>
      </c>
      <c r="C640" s="156" t="s">
        <v>1821</v>
      </c>
      <c r="D640" s="25" t="s">
        <v>148</v>
      </c>
      <c r="E640" s="234"/>
      <c r="F640" s="67"/>
      <c r="G640" s="81">
        <f t="shared" si="38"/>
        <v>0</v>
      </c>
    </row>
    <row r="641" spans="1:7" s="21" customFormat="1" ht="31">
      <c r="A641" s="22"/>
      <c r="B641" s="124">
        <v>42903.040000000001</v>
      </c>
      <c r="C641" s="156" t="s">
        <v>1822</v>
      </c>
      <c r="D641" s="25" t="s">
        <v>148</v>
      </c>
      <c r="E641" s="234"/>
      <c r="F641" s="67"/>
      <c r="G641" s="81">
        <f t="shared" si="38"/>
        <v>0</v>
      </c>
    </row>
    <row r="642" spans="1:7" s="21" customFormat="1" ht="15.5">
      <c r="A642" s="22"/>
      <c r="B642" s="124">
        <v>42904.01</v>
      </c>
      <c r="C642" s="156" t="s">
        <v>442</v>
      </c>
      <c r="D642" s="25" t="s">
        <v>148</v>
      </c>
      <c r="E642" s="234"/>
      <c r="F642" s="67"/>
      <c r="G642" s="81">
        <f t="shared" si="38"/>
        <v>0</v>
      </c>
    </row>
    <row r="643" spans="1:7" s="21" customFormat="1" ht="15.5">
      <c r="A643" s="22"/>
      <c r="B643" s="124">
        <v>42905.01</v>
      </c>
      <c r="C643" s="156" t="s">
        <v>443</v>
      </c>
      <c r="D643" s="25" t="s">
        <v>148</v>
      </c>
      <c r="E643" s="234"/>
      <c r="F643" s="67"/>
      <c r="G643" s="81">
        <f t="shared" si="38"/>
        <v>0</v>
      </c>
    </row>
    <row r="644" spans="1:7" s="21" customFormat="1" ht="15.5">
      <c r="A644" s="22"/>
      <c r="B644" s="124">
        <v>42906.01</v>
      </c>
      <c r="C644" s="156" t="s">
        <v>444</v>
      </c>
      <c r="D644" s="25" t="s">
        <v>151</v>
      </c>
      <c r="E644" s="234"/>
      <c r="F644" s="67"/>
      <c r="G644" s="81">
        <f t="shared" si="38"/>
        <v>0</v>
      </c>
    </row>
    <row r="645" spans="1:7" s="21" customFormat="1" ht="15.5">
      <c r="A645" s="22"/>
      <c r="B645" s="124">
        <v>42907.01</v>
      </c>
      <c r="C645" s="156" t="s">
        <v>445</v>
      </c>
      <c r="D645" s="25" t="s">
        <v>146</v>
      </c>
      <c r="E645" s="234"/>
      <c r="F645" s="67"/>
      <c r="G645" s="81">
        <f t="shared" si="38"/>
        <v>0</v>
      </c>
    </row>
    <row r="646" spans="1:7" s="21" customFormat="1" ht="15.5">
      <c r="A646" s="22"/>
      <c r="B646" s="124">
        <v>42908.01</v>
      </c>
      <c r="C646" s="156" t="s">
        <v>446</v>
      </c>
      <c r="D646" s="25" t="s">
        <v>146</v>
      </c>
      <c r="E646" s="234"/>
      <c r="F646" s="67"/>
      <c r="G646" s="81">
        <f t="shared" si="38"/>
        <v>0</v>
      </c>
    </row>
    <row r="647" spans="1:7" s="21" customFormat="1" ht="15.5">
      <c r="A647" s="22"/>
      <c r="B647" s="124">
        <v>42909.01</v>
      </c>
      <c r="C647" s="156" t="s">
        <v>447</v>
      </c>
      <c r="D647" s="25" t="s">
        <v>146</v>
      </c>
      <c r="E647" s="234"/>
      <c r="F647" s="67"/>
      <c r="G647" s="81">
        <f t="shared" si="38"/>
        <v>0</v>
      </c>
    </row>
    <row r="648" spans="1:7" s="21" customFormat="1" ht="15.5">
      <c r="A648" s="22"/>
      <c r="B648" s="134">
        <v>42910.01</v>
      </c>
      <c r="C648" s="156" t="s">
        <v>448</v>
      </c>
      <c r="D648" s="25" t="s">
        <v>151</v>
      </c>
      <c r="E648" s="234"/>
      <c r="F648" s="67"/>
      <c r="G648" s="81">
        <f t="shared" si="38"/>
        <v>0</v>
      </c>
    </row>
    <row r="649" spans="1:7" s="21" customFormat="1" ht="15.5">
      <c r="A649" s="22"/>
      <c r="B649" s="216">
        <v>42910.02</v>
      </c>
      <c r="C649" s="156" t="s">
        <v>1819</v>
      </c>
      <c r="D649" s="25" t="s">
        <v>151</v>
      </c>
      <c r="E649" s="234"/>
      <c r="F649" s="67"/>
      <c r="G649" s="81">
        <f t="shared" si="38"/>
        <v>0</v>
      </c>
    </row>
    <row r="650" spans="1:7" s="21" customFormat="1" ht="31">
      <c r="A650" s="22"/>
      <c r="B650" s="216">
        <v>42910.03</v>
      </c>
      <c r="C650" s="156" t="s">
        <v>1820</v>
      </c>
      <c r="D650" s="25" t="s">
        <v>151</v>
      </c>
      <c r="E650" s="234"/>
      <c r="F650" s="67"/>
      <c r="G650" s="81">
        <f t="shared" si="38"/>
        <v>0</v>
      </c>
    </row>
    <row r="651" spans="1:7" s="21" customFormat="1" ht="16" thickBot="1">
      <c r="A651" s="22"/>
      <c r="B651" s="135">
        <v>42911.01</v>
      </c>
      <c r="C651" s="157" t="s">
        <v>449</v>
      </c>
      <c r="D651" s="104" t="s">
        <v>149</v>
      </c>
      <c r="E651" s="194"/>
      <c r="F651" s="105"/>
      <c r="G651" s="106">
        <f t="shared" si="38"/>
        <v>0</v>
      </c>
    </row>
    <row r="652" spans="1:7" s="21" customFormat="1" ht="16" thickBot="1">
      <c r="A652" s="22"/>
      <c r="B652" s="123"/>
      <c r="C652" s="23" t="s">
        <v>1003</v>
      </c>
      <c r="D652" s="43"/>
      <c r="E652" s="59" t="str">
        <f>IF(SUM(E653:E655)&gt;0,1,"")</f>
        <v/>
      </c>
      <c r="F652" s="60"/>
      <c r="G652" s="61"/>
    </row>
    <row r="653" spans="1:7" s="21" customFormat="1" ht="15.5">
      <c r="A653" s="22"/>
      <c r="B653" s="127">
        <v>43401.01</v>
      </c>
      <c r="C653" s="159" t="s">
        <v>1249</v>
      </c>
      <c r="D653" s="62" t="s">
        <v>151</v>
      </c>
      <c r="E653" s="245"/>
      <c r="F653" s="63"/>
      <c r="G653" s="103">
        <f>E653*F653</f>
        <v>0</v>
      </c>
    </row>
    <row r="654" spans="1:7" s="21" customFormat="1" ht="31">
      <c r="A654" s="22"/>
      <c r="B654" s="124">
        <v>43402.01</v>
      </c>
      <c r="C654" s="156" t="s">
        <v>1250</v>
      </c>
      <c r="D654" s="25" t="s">
        <v>151</v>
      </c>
      <c r="E654" s="234"/>
      <c r="F654" s="67"/>
      <c r="G654" s="81">
        <f>E654*F654</f>
        <v>0</v>
      </c>
    </row>
    <row r="655" spans="1:7" s="21" customFormat="1" ht="16" thickBot="1">
      <c r="A655" s="22"/>
      <c r="B655" s="125">
        <v>43403.01</v>
      </c>
      <c r="C655" s="157" t="s">
        <v>1251</v>
      </c>
      <c r="D655" s="104" t="s">
        <v>151</v>
      </c>
      <c r="E655" s="194"/>
      <c r="F655" s="105"/>
      <c r="G655" s="106">
        <f>E655*F655</f>
        <v>0</v>
      </c>
    </row>
    <row r="656" spans="1:7" s="21" customFormat="1" ht="31.5" thickBot="1">
      <c r="A656" s="22"/>
      <c r="B656" s="123"/>
      <c r="C656" s="23" t="s">
        <v>1004</v>
      </c>
      <c r="D656" s="43"/>
      <c r="E656" s="59" t="str">
        <f>IF(SUM(E657:E659)&gt;0,1,"")</f>
        <v/>
      </c>
      <c r="F656" s="60"/>
      <c r="G656" s="61"/>
    </row>
    <row r="657" spans="1:7" s="21" customFormat="1" ht="31">
      <c r="A657" s="22"/>
      <c r="B657" s="136">
        <v>43501.01</v>
      </c>
      <c r="C657" s="159" t="s">
        <v>1252</v>
      </c>
      <c r="D657" s="62" t="s">
        <v>151</v>
      </c>
      <c r="E657" s="245"/>
      <c r="F657" s="63"/>
      <c r="G657" s="103">
        <f>E657*F657</f>
        <v>0</v>
      </c>
    </row>
    <row r="658" spans="1:7" s="21" customFormat="1" ht="31">
      <c r="A658" s="22"/>
      <c r="B658" s="134">
        <v>43502.01</v>
      </c>
      <c r="C658" s="156" t="s">
        <v>1253</v>
      </c>
      <c r="D658" s="25" t="s">
        <v>151</v>
      </c>
      <c r="E658" s="234"/>
      <c r="F658" s="67"/>
      <c r="G658" s="81">
        <f>E658*F658</f>
        <v>0</v>
      </c>
    </row>
    <row r="659" spans="1:7" s="21" customFormat="1" ht="31.5" thickBot="1">
      <c r="A659" s="22"/>
      <c r="B659" s="135">
        <v>43503.01</v>
      </c>
      <c r="C659" s="157" t="s">
        <v>1254</v>
      </c>
      <c r="D659" s="104" t="s">
        <v>151</v>
      </c>
      <c r="E659" s="194"/>
      <c r="F659" s="105"/>
      <c r="G659" s="106">
        <f>E659*F659</f>
        <v>0</v>
      </c>
    </row>
    <row r="660" spans="1:7" s="21" customFormat="1" ht="16" thickBot="1">
      <c r="A660" s="22"/>
      <c r="B660" s="123"/>
      <c r="C660" s="23" t="s">
        <v>1005</v>
      </c>
      <c r="D660" s="43"/>
      <c r="E660" s="59">
        <f>IF(SUM(E661:E727)&gt;0,1,"")</f>
        <v>1</v>
      </c>
      <c r="F660" s="60"/>
      <c r="G660" s="61"/>
    </row>
    <row r="661" spans="1:7" s="21" customFormat="1" ht="16" thickBot="1">
      <c r="A661" s="22"/>
      <c r="B661" s="123"/>
      <c r="C661" s="23" t="s">
        <v>1666</v>
      </c>
      <c r="D661" s="43"/>
      <c r="E661" s="59">
        <f>IF(SUM(E662:E664)&gt;0,1,"")</f>
        <v>1</v>
      </c>
      <c r="F661" s="60"/>
      <c r="G661" s="61"/>
    </row>
    <row r="662" spans="1:7" s="21" customFormat="1" ht="15.5">
      <c r="A662" s="22"/>
      <c r="B662" s="127">
        <v>50001.01</v>
      </c>
      <c r="C662" s="159" t="s">
        <v>76</v>
      </c>
      <c r="D662" s="62" t="s">
        <v>145</v>
      </c>
      <c r="E662" s="245">
        <v>1</v>
      </c>
      <c r="F662" s="63"/>
      <c r="G662" s="103">
        <f>E662*F662</f>
        <v>0</v>
      </c>
    </row>
    <row r="663" spans="1:7" s="21" customFormat="1" ht="31">
      <c r="A663" s="22"/>
      <c r="B663" s="124">
        <v>50002.01</v>
      </c>
      <c r="C663" s="156" t="s">
        <v>75</v>
      </c>
      <c r="D663" s="25" t="s">
        <v>145</v>
      </c>
      <c r="E663" s="234">
        <v>1</v>
      </c>
      <c r="F663" s="67"/>
      <c r="G663" s="81">
        <f>E663*F663</f>
        <v>0</v>
      </c>
    </row>
    <row r="664" spans="1:7" s="21" customFormat="1" ht="31.5" thickBot="1">
      <c r="A664" s="22"/>
      <c r="B664" s="125">
        <v>50003.01</v>
      </c>
      <c r="C664" s="157" t="s">
        <v>229</v>
      </c>
      <c r="D664" s="104" t="s">
        <v>145</v>
      </c>
      <c r="E664" s="194">
        <v>1</v>
      </c>
      <c r="F664" s="105"/>
      <c r="G664" s="106">
        <f>E664*F664</f>
        <v>0</v>
      </c>
    </row>
    <row r="665" spans="1:7" s="21" customFormat="1" ht="16" thickBot="1">
      <c r="A665" s="22"/>
      <c r="B665" s="123"/>
      <c r="C665" s="23" t="s">
        <v>1667</v>
      </c>
      <c r="D665" s="43"/>
      <c r="E665" s="59">
        <f>IF(SUM(E666:E683)&gt;0,1,"")</f>
        <v>1</v>
      </c>
      <c r="F665" s="60"/>
      <c r="G665" s="61"/>
    </row>
    <row r="666" spans="1:7" s="21" customFormat="1" ht="15.5">
      <c r="A666" s="22"/>
      <c r="B666" s="136">
        <v>50051.01</v>
      </c>
      <c r="C666" s="159" t="s">
        <v>230</v>
      </c>
      <c r="D666" s="62" t="s">
        <v>147</v>
      </c>
      <c r="E666" s="245">
        <v>1</v>
      </c>
      <c r="F666" s="63"/>
      <c r="G666" s="103">
        <f t="shared" ref="G666:G683" si="39">E666*F666</f>
        <v>0</v>
      </c>
    </row>
    <row r="667" spans="1:7" s="21" customFormat="1" ht="31">
      <c r="A667" s="22"/>
      <c r="B667" s="134">
        <v>50052.01</v>
      </c>
      <c r="C667" s="156" t="s">
        <v>531</v>
      </c>
      <c r="D667" s="25" t="s">
        <v>145</v>
      </c>
      <c r="E667" s="234">
        <v>1</v>
      </c>
      <c r="F667" s="67"/>
      <c r="G667" s="81">
        <f t="shared" si="39"/>
        <v>0</v>
      </c>
    </row>
    <row r="668" spans="1:7" s="21" customFormat="1" ht="15.5">
      <c r="A668" s="22"/>
      <c r="B668" s="124">
        <v>50053.01</v>
      </c>
      <c r="C668" s="156" t="s">
        <v>532</v>
      </c>
      <c r="D668" s="25" t="s">
        <v>147</v>
      </c>
      <c r="E668" s="234"/>
      <c r="F668" s="67"/>
      <c r="G668" s="81">
        <f t="shared" si="39"/>
        <v>0</v>
      </c>
    </row>
    <row r="669" spans="1:7" s="21" customFormat="1" ht="15.5">
      <c r="A669" s="22"/>
      <c r="B669" s="124">
        <v>50053.02</v>
      </c>
      <c r="C669" s="156" t="s">
        <v>1811</v>
      </c>
      <c r="D669" s="25" t="s">
        <v>147</v>
      </c>
      <c r="E669" s="234"/>
      <c r="F669" s="67"/>
      <c r="G669" s="81">
        <f t="shared" si="39"/>
        <v>0</v>
      </c>
    </row>
    <row r="670" spans="1:7" s="21" customFormat="1" ht="15.5">
      <c r="A670" s="22"/>
      <c r="B670" s="124">
        <v>50053.03</v>
      </c>
      <c r="C670" s="156" t="s">
        <v>1812</v>
      </c>
      <c r="D670" s="25" t="s">
        <v>147</v>
      </c>
      <c r="E670" s="234"/>
      <c r="F670" s="67"/>
      <c r="G670" s="81">
        <f t="shared" si="39"/>
        <v>0</v>
      </c>
    </row>
    <row r="671" spans="1:7" s="21" customFormat="1" ht="15.5">
      <c r="A671" s="22"/>
      <c r="B671" s="124">
        <v>50053.04</v>
      </c>
      <c r="C671" s="156" t="s">
        <v>1813</v>
      </c>
      <c r="D671" s="25" t="s">
        <v>147</v>
      </c>
      <c r="E671" s="234"/>
      <c r="F671" s="67"/>
      <c r="G671" s="81">
        <f t="shared" si="39"/>
        <v>0</v>
      </c>
    </row>
    <row r="672" spans="1:7" s="21" customFormat="1" ht="15.5">
      <c r="A672" s="22"/>
      <c r="B672" s="124">
        <v>50053.05</v>
      </c>
      <c r="C672" s="156" t="s">
        <v>1814</v>
      </c>
      <c r="D672" s="25" t="s">
        <v>147</v>
      </c>
      <c r="E672" s="234"/>
      <c r="F672" s="67"/>
      <c r="G672" s="81">
        <f t="shared" si="39"/>
        <v>0</v>
      </c>
    </row>
    <row r="673" spans="1:7" s="21" customFormat="1" ht="15.5">
      <c r="A673" s="22"/>
      <c r="B673" s="124">
        <v>50053.06</v>
      </c>
      <c r="C673" s="156" t="s">
        <v>1815</v>
      </c>
      <c r="D673" s="25" t="s">
        <v>147</v>
      </c>
      <c r="E673" s="234"/>
      <c r="F673" s="67"/>
      <c r="G673" s="81">
        <f t="shared" si="39"/>
        <v>0</v>
      </c>
    </row>
    <row r="674" spans="1:7" s="21" customFormat="1" ht="15.5">
      <c r="A674" s="22"/>
      <c r="B674" s="124">
        <v>50053.07</v>
      </c>
      <c r="C674" s="156" t="s">
        <v>1816</v>
      </c>
      <c r="D674" s="25" t="s">
        <v>147</v>
      </c>
      <c r="E674" s="234"/>
      <c r="F674" s="67"/>
      <c r="G674" s="81">
        <f t="shared" si="39"/>
        <v>0</v>
      </c>
    </row>
    <row r="675" spans="1:7" s="21" customFormat="1" ht="15.5">
      <c r="A675" s="22"/>
      <c r="B675" s="124">
        <v>50053.08</v>
      </c>
      <c r="C675" s="156" t="s">
        <v>1817</v>
      </c>
      <c r="D675" s="25" t="s">
        <v>147</v>
      </c>
      <c r="E675" s="234"/>
      <c r="F675" s="67"/>
      <c r="G675" s="81">
        <f t="shared" si="39"/>
        <v>0</v>
      </c>
    </row>
    <row r="676" spans="1:7" s="21" customFormat="1" ht="31">
      <c r="A676" s="22"/>
      <c r="B676" s="134">
        <v>50054.01</v>
      </c>
      <c r="C676" s="156" t="s">
        <v>429</v>
      </c>
      <c r="D676" s="25" t="s">
        <v>145</v>
      </c>
      <c r="E676" s="234">
        <v>1</v>
      </c>
      <c r="F676" s="67"/>
      <c r="G676" s="81">
        <f t="shared" si="39"/>
        <v>0</v>
      </c>
    </row>
    <row r="677" spans="1:7" s="21" customFormat="1" ht="31">
      <c r="A677" s="22"/>
      <c r="B677" s="134">
        <v>50055.01</v>
      </c>
      <c r="C677" s="156" t="s">
        <v>429</v>
      </c>
      <c r="D677" s="25" t="s">
        <v>151</v>
      </c>
      <c r="E677" s="234"/>
      <c r="F677" s="67"/>
      <c r="G677" s="81">
        <f t="shared" si="39"/>
        <v>0</v>
      </c>
    </row>
    <row r="678" spans="1:7" s="21" customFormat="1" ht="31">
      <c r="A678" s="22"/>
      <c r="B678" s="134">
        <v>50056.01</v>
      </c>
      <c r="C678" s="156" t="s">
        <v>533</v>
      </c>
      <c r="D678" s="25" t="s">
        <v>145</v>
      </c>
      <c r="E678" s="234">
        <v>1</v>
      </c>
      <c r="F678" s="67"/>
      <c r="G678" s="81">
        <f t="shared" si="39"/>
        <v>0</v>
      </c>
    </row>
    <row r="679" spans="1:7" s="21" customFormat="1" ht="15.5">
      <c r="A679" s="22"/>
      <c r="B679" s="134">
        <v>50057.01</v>
      </c>
      <c r="C679" s="156" t="s">
        <v>1818</v>
      </c>
      <c r="D679" s="25" t="s">
        <v>147</v>
      </c>
      <c r="E679" s="234"/>
      <c r="F679" s="67"/>
      <c r="G679" s="81">
        <f t="shared" si="39"/>
        <v>0</v>
      </c>
    </row>
    <row r="680" spans="1:7" s="21" customFormat="1" ht="31">
      <c r="A680" s="22"/>
      <c r="B680" s="124">
        <v>50058.01</v>
      </c>
      <c r="C680" s="156" t="s">
        <v>430</v>
      </c>
      <c r="D680" s="25" t="s">
        <v>145</v>
      </c>
      <c r="E680" s="234">
        <v>1</v>
      </c>
      <c r="F680" s="67"/>
      <c r="G680" s="81">
        <f t="shared" si="39"/>
        <v>0</v>
      </c>
    </row>
    <row r="681" spans="1:7" s="21" customFormat="1" ht="15.5">
      <c r="A681" s="22"/>
      <c r="B681" s="134">
        <v>50059.01</v>
      </c>
      <c r="C681" s="156" t="s">
        <v>1255</v>
      </c>
      <c r="D681" s="25" t="s">
        <v>147</v>
      </c>
      <c r="E681" s="234"/>
      <c r="F681" s="67"/>
      <c r="G681" s="81">
        <f t="shared" si="39"/>
        <v>0</v>
      </c>
    </row>
    <row r="682" spans="1:7" s="21" customFormat="1" ht="15.5">
      <c r="A682" s="22"/>
      <c r="B682" s="134">
        <v>50060.01</v>
      </c>
      <c r="C682" s="156" t="s">
        <v>1256</v>
      </c>
      <c r="D682" s="25" t="s">
        <v>147</v>
      </c>
      <c r="E682" s="234"/>
      <c r="F682" s="67"/>
      <c r="G682" s="81">
        <f t="shared" si="39"/>
        <v>0</v>
      </c>
    </row>
    <row r="683" spans="1:7" s="21" customFormat="1" ht="16" thickBot="1">
      <c r="A683" s="22"/>
      <c r="B683" s="135">
        <v>50061.01</v>
      </c>
      <c r="C683" s="157" t="s">
        <v>231</v>
      </c>
      <c r="D683" s="104" t="s">
        <v>145</v>
      </c>
      <c r="E683" s="194">
        <v>1</v>
      </c>
      <c r="F683" s="105"/>
      <c r="G683" s="106">
        <f t="shared" si="39"/>
        <v>0</v>
      </c>
    </row>
    <row r="684" spans="1:7" s="21" customFormat="1" ht="16" thickBot="1">
      <c r="A684" s="22"/>
      <c r="B684" s="123"/>
      <c r="C684" s="23" t="s">
        <v>1668</v>
      </c>
      <c r="D684" s="43"/>
      <c r="E684" s="59">
        <f>IF(SUM(E685:E711)&gt;0,1,"")</f>
        <v>1</v>
      </c>
      <c r="F684" s="60"/>
      <c r="G684" s="61"/>
    </row>
    <row r="685" spans="1:7" s="21" customFormat="1" ht="15.5">
      <c r="A685" s="22"/>
      <c r="B685" s="127">
        <v>50151.01</v>
      </c>
      <c r="C685" s="159" t="s">
        <v>1257</v>
      </c>
      <c r="D685" s="62" t="s">
        <v>147</v>
      </c>
      <c r="E685" s="245"/>
      <c r="F685" s="63"/>
      <c r="G685" s="103">
        <f t="shared" ref="G685:G711" si="40">E685*F685</f>
        <v>0</v>
      </c>
    </row>
    <row r="686" spans="1:7" s="21" customFormat="1" ht="15.5">
      <c r="A686" s="22"/>
      <c r="B686" s="124">
        <v>50152.01</v>
      </c>
      <c r="C686" s="156" t="s">
        <v>1258</v>
      </c>
      <c r="D686" s="25" t="s">
        <v>147</v>
      </c>
      <c r="E686" s="234"/>
      <c r="F686" s="67"/>
      <c r="G686" s="81">
        <f t="shared" si="40"/>
        <v>0</v>
      </c>
    </row>
    <row r="687" spans="1:7" s="21" customFormat="1" ht="31">
      <c r="A687" s="22"/>
      <c r="B687" s="124">
        <v>50153.01</v>
      </c>
      <c r="C687" s="156" t="s">
        <v>1259</v>
      </c>
      <c r="D687" s="25" t="s">
        <v>146</v>
      </c>
      <c r="E687" s="234"/>
      <c r="F687" s="67"/>
      <c r="G687" s="81">
        <f t="shared" si="40"/>
        <v>0</v>
      </c>
    </row>
    <row r="688" spans="1:7" s="21" customFormat="1" ht="31">
      <c r="A688" s="22"/>
      <c r="B688" s="124">
        <v>50154.01</v>
      </c>
      <c r="C688" s="156" t="s">
        <v>1260</v>
      </c>
      <c r="D688" s="25" t="s">
        <v>146</v>
      </c>
      <c r="E688" s="234"/>
      <c r="F688" s="67"/>
      <c r="G688" s="81">
        <f t="shared" si="40"/>
        <v>0</v>
      </c>
    </row>
    <row r="689" spans="1:7" s="21" customFormat="1" ht="31">
      <c r="A689" s="22"/>
      <c r="B689" s="124">
        <v>50155.01</v>
      </c>
      <c r="C689" s="156" t="s">
        <v>1261</v>
      </c>
      <c r="D689" s="25" t="s">
        <v>147</v>
      </c>
      <c r="E689" s="234"/>
      <c r="F689" s="67"/>
      <c r="G689" s="81">
        <f t="shared" si="40"/>
        <v>0</v>
      </c>
    </row>
    <row r="690" spans="1:7" s="21" customFormat="1" ht="15.5">
      <c r="A690" s="22"/>
      <c r="B690" s="124">
        <v>50156.01</v>
      </c>
      <c r="C690" s="156" t="s">
        <v>92</v>
      </c>
      <c r="D690" s="25" t="s">
        <v>147</v>
      </c>
      <c r="E690" s="234"/>
      <c r="F690" s="67"/>
      <c r="G690" s="81">
        <f t="shared" si="40"/>
        <v>0</v>
      </c>
    </row>
    <row r="691" spans="1:7" s="21" customFormat="1" ht="31">
      <c r="A691" s="22"/>
      <c r="B691" s="124">
        <v>50157.01</v>
      </c>
      <c r="C691" s="156" t="s">
        <v>1262</v>
      </c>
      <c r="D691" s="25" t="s">
        <v>147</v>
      </c>
      <c r="E691" s="234"/>
      <c r="F691" s="67"/>
      <c r="G691" s="81">
        <f t="shared" si="40"/>
        <v>0</v>
      </c>
    </row>
    <row r="692" spans="1:7" s="21" customFormat="1" ht="31">
      <c r="A692" s="22"/>
      <c r="B692" s="124">
        <v>50158.01</v>
      </c>
      <c r="C692" s="156" t="s">
        <v>1263</v>
      </c>
      <c r="D692" s="25" t="s">
        <v>146</v>
      </c>
      <c r="E692" s="234"/>
      <c r="F692" s="67"/>
      <c r="G692" s="81">
        <f t="shared" si="40"/>
        <v>0</v>
      </c>
    </row>
    <row r="693" spans="1:7" s="21" customFormat="1" ht="15.5">
      <c r="A693" s="22"/>
      <c r="B693" s="124">
        <v>50159.01</v>
      </c>
      <c r="C693" s="156" t="s">
        <v>91</v>
      </c>
      <c r="D693" s="25" t="s">
        <v>146</v>
      </c>
      <c r="E693" s="234"/>
      <c r="F693" s="67"/>
      <c r="G693" s="81">
        <f t="shared" si="40"/>
        <v>0</v>
      </c>
    </row>
    <row r="694" spans="1:7" s="21" customFormat="1" ht="15.5">
      <c r="A694" s="22"/>
      <c r="B694" s="124">
        <v>50160.01</v>
      </c>
      <c r="C694" s="156" t="s">
        <v>90</v>
      </c>
      <c r="D694" s="25" t="s">
        <v>146</v>
      </c>
      <c r="E694" s="234">
        <v>60</v>
      </c>
      <c r="F694" s="67"/>
      <c r="G694" s="81">
        <f t="shared" si="40"/>
        <v>0</v>
      </c>
    </row>
    <row r="695" spans="1:7" s="21" customFormat="1" ht="15.5">
      <c r="A695" s="22"/>
      <c r="B695" s="124">
        <v>50161.01</v>
      </c>
      <c r="C695" s="156" t="s">
        <v>89</v>
      </c>
      <c r="D695" s="25" t="s">
        <v>146</v>
      </c>
      <c r="E695" s="234"/>
      <c r="F695" s="67"/>
      <c r="G695" s="81">
        <f t="shared" si="40"/>
        <v>0</v>
      </c>
    </row>
    <row r="696" spans="1:7" s="21" customFormat="1" ht="31">
      <c r="A696" s="22"/>
      <c r="B696" s="124">
        <v>50162.01</v>
      </c>
      <c r="C696" s="156" t="s">
        <v>2073</v>
      </c>
      <c r="D696" s="25" t="s">
        <v>147</v>
      </c>
      <c r="E696" s="234">
        <v>3</v>
      </c>
      <c r="F696" s="67"/>
      <c r="G696" s="81">
        <f t="shared" si="40"/>
        <v>0</v>
      </c>
    </row>
    <row r="697" spans="1:7" s="21" customFormat="1" ht="31">
      <c r="A697" s="22"/>
      <c r="B697" s="124">
        <v>50162.02</v>
      </c>
      <c r="C697" s="156" t="s">
        <v>2074</v>
      </c>
      <c r="D697" s="25" t="s">
        <v>147</v>
      </c>
      <c r="E697" s="234">
        <v>1</v>
      </c>
      <c r="F697" s="67"/>
      <c r="G697" s="81">
        <f t="shared" si="40"/>
        <v>0</v>
      </c>
    </row>
    <row r="698" spans="1:7" s="21" customFormat="1" ht="15.5">
      <c r="A698" s="22"/>
      <c r="B698" s="124">
        <v>50163.01</v>
      </c>
      <c r="C698" s="156" t="s">
        <v>1264</v>
      </c>
      <c r="D698" s="25" t="s">
        <v>147</v>
      </c>
      <c r="E698" s="234"/>
      <c r="F698" s="67"/>
      <c r="G698" s="81">
        <f t="shared" si="40"/>
        <v>0</v>
      </c>
    </row>
    <row r="699" spans="1:7" s="21" customFormat="1" ht="31">
      <c r="A699" s="22"/>
      <c r="B699" s="124">
        <v>50164.01</v>
      </c>
      <c r="C699" s="156" t="s">
        <v>88</v>
      </c>
      <c r="D699" s="25" t="s">
        <v>146</v>
      </c>
      <c r="E699" s="234"/>
      <c r="F699" s="67"/>
      <c r="G699" s="81">
        <f t="shared" si="40"/>
        <v>0</v>
      </c>
    </row>
    <row r="700" spans="1:7" s="21" customFormat="1" ht="15.5">
      <c r="A700" s="22"/>
      <c r="B700" s="124">
        <v>50165.01</v>
      </c>
      <c r="C700" s="156" t="s">
        <v>87</v>
      </c>
      <c r="D700" s="25" t="s">
        <v>147</v>
      </c>
      <c r="E700" s="234"/>
      <c r="F700" s="67"/>
      <c r="G700" s="81">
        <f t="shared" si="40"/>
        <v>0</v>
      </c>
    </row>
    <row r="701" spans="1:7" s="21" customFormat="1" ht="15.5">
      <c r="A701" s="22"/>
      <c r="B701" s="124">
        <v>50166.01</v>
      </c>
      <c r="C701" s="156" t="s">
        <v>86</v>
      </c>
      <c r="D701" s="25" t="s">
        <v>147</v>
      </c>
      <c r="E701" s="234"/>
      <c r="F701" s="67"/>
      <c r="G701" s="81">
        <f t="shared" si="40"/>
        <v>0</v>
      </c>
    </row>
    <row r="702" spans="1:7" s="21" customFormat="1" ht="31">
      <c r="A702" s="22"/>
      <c r="B702" s="124">
        <v>50167.01</v>
      </c>
      <c r="C702" s="156" t="s">
        <v>2085</v>
      </c>
      <c r="D702" s="25" t="s">
        <v>146</v>
      </c>
      <c r="E702" s="234">
        <v>15</v>
      </c>
      <c r="F702" s="67"/>
      <c r="G702" s="81">
        <f t="shared" si="40"/>
        <v>0</v>
      </c>
    </row>
    <row r="703" spans="1:7" s="21" customFormat="1" ht="31">
      <c r="A703" s="22"/>
      <c r="B703" s="124">
        <v>50167.02</v>
      </c>
      <c r="C703" s="156" t="s">
        <v>2086</v>
      </c>
      <c r="D703" s="25" t="s">
        <v>146</v>
      </c>
      <c r="E703" s="234">
        <v>24</v>
      </c>
      <c r="F703" s="67"/>
      <c r="G703" s="81">
        <f t="shared" si="40"/>
        <v>0</v>
      </c>
    </row>
    <row r="704" spans="1:7" s="21" customFormat="1" ht="31">
      <c r="A704" s="22"/>
      <c r="B704" s="124">
        <v>50167.03</v>
      </c>
      <c r="C704" s="156" t="s">
        <v>2089</v>
      </c>
      <c r="D704" s="25" t="s">
        <v>146</v>
      </c>
      <c r="E704" s="234">
        <v>11</v>
      </c>
      <c r="F704" s="67"/>
      <c r="G704" s="81">
        <f t="shared" si="40"/>
        <v>0</v>
      </c>
    </row>
    <row r="705" spans="1:7" s="21" customFormat="1" ht="31">
      <c r="A705" s="22"/>
      <c r="B705" s="124">
        <v>50167.040000000001</v>
      </c>
      <c r="C705" s="156" t="s">
        <v>2087</v>
      </c>
      <c r="D705" s="25" t="s">
        <v>146</v>
      </c>
      <c r="E705" s="234">
        <v>3</v>
      </c>
      <c r="F705" s="67"/>
      <c r="G705" s="81">
        <f t="shared" si="40"/>
        <v>0</v>
      </c>
    </row>
    <row r="706" spans="1:7" s="21" customFormat="1" ht="31">
      <c r="A706" s="22"/>
      <c r="B706" s="124">
        <v>50167.05</v>
      </c>
      <c r="C706" s="156" t="s">
        <v>2088</v>
      </c>
      <c r="D706" s="25" t="s">
        <v>146</v>
      </c>
      <c r="E706" s="234">
        <v>30</v>
      </c>
      <c r="F706" s="67"/>
      <c r="G706" s="81">
        <f t="shared" si="40"/>
        <v>0</v>
      </c>
    </row>
    <row r="707" spans="1:7" s="21" customFormat="1" ht="31">
      <c r="A707" s="22"/>
      <c r="B707" s="124">
        <v>50167.06</v>
      </c>
      <c r="C707" s="156" t="s">
        <v>2143</v>
      </c>
      <c r="D707" s="25" t="s">
        <v>146</v>
      </c>
      <c r="E707" s="234">
        <v>18</v>
      </c>
      <c r="F707" s="67"/>
      <c r="G707" s="81">
        <f t="shared" si="40"/>
        <v>0</v>
      </c>
    </row>
    <row r="708" spans="1:7" s="21" customFormat="1" ht="31">
      <c r="A708" s="22"/>
      <c r="B708" s="124">
        <v>50167.07</v>
      </c>
      <c r="C708" s="156" t="s">
        <v>2144</v>
      </c>
      <c r="D708" s="25" t="s">
        <v>146</v>
      </c>
      <c r="E708" s="234">
        <v>42</v>
      </c>
      <c r="F708" s="67"/>
      <c r="G708" s="81">
        <f t="shared" si="40"/>
        <v>0</v>
      </c>
    </row>
    <row r="709" spans="1:7" s="21" customFormat="1" ht="15.5">
      <c r="A709" s="22"/>
      <c r="B709" s="124">
        <v>50167.08</v>
      </c>
      <c r="C709" s="156" t="s">
        <v>2147</v>
      </c>
      <c r="D709" s="25" t="s">
        <v>146</v>
      </c>
      <c r="E709" s="234">
        <v>3</v>
      </c>
      <c r="F709" s="67"/>
      <c r="G709" s="81">
        <f t="shared" si="40"/>
        <v>0</v>
      </c>
    </row>
    <row r="710" spans="1:7" s="21" customFormat="1" ht="15.5">
      <c r="A710" s="22"/>
      <c r="B710" s="124" t="s">
        <v>2145</v>
      </c>
      <c r="C710" s="156" t="s">
        <v>2146</v>
      </c>
      <c r="D710" s="25" t="s">
        <v>147</v>
      </c>
      <c r="E710" s="234">
        <v>1</v>
      </c>
      <c r="F710" s="67"/>
      <c r="G710" s="81">
        <f t="shared" si="40"/>
        <v>0</v>
      </c>
    </row>
    <row r="711" spans="1:7" s="21" customFormat="1" ht="16" thickBot="1">
      <c r="A711" s="22"/>
      <c r="B711" s="125">
        <v>50169.01</v>
      </c>
      <c r="C711" s="157" t="s">
        <v>232</v>
      </c>
      <c r="D711" s="104" t="s">
        <v>146</v>
      </c>
      <c r="E711" s="194"/>
      <c r="F711" s="105"/>
      <c r="G711" s="106">
        <f t="shared" si="40"/>
        <v>0</v>
      </c>
    </row>
    <row r="712" spans="1:7" s="21" customFormat="1" ht="16" thickBot="1">
      <c r="A712" s="22"/>
      <c r="B712" s="129"/>
      <c r="C712" s="52" t="s">
        <v>1669</v>
      </c>
      <c r="D712" s="51"/>
      <c r="E712" s="59">
        <f>IF(SUM(E713:E727)&gt;0,1,"")</f>
        <v>1</v>
      </c>
      <c r="F712" s="60"/>
      <c r="G712" s="61"/>
    </row>
    <row r="713" spans="1:7" s="21" customFormat="1" ht="31.5" thickBot="1">
      <c r="A713" s="22"/>
      <c r="B713" s="130" t="s">
        <v>850</v>
      </c>
      <c r="C713" s="161" t="s">
        <v>357</v>
      </c>
      <c r="D713" s="99" t="s">
        <v>147</v>
      </c>
      <c r="E713" s="209">
        <v>2</v>
      </c>
      <c r="F713" s="100"/>
      <c r="G713" s="85">
        <f t="shared" ref="G713:G727" si="41">E713*F713</f>
        <v>0</v>
      </c>
    </row>
    <row r="714" spans="1:7" s="21" customFormat="1" ht="31">
      <c r="A714" s="22"/>
      <c r="B714" s="131" t="s">
        <v>851</v>
      </c>
      <c r="C714" s="161" t="s">
        <v>2185</v>
      </c>
      <c r="D714" s="75" t="s">
        <v>147</v>
      </c>
      <c r="E714" s="186">
        <v>15</v>
      </c>
      <c r="F714" s="76"/>
      <c r="G714" s="101">
        <f t="shared" si="41"/>
        <v>0</v>
      </c>
    </row>
    <row r="715" spans="1:7" s="21" customFormat="1" ht="31">
      <c r="A715" s="22"/>
      <c r="B715" s="131" t="s">
        <v>852</v>
      </c>
      <c r="C715" s="162" t="s">
        <v>358</v>
      </c>
      <c r="D715" s="75" t="s">
        <v>147</v>
      </c>
      <c r="E715" s="186"/>
      <c r="F715" s="76"/>
      <c r="G715" s="101">
        <f t="shared" si="41"/>
        <v>0</v>
      </c>
    </row>
    <row r="716" spans="1:7" s="21" customFormat="1" ht="31">
      <c r="A716" s="22"/>
      <c r="B716" s="131" t="s">
        <v>853</v>
      </c>
      <c r="C716" s="162" t="s">
        <v>171</v>
      </c>
      <c r="D716" s="75" t="s">
        <v>147</v>
      </c>
      <c r="E716" s="186"/>
      <c r="F716" s="76"/>
      <c r="G716" s="101">
        <f t="shared" si="41"/>
        <v>0</v>
      </c>
    </row>
    <row r="717" spans="1:7" s="21" customFormat="1" ht="31">
      <c r="A717" s="22"/>
      <c r="B717" s="131" t="s">
        <v>854</v>
      </c>
      <c r="C717" s="162" t="s">
        <v>359</v>
      </c>
      <c r="D717" s="75" t="s">
        <v>147</v>
      </c>
      <c r="E717" s="186"/>
      <c r="F717" s="76"/>
      <c r="G717" s="101">
        <f t="shared" si="41"/>
        <v>0</v>
      </c>
    </row>
    <row r="718" spans="1:7" s="21" customFormat="1" ht="46.5">
      <c r="A718" s="22"/>
      <c r="B718" s="131" t="s">
        <v>855</v>
      </c>
      <c r="C718" s="162" t="s">
        <v>360</v>
      </c>
      <c r="D718" s="75" t="s">
        <v>147</v>
      </c>
      <c r="E718" s="186"/>
      <c r="F718" s="76"/>
      <c r="G718" s="101">
        <f t="shared" si="41"/>
        <v>0</v>
      </c>
    </row>
    <row r="719" spans="1:7" s="21" customFormat="1" ht="36" customHeight="1">
      <c r="A719" s="22"/>
      <c r="B719" s="131" t="s">
        <v>2214</v>
      </c>
      <c r="C719" s="162" t="s">
        <v>2215</v>
      </c>
      <c r="D719" s="75" t="s">
        <v>2216</v>
      </c>
      <c r="E719" s="186">
        <v>1</v>
      </c>
      <c r="F719" s="76"/>
      <c r="G719" s="101">
        <v>5000</v>
      </c>
    </row>
    <row r="720" spans="1:7" s="21" customFormat="1" ht="31">
      <c r="A720" s="22"/>
      <c r="B720" s="131" t="s">
        <v>856</v>
      </c>
      <c r="C720" s="214" t="s">
        <v>1798</v>
      </c>
      <c r="D720" s="75" t="s">
        <v>147</v>
      </c>
      <c r="E720" s="186">
        <v>3</v>
      </c>
      <c r="F720" s="76"/>
      <c r="G720" s="101">
        <f t="shared" si="41"/>
        <v>0</v>
      </c>
    </row>
    <row r="721" spans="1:7" s="21" customFormat="1" ht="46.5">
      <c r="A721" s="22"/>
      <c r="B721" s="131" t="s">
        <v>857</v>
      </c>
      <c r="C721" s="162" t="s">
        <v>361</v>
      </c>
      <c r="D721" s="75" t="s">
        <v>147</v>
      </c>
      <c r="E721" s="186"/>
      <c r="F721" s="76"/>
      <c r="G721" s="101">
        <f t="shared" si="41"/>
        <v>0</v>
      </c>
    </row>
    <row r="722" spans="1:7" s="21" customFormat="1" ht="46.5">
      <c r="A722" s="22"/>
      <c r="B722" s="131" t="s">
        <v>858</v>
      </c>
      <c r="C722" s="162" t="s">
        <v>362</v>
      </c>
      <c r="D722" s="75" t="s">
        <v>147</v>
      </c>
      <c r="E722" s="186"/>
      <c r="F722" s="76"/>
      <c r="G722" s="101">
        <f t="shared" si="41"/>
        <v>0</v>
      </c>
    </row>
    <row r="723" spans="1:7" s="21" customFormat="1" ht="31">
      <c r="A723" s="22"/>
      <c r="B723" s="131" t="s">
        <v>859</v>
      </c>
      <c r="C723" s="162" t="s">
        <v>363</v>
      </c>
      <c r="D723" s="75" t="s">
        <v>145</v>
      </c>
      <c r="E723" s="186"/>
      <c r="F723" s="76"/>
      <c r="G723" s="101">
        <f t="shared" si="41"/>
        <v>0</v>
      </c>
    </row>
    <row r="724" spans="1:7" s="21" customFormat="1" ht="46.5">
      <c r="A724" s="22"/>
      <c r="B724" s="131" t="s">
        <v>860</v>
      </c>
      <c r="C724" s="162" t="s">
        <v>364</v>
      </c>
      <c r="D724" s="75" t="s">
        <v>145</v>
      </c>
      <c r="E724" s="186"/>
      <c r="F724" s="76"/>
      <c r="G724" s="101">
        <f t="shared" si="41"/>
        <v>0</v>
      </c>
    </row>
    <row r="725" spans="1:7" s="21" customFormat="1" ht="31">
      <c r="A725" s="22"/>
      <c r="B725" s="131" t="s">
        <v>861</v>
      </c>
      <c r="C725" s="162" t="s">
        <v>365</v>
      </c>
      <c r="D725" s="75" t="s">
        <v>146</v>
      </c>
      <c r="E725" s="186"/>
      <c r="F725" s="76"/>
      <c r="G725" s="101">
        <f t="shared" si="41"/>
        <v>0</v>
      </c>
    </row>
    <row r="726" spans="1:7" s="21" customFormat="1" ht="46.5">
      <c r="A726" s="22"/>
      <c r="B726" s="131" t="s">
        <v>862</v>
      </c>
      <c r="C726" s="162" t="s">
        <v>366</v>
      </c>
      <c r="D726" s="75" t="s">
        <v>146</v>
      </c>
      <c r="E726" s="186"/>
      <c r="F726" s="76"/>
      <c r="G726" s="101">
        <f t="shared" si="41"/>
        <v>0</v>
      </c>
    </row>
    <row r="727" spans="1:7" s="21" customFormat="1" ht="47" thickBot="1">
      <c r="A727" s="22"/>
      <c r="B727" s="132" t="s">
        <v>863</v>
      </c>
      <c r="C727" s="163" t="s">
        <v>367</v>
      </c>
      <c r="D727" s="77" t="s">
        <v>147</v>
      </c>
      <c r="E727" s="210"/>
      <c r="F727" s="78"/>
      <c r="G727" s="102">
        <f t="shared" si="41"/>
        <v>0</v>
      </c>
    </row>
    <row r="728" spans="1:7" s="21" customFormat="1" ht="16" thickBot="1">
      <c r="A728" s="22"/>
      <c r="B728" s="123"/>
      <c r="C728" s="23" t="s">
        <v>655</v>
      </c>
      <c r="D728" s="43"/>
      <c r="E728" s="59" t="str">
        <f>IF(SUM(E729:E733)&gt;0,1,"")</f>
        <v/>
      </c>
      <c r="F728" s="60"/>
      <c r="G728" s="61"/>
    </row>
    <row r="729" spans="1:7" s="21" customFormat="1" ht="15.5">
      <c r="A729" s="22"/>
      <c r="B729" s="136">
        <v>50501.01</v>
      </c>
      <c r="C729" s="159" t="s">
        <v>1265</v>
      </c>
      <c r="D729" s="62" t="s">
        <v>146</v>
      </c>
      <c r="E729" s="245"/>
      <c r="F729" s="63"/>
      <c r="G729" s="103">
        <f>E729*F729</f>
        <v>0</v>
      </c>
    </row>
    <row r="730" spans="1:7" s="21" customFormat="1" ht="15.5">
      <c r="A730" s="22"/>
      <c r="B730" s="134">
        <v>50502.01</v>
      </c>
      <c r="C730" s="156" t="s">
        <v>1266</v>
      </c>
      <c r="D730" s="25" t="s">
        <v>146</v>
      </c>
      <c r="E730" s="234"/>
      <c r="F730" s="67"/>
      <c r="G730" s="81">
        <f>E730*F730</f>
        <v>0</v>
      </c>
    </row>
    <row r="731" spans="1:7" s="21" customFormat="1" ht="15.5">
      <c r="A731" s="22"/>
      <c r="B731" s="134">
        <v>50503.01</v>
      </c>
      <c r="C731" s="156" t="s">
        <v>1267</v>
      </c>
      <c r="D731" s="25" t="s">
        <v>146</v>
      </c>
      <c r="E731" s="234"/>
      <c r="F731" s="67"/>
      <c r="G731" s="81">
        <f>E731*F731</f>
        <v>0</v>
      </c>
    </row>
    <row r="732" spans="1:7" s="21" customFormat="1" ht="15.5">
      <c r="A732" s="22"/>
      <c r="B732" s="134">
        <v>50504.01</v>
      </c>
      <c r="C732" s="156" t="s">
        <v>1268</v>
      </c>
      <c r="D732" s="25" t="s">
        <v>146</v>
      </c>
      <c r="E732" s="234"/>
      <c r="F732" s="67"/>
      <c r="G732" s="81">
        <f>E732*F732</f>
        <v>0</v>
      </c>
    </row>
    <row r="733" spans="1:7" s="21" customFormat="1" ht="16" thickBot="1">
      <c r="A733" s="22"/>
      <c r="B733" s="135">
        <v>50505.01</v>
      </c>
      <c r="C733" s="157" t="s">
        <v>1269</v>
      </c>
      <c r="D733" s="104" t="s">
        <v>146</v>
      </c>
      <c r="E733" s="194"/>
      <c r="F733" s="105"/>
      <c r="G733" s="106">
        <f>E733*F733</f>
        <v>0</v>
      </c>
    </row>
    <row r="734" spans="1:7" s="21" customFormat="1" ht="16" thickBot="1">
      <c r="A734" s="22"/>
      <c r="B734" s="129"/>
      <c r="C734" s="52" t="s">
        <v>1670</v>
      </c>
      <c r="D734" s="51"/>
      <c r="E734" s="59" t="str">
        <f>IF(SUM(E735)&gt;0,1,"")</f>
        <v/>
      </c>
      <c r="F734" s="60"/>
      <c r="G734" s="61"/>
    </row>
    <row r="735" spans="1:7" s="21" customFormat="1" ht="47" thickBot="1">
      <c r="A735" s="22"/>
      <c r="B735" s="138" t="s">
        <v>864</v>
      </c>
      <c r="C735" s="166" t="s">
        <v>368</v>
      </c>
      <c r="D735" s="95" t="s">
        <v>146</v>
      </c>
      <c r="E735" s="237"/>
      <c r="F735" s="96"/>
      <c r="G735" s="97">
        <f>E735*F735</f>
        <v>0</v>
      </c>
    </row>
    <row r="736" spans="1:7" s="21" customFormat="1" ht="16" thickBot="1">
      <c r="A736" s="22"/>
      <c r="B736" s="123"/>
      <c r="C736" s="23" t="s">
        <v>1006</v>
      </c>
      <c r="D736" s="43"/>
      <c r="E736" s="59">
        <f>IF(SUM(E737:E818)&gt;0,1,"")</f>
        <v>1</v>
      </c>
      <c r="F736" s="60"/>
      <c r="G736" s="61"/>
    </row>
    <row r="737" spans="1:7" s="21" customFormat="1" ht="31.5" thickBot="1">
      <c r="A737" s="22"/>
      <c r="B737" s="123"/>
      <c r="C737" s="23" t="s">
        <v>1671</v>
      </c>
      <c r="D737" s="43"/>
      <c r="E737" s="59" t="str">
        <f>IF(SUM(E738:E742)&gt;0,1,"")</f>
        <v/>
      </c>
      <c r="F737" s="60"/>
      <c r="G737" s="61"/>
    </row>
    <row r="738" spans="1:7" s="21" customFormat="1" ht="15.5">
      <c r="A738" s="22"/>
      <c r="B738" s="127">
        <v>50601.01</v>
      </c>
      <c r="C738" s="159" t="s">
        <v>431</v>
      </c>
      <c r="D738" s="62" t="s">
        <v>145</v>
      </c>
      <c r="E738" s="245"/>
      <c r="F738" s="63"/>
      <c r="G738" s="103">
        <f>E738*F738</f>
        <v>0</v>
      </c>
    </row>
    <row r="739" spans="1:7" s="21" customFormat="1" ht="15.5">
      <c r="A739" s="22"/>
      <c r="B739" s="134" t="s">
        <v>752</v>
      </c>
      <c r="C739" s="156" t="s">
        <v>432</v>
      </c>
      <c r="D739" s="25" t="s">
        <v>412</v>
      </c>
      <c r="E739" s="234"/>
      <c r="F739" s="67"/>
      <c r="G739" s="81">
        <f>E739*F739</f>
        <v>0</v>
      </c>
    </row>
    <row r="740" spans="1:7" s="21" customFormat="1" ht="31">
      <c r="A740" s="22"/>
      <c r="B740" s="134" t="s">
        <v>753</v>
      </c>
      <c r="C740" s="156" t="s">
        <v>534</v>
      </c>
      <c r="D740" s="25" t="s">
        <v>412</v>
      </c>
      <c r="E740" s="234"/>
      <c r="F740" s="67"/>
      <c r="G740" s="81">
        <f>E740*F740</f>
        <v>0</v>
      </c>
    </row>
    <row r="741" spans="1:7" s="21" customFormat="1" ht="15.5">
      <c r="A741" s="22"/>
      <c r="B741" s="134" t="s">
        <v>754</v>
      </c>
      <c r="C741" s="156" t="s">
        <v>433</v>
      </c>
      <c r="D741" s="25" t="s">
        <v>412</v>
      </c>
      <c r="E741" s="234"/>
      <c r="F741" s="67"/>
      <c r="G741" s="81">
        <f>E741*F741</f>
        <v>0</v>
      </c>
    </row>
    <row r="742" spans="1:7" s="21" customFormat="1" ht="16" thickBot="1">
      <c r="A742" s="22"/>
      <c r="B742" s="216" t="s">
        <v>755</v>
      </c>
      <c r="C742" s="170" t="s">
        <v>535</v>
      </c>
      <c r="D742" s="64" t="s">
        <v>412</v>
      </c>
      <c r="E742" s="235"/>
      <c r="F742" s="65"/>
      <c r="G742" s="66">
        <f>E742*F742</f>
        <v>0</v>
      </c>
    </row>
    <row r="743" spans="1:7" s="21" customFormat="1" ht="31.5" thickBot="1">
      <c r="A743" s="22"/>
      <c r="B743" s="123"/>
      <c r="C743" s="23" t="s">
        <v>1672</v>
      </c>
      <c r="D743" s="43"/>
      <c r="E743" s="59">
        <f>IF(SUM(E745:E749)&gt;0,1,"")</f>
        <v>1</v>
      </c>
      <c r="F743" s="60"/>
      <c r="G743" s="61"/>
    </row>
    <row r="744" spans="1:7" s="21" customFormat="1" ht="31">
      <c r="A744" s="22"/>
      <c r="B744" s="127" t="s">
        <v>756</v>
      </c>
      <c r="C744" s="159" t="s">
        <v>2099</v>
      </c>
      <c r="D744" s="62" t="s">
        <v>148</v>
      </c>
      <c r="E744" s="248">
        <v>8</v>
      </c>
      <c r="F744" s="63"/>
      <c r="G744" s="103"/>
    </row>
    <row r="745" spans="1:7" s="21" customFormat="1" ht="31">
      <c r="A745" s="22"/>
      <c r="B745" s="124" t="s">
        <v>1803</v>
      </c>
      <c r="C745" s="156" t="s">
        <v>2097</v>
      </c>
      <c r="D745" s="25" t="s">
        <v>148</v>
      </c>
      <c r="E745" s="235">
        <v>41</v>
      </c>
      <c r="F745" s="67"/>
      <c r="G745" s="81">
        <f>E745*F745</f>
        <v>0</v>
      </c>
    </row>
    <row r="746" spans="1:7" s="21" customFormat="1" ht="15.5">
      <c r="A746" s="22"/>
      <c r="B746" s="124" t="s">
        <v>1804</v>
      </c>
      <c r="C746" s="156" t="s">
        <v>2098</v>
      </c>
      <c r="D746" s="25" t="s">
        <v>148</v>
      </c>
      <c r="E746" s="235">
        <v>18</v>
      </c>
      <c r="F746" s="67"/>
      <c r="G746" s="81"/>
    </row>
    <row r="747" spans="1:7" s="21" customFormat="1" ht="15.5">
      <c r="A747" s="22"/>
      <c r="B747" s="134" t="s">
        <v>757</v>
      </c>
      <c r="C747" s="156" t="s">
        <v>434</v>
      </c>
      <c r="D747" s="25" t="s">
        <v>148</v>
      </c>
      <c r="E747" s="234"/>
      <c r="F747" s="67"/>
      <c r="G747" s="81">
        <f>E747*F747</f>
        <v>0</v>
      </c>
    </row>
    <row r="748" spans="1:7" s="21" customFormat="1" ht="15.5">
      <c r="A748" s="22"/>
      <c r="B748" s="134">
        <v>50659.01</v>
      </c>
      <c r="C748" s="156" t="s">
        <v>1270</v>
      </c>
      <c r="D748" s="25" t="s">
        <v>145</v>
      </c>
      <c r="E748" s="234"/>
      <c r="F748" s="67"/>
      <c r="G748" s="81">
        <f>E748*F748</f>
        <v>0</v>
      </c>
    </row>
    <row r="749" spans="1:7" s="21" customFormat="1" ht="15.5">
      <c r="A749" s="22"/>
      <c r="B749" s="216">
        <v>50660.01</v>
      </c>
      <c r="C749" s="170" t="s">
        <v>1271</v>
      </c>
      <c r="D749" s="64" t="s">
        <v>145</v>
      </c>
      <c r="E749" s="235"/>
      <c r="F749" s="65"/>
      <c r="G749" s="66">
        <f>E749*F749</f>
        <v>0</v>
      </c>
    </row>
    <row r="750" spans="1:7" s="21" customFormat="1" ht="31">
      <c r="A750" s="22"/>
      <c r="B750" s="216" t="s">
        <v>1918</v>
      </c>
      <c r="C750" s="156" t="s">
        <v>2100</v>
      </c>
      <c r="D750" s="25" t="s">
        <v>148</v>
      </c>
      <c r="E750" s="235">
        <v>5</v>
      </c>
      <c r="F750" s="67"/>
      <c r="G750" s="81">
        <f>E750*F750</f>
        <v>0</v>
      </c>
    </row>
    <row r="751" spans="1:7" s="21" customFormat="1" ht="31.5" thickBot="1">
      <c r="A751" s="22"/>
      <c r="B751" s="216" t="s">
        <v>2001</v>
      </c>
      <c r="C751" s="157" t="s">
        <v>2101</v>
      </c>
      <c r="D751" s="25" t="s">
        <v>148</v>
      </c>
      <c r="E751" s="235">
        <v>8</v>
      </c>
      <c r="F751" s="65"/>
      <c r="G751" s="66">
        <f>E751*F751</f>
        <v>0</v>
      </c>
    </row>
    <row r="752" spans="1:7" s="21" customFormat="1" ht="31.5" thickBot="1">
      <c r="A752" s="22"/>
      <c r="B752" s="123"/>
      <c r="C752" s="23" t="s">
        <v>1673</v>
      </c>
      <c r="D752" s="43"/>
      <c r="E752" s="59" t="str">
        <f>IF(SUM(E753:E756)&gt;0,1,"")</f>
        <v/>
      </c>
      <c r="F752" s="60"/>
      <c r="G752" s="61"/>
    </row>
    <row r="753" spans="1:7" s="21" customFormat="1" ht="46.5">
      <c r="A753" s="22"/>
      <c r="B753" s="141" t="s">
        <v>758</v>
      </c>
      <c r="C753" s="167" t="s">
        <v>1272</v>
      </c>
      <c r="D753" s="24" t="s">
        <v>149</v>
      </c>
      <c r="E753" s="247"/>
      <c r="F753" s="68"/>
      <c r="G753" s="117">
        <f>E753*F753</f>
        <v>0</v>
      </c>
    </row>
    <row r="754" spans="1:7" s="21" customFormat="1" ht="15.5">
      <c r="A754" s="22"/>
      <c r="B754" s="134" t="s">
        <v>759</v>
      </c>
      <c r="C754" s="156" t="s">
        <v>536</v>
      </c>
      <c r="D754" s="25" t="s">
        <v>148</v>
      </c>
      <c r="E754" s="234"/>
      <c r="F754" s="67"/>
      <c r="G754" s="81">
        <f>E754*F754</f>
        <v>0</v>
      </c>
    </row>
    <row r="755" spans="1:7" s="21" customFormat="1" ht="15.5">
      <c r="A755" s="22"/>
      <c r="B755" s="124" t="s">
        <v>760</v>
      </c>
      <c r="C755" s="156" t="s">
        <v>435</v>
      </c>
      <c r="D755" s="25" t="s">
        <v>148</v>
      </c>
      <c r="E755" s="234"/>
      <c r="F755" s="67"/>
      <c r="G755" s="81">
        <f>E755*F755</f>
        <v>0</v>
      </c>
    </row>
    <row r="756" spans="1:7" s="21" customFormat="1" ht="16" thickBot="1">
      <c r="A756" s="22"/>
      <c r="B756" s="147" t="s">
        <v>761</v>
      </c>
      <c r="C756" s="170" t="s">
        <v>1273</v>
      </c>
      <c r="D756" s="64" t="s">
        <v>148</v>
      </c>
      <c r="E756" s="235"/>
      <c r="F756" s="65"/>
      <c r="G756" s="66">
        <f>E756*F756</f>
        <v>0</v>
      </c>
    </row>
    <row r="757" spans="1:7" s="21" customFormat="1" ht="31.5" thickBot="1">
      <c r="A757" s="22"/>
      <c r="B757" s="123"/>
      <c r="C757" s="23" t="s">
        <v>1674</v>
      </c>
      <c r="D757" s="43"/>
      <c r="E757" s="59">
        <f>IF(SUM(E758:E760)&gt;0,1,"")</f>
        <v>1</v>
      </c>
      <c r="F757" s="60"/>
      <c r="G757" s="61"/>
    </row>
    <row r="758" spans="1:7" s="21" customFormat="1" ht="15.5">
      <c r="A758" s="22"/>
      <c r="B758" s="141" t="s">
        <v>762</v>
      </c>
      <c r="C758" s="167" t="s">
        <v>436</v>
      </c>
      <c r="D758" s="24" t="s">
        <v>151</v>
      </c>
      <c r="E758" s="247"/>
      <c r="F758" s="68"/>
      <c r="G758" s="117">
        <f>E758*F758</f>
        <v>0</v>
      </c>
    </row>
    <row r="759" spans="1:7" s="21" customFormat="1" ht="15.5">
      <c r="A759" s="22"/>
      <c r="B759" s="134" t="s">
        <v>763</v>
      </c>
      <c r="C759" s="156" t="s">
        <v>1274</v>
      </c>
      <c r="D759" s="25" t="s">
        <v>145</v>
      </c>
      <c r="E759" s="234">
        <v>1</v>
      </c>
      <c r="F759" s="67"/>
      <c r="G759" s="81">
        <f>E759*F759</f>
        <v>0</v>
      </c>
    </row>
    <row r="760" spans="1:7" s="21" customFormat="1" ht="31.5" thickBot="1">
      <c r="A760" s="22"/>
      <c r="B760" s="216" t="s">
        <v>764</v>
      </c>
      <c r="C760" s="170" t="s">
        <v>2096</v>
      </c>
      <c r="D760" s="64" t="s">
        <v>151</v>
      </c>
      <c r="E760" s="235">
        <v>1</v>
      </c>
      <c r="F760" s="65"/>
      <c r="G760" s="66">
        <f>E760*F760</f>
        <v>0</v>
      </c>
    </row>
    <row r="761" spans="1:7" s="21" customFormat="1" ht="31.5" thickBot="1">
      <c r="A761" s="22"/>
      <c r="B761" s="123"/>
      <c r="C761" s="23" t="s">
        <v>1675</v>
      </c>
      <c r="D761" s="43"/>
      <c r="E761" s="59">
        <f>IF(SUM(E764:E768)&gt;0,1,"")</f>
        <v>1</v>
      </c>
      <c r="F761" s="60"/>
      <c r="G761" s="61"/>
    </row>
    <row r="762" spans="1:7" s="21" customFormat="1" ht="15.5">
      <c r="A762" s="22"/>
      <c r="B762" s="141">
        <v>50801.01</v>
      </c>
      <c r="C762" s="167" t="s">
        <v>2102</v>
      </c>
      <c r="D762" s="24" t="s">
        <v>151</v>
      </c>
      <c r="E762" s="247">
        <v>144</v>
      </c>
      <c r="F762" s="68"/>
      <c r="G762" s="117">
        <f t="shared" ref="G762:G769" si="42">E762*F762</f>
        <v>0</v>
      </c>
    </row>
    <row r="763" spans="1:7" s="21" customFormat="1" ht="15.5">
      <c r="A763" s="22"/>
      <c r="B763" s="134">
        <v>50801.02</v>
      </c>
      <c r="C763" s="156" t="s">
        <v>2103</v>
      </c>
      <c r="D763" s="25" t="s">
        <v>151</v>
      </c>
      <c r="E763" s="234">
        <v>106</v>
      </c>
      <c r="F763" s="67"/>
      <c r="G763" s="81">
        <f t="shared" si="42"/>
        <v>0</v>
      </c>
    </row>
    <row r="764" spans="1:7" s="21" customFormat="1" ht="15.5">
      <c r="A764" s="22"/>
      <c r="B764" s="134">
        <v>50801.03</v>
      </c>
      <c r="C764" s="156" t="s">
        <v>2104</v>
      </c>
      <c r="D764" s="25" t="s">
        <v>151</v>
      </c>
      <c r="E764" s="234">
        <v>171</v>
      </c>
      <c r="F764" s="67"/>
      <c r="G764" s="81">
        <f t="shared" si="42"/>
        <v>0</v>
      </c>
    </row>
    <row r="765" spans="1:7" s="21" customFormat="1" ht="15.5">
      <c r="A765" s="22"/>
      <c r="B765" s="124">
        <v>50802.01</v>
      </c>
      <c r="C765" s="156" t="s">
        <v>2105</v>
      </c>
      <c r="D765" s="25" t="s">
        <v>151</v>
      </c>
      <c r="E765" s="234">
        <v>144</v>
      </c>
      <c r="F765" s="67"/>
      <c r="G765" s="81">
        <f t="shared" si="42"/>
        <v>0</v>
      </c>
    </row>
    <row r="766" spans="1:7" s="21" customFormat="1" ht="15.5">
      <c r="A766" s="22"/>
      <c r="B766" s="124">
        <v>50802.02</v>
      </c>
      <c r="C766" s="156" t="s">
        <v>2106</v>
      </c>
      <c r="D766" s="25" t="s">
        <v>151</v>
      </c>
      <c r="E766" s="234">
        <v>106</v>
      </c>
      <c r="F766" s="67"/>
      <c r="G766" s="81">
        <f t="shared" si="42"/>
        <v>0</v>
      </c>
    </row>
    <row r="767" spans="1:7" s="21" customFormat="1" ht="15.5">
      <c r="A767" s="22"/>
      <c r="B767" s="124">
        <v>50802.03</v>
      </c>
      <c r="C767" s="156" t="s">
        <v>2107</v>
      </c>
      <c r="D767" s="25" t="s">
        <v>151</v>
      </c>
      <c r="E767" s="234">
        <v>171</v>
      </c>
      <c r="F767" s="67"/>
      <c r="G767" s="81">
        <f t="shared" si="42"/>
        <v>0</v>
      </c>
    </row>
    <row r="768" spans="1:7" s="21" customFormat="1" ht="15.5">
      <c r="A768" s="22"/>
      <c r="B768" s="216">
        <v>50803.01</v>
      </c>
      <c r="C768" s="310" t="s">
        <v>2109</v>
      </c>
      <c r="D768" s="64" t="s">
        <v>151</v>
      </c>
      <c r="E768" s="235">
        <v>98</v>
      </c>
      <c r="F768" s="65"/>
      <c r="G768" s="66">
        <f t="shared" si="42"/>
        <v>0</v>
      </c>
    </row>
    <row r="769" spans="1:7" s="21" customFormat="1" ht="16" thickBot="1">
      <c r="A769" s="22"/>
      <c r="B769" s="216">
        <v>50804.01</v>
      </c>
      <c r="C769" s="156" t="s">
        <v>2108</v>
      </c>
      <c r="D769" s="64" t="s">
        <v>151</v>
      </c>
      <c r="E769" s="235">
        <v>98</v>
      </c>
      <c r="F769" s="65"/>
      <c r="G769" s="66">
        <f t="shared" si="42"/>
        <v>0</v>
      </c>
    </row>
    <row r="770" spans="1:7" s="21" customFormat="1" ht="16" thickBot="1">
      <c r="A770" s="22"/>
      <c r="B770" s="129"/>
      <c r="C770" s="52" t="s">
        <v>1676</v>
      </c>
      <c r="D770" s="71"/>
      <c r="E770" s="59">
        <f>IF(SUM(E773:E776)&gt;0,1,"")</f>
        <v>1</v>
      </c>
      <c r="F770" s="60"/>
      <c r="G770" s="61"/>
    </row>
    <row r="771" spans="1:7" s="21" customFormat="1" ht="46.5">
      <c r="A771" s="22"/>
      <c r="B771" s="286" t="s">
        <v>865</v>
      </c>
      <c r="C771" s="287" t="s">
        <v>1805</v>
      </c>
      <c r="D771" s="288" t="s">
        <v>163</v>
      </c>
      <c r="E771" s="309">
        <v>780</v>
      </c>
      <c r="F771" s="73"/>
      <c r="G771" s="74">
        <f t="shared" ref="G771:G776" si="43">E771*F771</f>
        <v>0</v>
      </c>
    </row>
    <row r="772" spans="1:7" s="21" customFormat="1" ht="46.5">
      <c r="A772" s="22"/>
      <c r="B772" s="198" t="s">
        <v>1808</v>
      </c>
      <c r="C772" s="259" t="s">
        <v>1806</v>
      </c>
      <c r="D772" s="199" t="s">
        <v>163</v>
      </c>
      <c r="E772" s="217">
        <f>(173*0.1)+(240*0.3)+(106*0.075)*5</f>
        <v>129.05000000000001</v>
      </c>
      <c r="F772" s="76"/>
      <c r="G772" s="101">
        <f t="shared" si="43"/>
        <v>0</v>
      </c>
    </row>
    <row r="773" spans="1:7" s="21" customFormat="1" ht="31">
      <c r="A773" s="22"/>
      <c r="B773" s="198" t="s">
        <v>866</v>
      </c>
      <c r="C773" s="259" t="s">
        <v>164</v>
      </c>
      <c r="D773" s="199" t="s">
        <v>163</v>
      </c>
      <c r="E773" s="217">
        <f>(173*0.1)+(240*0.3)+(106*0.075)*0.1</f>
        <v>90.094999999999999</v>
      </c>
      <c r="F773" s="76"/>
      <c r="G773" s="101">
        <f t="shared" si="43"/>
        <v>0</v>
      </c>
    </row>
    <row r="774" spans="1:7" s="21" customFormat="1" ht="62">
      <c r="A774" s="22"/>
      <c r="B774" s="198" t="s">
        <v>867</v>
      </c>
      <c r="C774" s="259" t="s">
        <v>1807</v>
      </c>
      <c r="D774" s="199" t="s">
        <v>1809</v>
      </c>
      <c r="E774" s="217"/>
      <c r="F774" s="67"/>
      <c r="G774" s="81">
        <f t="shared" si="43"/>
        <v>0</v>
      </c>
    </row>
    <row r="775" spans="1:7" s="21" customFormat="1" ht="46.5">
      <c r="A775" s="22"/>
      <c r="B775" s="198" t="s">
        <v>1810</v>
      </c>
      <c r="C775" s="259" t="s">
        <v>1802</v>
      </c>
      <c r="D775" s="199" t="s">
        <v>163</v>
      </c>
      <c r="E775" s="217"/>
      <c r="F775" s="67"/>
      <c r="G775" s="81">
        <f t="shared" si="43"/>
        <v>0</v>
      </c>
    </row>
    <row r="776" spans="1:7" s="21" customFormat="1" ht="31.5" thickBot="1">
      <c r="A776" s="22"/>
      <c r="B776" s="269" t="s">
        <v>868</v>
      </c>
      <c r="C776" s="270" t="s">
        <v>165</v>
      </c>
      <c r="D776" s="271" t="s">
        <v>1801</v>
      </c>
      <c r="E776" s="217"/>
      <c r="F776" s="65"/>
      <c r="G776" s="66">
        <f t="shared" si="43"/>
        <v>0</v>
      </c>
    </row>
    <row r="777" spans="1:7" s="21" customFormat="1" ht="16" thickBot="1">
      <c r="A777" s="22"/>
      <c r="B777" s="123"/>
      <c r="C777" s="23" t="s">
        <v>1677</v>
      </c>
      <c r="D777" s="43"/>
      <c r="E777" s="59" t="str">
        <f>IF(SUM(E778:E787)&gt;0,1,"")</f>
        <v/>
      </c>
      <c r="F777" s="60"/>
      <c r="G777" s="61"/>
    </row>
    <row r="778" spans="1:7" s="21" customFormat="1" ht="15.5">
      <c r="A778" s="22"/>
      <c r="B778" s="141">
        <v>50851.01</v>
      </c>
      <c r="C778" s="167" t="s">
        <v>1275</v>
      </c>
      <c r="D778" s="24" t="s">
        <v>163</v>
      </c>
      <c r="E778" s="247"/>
      <c r="F778" s="68"/>
      <c r="G778" s="117">
        <f t="shared" ref="G778:G787" si="44">E778*F778</f>
        <v>0</v>
      </c>
    </row>
    <row r="779" spans="1:7" s="21" customFormat="1" ht="15.5">
      <c r="A779" s="22"/>
      <c r="B779" s="124">
        <v>50852.01</v>
      </c>
      <c r="C779" s="156" t="s">
        <v>1276</v>
      </c>
      <c r="D779" s="25" t="s">
        <v>163</v>
      </c>
      <c r="E779" s="234"/>
      <c r="F779" s="67"/>
      <c r="G779" s="81">
        <f t="shared" si="44"/>
        <v>0</v>
      </c>
    </row>
    <row r="780" spans="1:7" s="21" customFormat="1" ht="15.5">
      <c r="A780" s="22"/>
      <c r="B780" s="124">
        <v>50853.01</v>
      </c>
      <c r="C780" s="156" t="s">
        <v>1277</v>
      </c>
      <c r="D780" s="25" t="s">
        <v>151</v>
      </c>
      <c r="E780" s="234"/>
      <c r="F780" s="67"/>
      <c r="G780" s="81">
        <f t="shared" si="44"/>
        <v>0</v>
      </c>
    </row>
    <row r="781" spans="1:7" s="21" customFormat="1" ht="15.5">
      <c r="A781" s="22"/>
      <c r="B781" s="124">
        <v>50854.01</v>
      </c>
      <c r="C781" s="156" t="s">
        <v>1278</v>
      </c>
      <c r="D781" s="25" t="s">
        <v>151</v>
      </c>
      <c r="E781" s="234"/>
      <c r="F781" s="67"/>
      <c r="G781" s="81">
        <f t="shared" si="44"/>
        <v>0</v>
      </c>
    </row>
    <row r="782" spans="1:7" s="21" customFormat="1" ht="15.5">
      <c r="A782" s="22"/>
      <c r="B782" s="124">
        <v>50855.01</v>
      </c>
      <c r="C782" s="156" t="s">
        <v>1279</v>
      </c>
      <c r="D782" s="25" t="s">
        <v>151</v>
      </c>
      <c r="E782" s="234"/>
      <c r="F782" s="67"/>
      <c r="G782" s="81">
        <f t="shared" si="44"/>
        <v>0</v>
      </c>
    </row>
    <row r="783" spans="1:7" s="21" customFormat="1" ht="15.5">
      <c r="A783" s="22"/>
      <c r="B783" s="124">
        <v>50856.01</v>
      </c>
      <c r="C783" s="156" t="s">
        <v>1280</v>
      </c>
      <c r="D783" s="25" t="s">
        <v>151</v>
      </c>
      <c r="E783" s="234"/>
      <c r="F783" s="67"/>
      <c r="G783" s="81">
        <f t="shared" si="44"/>
        <v>0</v>
      </c>
    </row>
    <row r="784" spans="1:7" s="21" customFormat="1" ht="15.5">
      <c r="A784" s="22"/>
      <c r="B784" s="134">
        <v>50858.01</v>
      </c>
      <c r="C784" s="156" t="s">
        <v>1281</v>
      </c>
      <c r="D784" s="25" t="s">
        <v>151</v>
      </c>
      <c r="E784" s="234"/>
      <c r="F784" s="67"/>
      <c r="G784" s="81">
        <f t="shared" si="44"/>
        <v>0</v>
      </c>
    </row>
    <row r="785" spans="1:7" s="21" customFormat="1" ht="15.5">
      <c r="A785" s="22"/>
      <c r="B785" s="134">
        <v>50859.01</v>
      </c>
      <c r="C785" s="156" t="s">
        <v>1282</v>
      </c>
      <c r="D785" s="25" t="s">
        <v>151</v>
      </c>
      <c r="E785" s="234"/>
      <c r="F785" s="67"/>
      <c r="G785" s="81">
        <f t="shared" si="44"/>
        <v>0</v>
      </c>
    </row>
    <row r="786" spans="1:7" s="21" customFormat="1" ht="15.5">
      <c r="A786" s="22"/>
      <c r="B786" s="134">
        <v>50860.01</v>
      </c>
      <c r="C786" s="156" t="s">
        <v>1283</v>
      </c>
      <c r="D786" s="25" t="s">
        <v>151</v>
      </c>
      <c r="E786" s="234"/>
      <c r="F786" s="67"/>
      <c r="G786" s="81">
        <f t="shared" si="44"/>
        <v>0</v>
      </c>
    </row>
    <row r="787" spans="1:7" s="21" customFormat="1" ht="16" thickBot="1">
      <c r="A787" s="22"/>
      <c r="B787" s="216">
        <v>50861.01</v>
      </c>
      <c r="C787" s="170" t="s">
        <v>1284</v>
      </c>
      <c r="D787" s="64" t="s">
        <v>151</v>
      </c>
      <c r="E787" s="235"/>
      <c r="F787" s="65"/>
      <c r="G787" s="66">
        <f t="shared" si="44"/>
        <v>0</v>
      </c>
    </row>
    <row r="788" spans="1:7" s="21" customFormat="1" ht="31.5" thickBot="1">
      <c r="A788" s="22"/>
      <c r="B788" s="123"/>
      <c r="C788" s="23" t="s">
        <v>1678</v>
      </c>
      <c r="D788" s="43"/>
      <c r="E788" s="59">
        <f>IF(SUM(E789)&gt;0,1,"")</f>
        <v>1</v>
      </c>
      <c r="F788" s="60"/>
      <c r="G788" s="61"/>
    </row>
    <row r="789" spans="1:7" s="21" customFormat="1" ht="16" thickBot="1">
      <c r="A789" s="22"/>
      <c r="B789" s="136">
        <v>50901.01</v>
      </c>
      <c r="C789" s="159" t="s">
        <v>1744</v>
      </c>
      <c r="D789" s="62" t="s">
        <v>151</v>
      </c>
      <c r="E789" s="245">
        <v>66</v>
      </c>
      <c r="F789" s="110"/>
      <c r="G789" s="111">
        <f>E789*F789</f>
        <v>0</v>
      </c>
    </row>
    <row r="790" spans="1:7" s="21" customFormat="1" ht="16" thickBot="1">
      <c r="A790" s="22"/>
      <c r="B790" s="135">
        <v>50901.01</v>
      </c>
      <c r="C790" s="157" t="s">
        <v>1917</v>
      </c>
      <c r="D790" s="104" t="s">
        <v>151</v>
      </c>
      <c r="E790" s="194">
        <v>171</v>
      </c>
      <c r="F790" s="110"/>
      <c r="G790" s="111">
        <f>E790*F790</f>
        <v>0</v>
      </c>
    </row>
    <row r="791" spans="1:7" s="21" customFormat="1" ht="31.5" thickBot="1">
      <c r="A791" s="22"/>
      <c r="B791" s="123"/>
      <c r="C791" s="23" t="s">
        <v>1679</v>
      </c>
      <c r="D791" s="43"/>
      <c r="E791" s="59">
        <f>IF(SUM(E797)&gt;0,1,"")</f>
        <v>1</v>
      </c>
      <c r="F791" s="60"/>
      <c r="G791" s="61"/>
    </row>
    <row r="792" spans="1:7" s="21" customFormat="1" ht="15.5">
      <c r="A792" s="22"/>
      <c r="B792" s="136">
        <v>50951.01</v>
      </c>
      <c r="C792" s="159" t="s">
        <v>1794</v>
      </c>
      <c r="D792" s="62" t="s">
        <v>176</v>
      </c>
      <c r="E792" s="245">
        <v>318</v>
      </c>
      <c r="F792" s="63"/>
      <c r="G792" s="103">
        <f t="shared" ref="G792:G801" si="45">E792*F792</f>
        <v>0</v>
      </c>
    </row>
    <row r="793" spans="1:7" s="21" customFormat="1" ht="15.5">
      <c r="A793" s="22"/>
      <c r="B793" s="134">
        <v>50952.01</v>
      </c>
      <c r="C793" s="156" t="s">
        <v>1795</v>
      </c>
      <c r="D793" s="25" t="s">
        <v>176</v>
      </c>
      <c r="E793" s="234">
        <v>530</v>
      </c>
      <c r="F793" s="67"/>
      <c r="G793" s="81">
        <f t="shared" si="45"/>
        <v>0</v>
      </c>
    </row>
    <row r="794" spans="1:7" s="21" customFormat="1" ht="15.5">
      <c r="A794" s="22"/>
      <c r="B794" s="134">
        <v>50953.01</v>
      </c>
      <c r="C794" s="156" t="s">
        <v>1912</v>
      </c>
      <c r="D794" s="25" t="s">
        <v>176</v>
      </c>
      <c r="E794" s="234">
        <v>429</v>
      </c>
      <c r="F794" s="67"/>
      <c r="G794" s="81">
        <f t="shared" si="45"/>
        <v>0</v>
      </c>
    </row>
    <row r="795" spans="1:7" s="21" customFormat="1" ht="15.5">
      <c r="A795" s="22"/>
      <c r="B795" s="134">
        <v>50954.01</v>
      </c>
      <c r="C795" s="156" t="s">
        <v>1796</v>
      </c>
      <c r="D795" s="25" t="s">
        <v>176</v>
      </c>
      <c r="E795" s="234">
        <v>43</v>
      </c>
      <c r="F795" s="67"/>
      <c r="G795" s="81">
        <f t="shared" si="45"/>
        <v>0</v>
      </c>
    </row>
    <row r="796" spans="1:7" s="21" customFormat="1" ht="15.5">
      <c r="A796" s="22"/>
      <c r="B796" s="134">
        <v>50955.01</v>
      </c>
      <c r="C796" s="156" t="s">
        <v>1913</v>
      </c>
      <c r="D796" s="25" t="s">
        <v>176</v>
      </c>
      <c r="E796" s="234">
        <v>16</v>
      </c>
      <c r="F796" s="67"/>
      <c r="G796" s="81">
        <f t="shared" si="45"/>
        <v>0</v>
      </c>
    </row>
    <row r="797" spans="1:7" s="21" customFormat="1" ht="15.5">
      <c r="A797" s="22"/>
      <c r="B797" s="134">
        <v>50956.01</v>
      </c>
      <c r="C797" s="156" t="s">
        <v>1914</v>
      </c>
      <c r="D797" s="25" t="s">
        <v>176</v>
      </c>
      <c r="E797" s="234">
        <v>60</v>
      </c>
      <c r="F797" s="67"/>
      <c r="G797" s="81">
        <f t="shared" si="45"/>
        <v>0</v>
      </c>
    </row>
    <row r="798" spans="1:7" s="21" customFormat="1" ht="46.5">
      <c r="A798" s="22"/>
      <c r="B798" s="134">
        <v>50957.01</v>
      </c>
      <c r="C798" s="156" t="s">
        <v>2000</v>
      </c>
      <c r="D798" s="25" t="s">
        <v>176</v>
      </c>
      <c r="E798" s="234">
        <v>3</v>
      </c>
      <c r="F798" s="67"/>
      <c r="G798" s="81">
        <f t="shared" si="45"/>
        <v>0</v>
      </c>
    </row>
    <row r="799" spans="1:7" s="21" customFormat="1" ht="16" thickBot="1">
      <c r="A799" s="22"/>
      <c r="B799" s="135">
        <v>50958.01</v>
      </c>
      <c r="C799" s="157" t="s">
        <v>1797</v>
      </c>
      <c r="D799" s="25" t="s">
        <v>176</v>
      </c>
      <c r="E799" s="234">
        <v>20</v>
      </c>
      <c r="F799" s="105"/>
      <c r="G799" s="106">
        <f t="shared" si="45"/>
        <v>0</v>
      </c>
    </row>
    <row r="800" spans="1:7" s="21" customFormat="1" ht="15.5">
      <c r="A800" s="22"/>
      <c r="B800" s="134">
        <v>50959.01</v>
      </c>
      <c r="C800" s="156" t="s">
        <v>1915</v>
      </c>
      <c r="D800" s="25" t="s">
        <v>176</v>
      </c>
      <c r="E800" s="188">
        <v>3</v>
      </c>
      <c r="F800" s="67"/>
      <c r="G800" s="81">
        <f t="shared" si="45"/>
        <v>0</v>
      </c>
    </row>
    <row r="801" spans="1:7" s="21" customFormat="1" ht="16" thickBot="1">
      <c r="A801" s="22"/>
      <c r="B801" s="135">
        <v>50960.01</v>
      </c>
      <c r="C801" s="156" t="s">
        <v>1916</v>
      </c>
      <c r="D801" s="104" t="s">
        <v>176</v>
      </c>
      <c r="E801" s="192">
        <v>1</v>
      </c>
      <c r="F801" s="67"/>
      <c r="G801" s="81">
        <f t="shared" si="45"/>
        <v>0</v>
      </c>
    </row>
    <row r="802" spans="1:7" s="21" customFormat="1" ht="16" thickBot="1">
      <c r="A802" s="22"/>
      <c r="B802" s="123"/>
      <c r="C802" s="23" t="s">
        <v>1680</v>
      </c>
      <c r="D802" s="43"/>
      <c r="E802" s="59" t="str">
        <f>IF(SUM(E803:E804)&gt;0,1,"")</f>
        <v/>
      </c>
      <c r="F802" s="60"/>
      <c r="G802" s="61"/>
    </row>
    <row r="803" spans="1:7" s="21" customFormat="1" ht="15.5">
      <c r="A803" s="22"/>
      <c r="B803" s="136">
        <v>51001.01</v>
      </c>
      <c r="C803" s="159" t="s">
        <v>437</v>
      </c>
      <c r="D803" s="62" t="s">
        <v>146</v>
      </c>
      <c r="E803" s="245"/>
      <c r="F803" s="63"/>
      <c r="G803" s="103">
        <f>E803*F803</f>
        <v>0</v>
      </c>
    </row>
    <row r="804" spans="1:7" s="21" customFormat="1" ht="16" thickBot="1">
      <c r="A804" s="22"/>
      <c r="B804" s="135">
        <v>51002.01</v>
      </c>
      <c r="C804" s="157" t="s">
        <v>438</v>
      </c>
      <c r="D804" s="104" t="s">
        <v>145</v>
      </c>
      <c r="E804" s="194"/>
      <c r="F804" s="105"/>
      <c r="G804" s="106">
        <f>E804*F804</f>
        <v>0</v>
      </c>
    </row>
    <row r="805" spans="1:7" s="21" customFormat="1" ht="16" thickBot="1">
      <c r="A805" s="22"/>
      <c r="B805" s="152"/>
      <c r="C805" s="176" t="s">
        <v>1676</v>
      </c>
      <c r="D805" s="218"/>
      <c r="E805" s="114">
        <f>IF(SUM(E807:E811)&gt;0,1,"")</f>
        <v>1</v>
      </c>
      <c r="F805" s="115"/>
      <c r="G805" s="116"/>
    </row>
    <row r="806" spans="1:7" s="21" customFormat="1" ht="31">
      <c r="A806" s="22"/>
      <c r="B806" s="261" t="s">
        <v>869</v>
      </c>
      <c r="C806" s="289" t="s">
        <v>2002</v>
      </c>
      <c r="D806" s="262" t="s">
        <v>317</v>
      </c>
      <c r="E806" s="215">
        <f>(106+98)*0.1</f>
        <v>20.400000000000002</v>
      </c>
      <c r="F806" s="63"/>
      <c r="G806" s="103">
        <f t="shared" ref="G806:G813" si="46">E806*F806</f>
        <v>0</v>
      </c>
    </row>
    <row r="807" spans="1:7" s="21" customFormat="1" ht="31">
      <c r="A807" s="22"/>
      <c r="B807" s="198" t="s">
        <v>869</v>
      </c>
      <c r="C807" s="259" t="s">
        <v>1800</v>
      </c>
      <c r="D807" s="199" t="s">
        <v>317</v>
      </c>
      <c r="E807" s="217">
        <f>(142)*0.1</f>
        <v>14.200000000000001</v>
      </c>
      <c r="F807" s="67"/>
      <c r="G807" s="81">
        <f t="shared" si="46"/>
        <v>0</v>
      </c>
    </row>
    <row r="808" spans="1:7" s="21" customFormat="1" ht="31">
      <c r="A808" s="22"/>
      <c r="B808" s="198" t="s">
        <v>870</v>
      </c>
      <c r="C808" s="259" t="s">
        <v>166</v>
      </c>
      <c r="D808" s="199" t="s">
        <v>146</v>
      </c>
      <c r="E808" s="217">
        <v>2</v>
      </c>
      <c r="F808" s="67"/>
      <c r="G808" s="81">
        <f t="shared" si="46"/>
        <v>0</v>
      </c>
    </row>
    <row r="809" spans="1:7" s="21" customFormat="1" ht="31">
      <c r="A809" s="22"/>
      <c r="B809" s="198" t="s">
        <v>871</v>
      </c>
      <c r="C809" s="259" t="s">
        <v>167</v>
      </c>
      <c r="D809" s="199" t="s">
        <v>146</v>
      </c>
      <c r="E809" s="186">
        <v>2</v>
      </c>
      <c r="F809" s="67"/>
      <c r="G809" s="81">
        <f t="shared" si="46"/>
        <v>0</v>
      </c>
    </row>
    <row r="810" spans="1:7" s="21" customFormat="1" ht="31">
      <c r="A810" s="22"/>
      <c r="B810" s="198" t="s">
        <v>872</v>
      </c>
      <c r="C810" s="259" t="s">
        <v>168</v>
      </c>
      <c r="D810" s="199" t="s">
        <v>146</v>
      </c>
      <c r="E810" s="186"/>
      <c r="F810" s="67"/>
      <c r="G810" s="81">
        <f t="shared" si="46"/>
        <v>0</v>
      </c>
    </row>
    <row r="811" spans="1:7" s="21" customFormat="1" ht="31">
      <c r="A811" s="22"/>
      <c r="B811" s="198" t="s">
        <v>873</v>
      </c>
      <c r="C811" s="259" t="s">
        <v>169</v>
      </c>
      <c r="D811" s="199" t="s">
        <v>146</v>
      </c>
      <c r="E811" s="186"/>
      <c r="F811" s="67"/>
      <c r="G811" s="81">
        <f t="shared" si="46"/>
        <v>0</v>
      </c>
    </row>
    <row r="812" spans="1:7" s="21" customFormat="1" ht="46.5">
      <c r="A812" s="22"/>
      <c r="B812" s="198" t="s">
        <v>949</v>
      </c>
      <c r="C812" s="259" t="s">
        <v>951</v>
      </c>
      <c r="D812" s="199" t="s">
        <v>1801</v>
      </c>
      <c r="E812" s="186">
        <f>318+530</f>
        <v>848</v>
      </c>
      <c r="F812" s="67"/>
      <c r="G812" s="81">
        <f t="shared" si="46"/>
        <v>0</v>
      </c>
    </row>
    <row r="813" spans="1:7" s="21" customFormat="1" ht="47" thickBot="1">
      <c r="A813" s="22"/>
      <c r="B813" s="266" t="s">
        <v>950</v>
      </c>
      <c r="C813" s="267" t="s">
        <v>952</v>
      </c>
      <c r="D813" s="268" t="s">
        <v>317</v>
      </c>
      <c r="E813" s="210"/>
      <c r="F813" s="105"/>
      <c r="G813" s="106">
        <f t="shared" si="46"/>
        <v>0</v>
      </c>
    </row>
    <row r="814" spans="1:7" s="21" customFormat="1" ht="31.5" thickBot="1">
      <c r="A814" s="22"/>
      <c r="B814" s="145"/>
      <c r="C814" s="172" t="s">
        <v>1681</v>
      </c>
      <c r="D814" s="58"/>
      <c r="E814" s="87">
        <f>IF(SUM(E815:E818)&gt;0,1,"")</f>
        <v>1</v>
      </c>
      <c r="F814" s="88"/>
      <c r="G814" s="89"/>
    </row>
    <row r="815" spans="1:7" s="21" customFormat="1" ht="15.5">
      <c r="A815" s="22"/>
      <c r="B815" s="136">
        <v>51051.01</v>
      </c>
      <c r="C815" s="159" t="s">
        <v>537</v>
      </c>
      <c r="D815" s="62" t="s">
        <v>145</v>
      </c>
      <c r="E815" s="245">
        <v>1</v>
      </c>
      <c r="F815" s="63"/>
      <c r="G815" s="103">
        <f>E815*F815</f>
        <v>0</v>
      </c>
    </row>
    <row r="816" spans="1:7" s="21" customFormat="1" ht="15.5">
      <c r="A816" s="22"/>
      <c r="B816" s="134" t="s">
        <v>765</v>
      </c>
      <c r="C816" s="156" t="s">
        <v>538</v>
      </c>
      <c r="D816" s="25" t="s">
        <v>145</v>
      </c>
      <c r="E816" s="234">
        <v>1</v>
      </c>
      <c r="F816" s="67"/>
      <c r="G816" s="81">
        <f>E816*F816</f>
        <v>0</v>
      </c>
    </row>
    <row r="817" spans="1:7" s="21" customFormat="1" ht="15.5">
      <c r="A817" s="22"/>
      <c r="B817" s="134">
        <v>51056.01</v>
      </c>
      <c r="C817" s="156" t="s">
        <v>1896</v>
      </c>
      <c r="D817" s="25" t="s">
        <v>145</v>
      </c>
      <c r="E817" s="234">
        <v>1</v>
      </c>
      <c r="F817" s="67"/>
      <c r="G817" s="81">
        <f>E817*F817</f>
        <v>0</v>
      </c>
    </row>
    <row r="818" spans="1:7" s="21" customFormat="1" ht="16" thickBot="1">
      <c r="A818" s="22"/>
      <c r="B818" s="135" t="s">
        <v>766</v>
      </c>
      <c r="C818" s="157" t="s">
        <v>539</v>
      </c>
      <c r="D818" s="104" t="s">
        <v>145</v>
      </c>
      <c r="E818" s="194">
        <v>1</v>
      </c>
      <c r="F818" s="105"/>
      <c r="G818" s="106">
        <f>E818*F818</f>
        <v>0</v>
      </c>
    </row>
    <row r="819" spans="1:7" s="21" customFormat="1" ht="16" thickBot="1">
      <c r="A819" s="22"/>
      <c r="B819" s="123"/>
      <c r="C819" s="23" t="s">
        <v>1007</v>
      </c>
      <c r="D819" s="43"/>
      <c r="E819" s="59">
        <f>IF(SUM(E820:E885)&gt;0,1,"")</f>
        <v>1</v>
      </c>
      <c r="F819" s="60"/>
      <c r="G819" s="61"/>
    </row>
    <row r="820" spans="1:7" s="21" customFormat="1" ht="16" thickBot="1">
      <c r="A820" s="22"/>
      <c r="B820" s="123"/>
      <c r="C820" s="23" t="s">
        <v>1682</v>
      </c>
      <c r="D820" s="43"/>
      <c r="E820" s="59" t="str">
        <f>IF(SUM(E821:E840)&gt;0,1,"")</f>
        <v/>
      </c>
      <c r="F820" s="60"/>
      <c r="G820" s="61"/>
    </row>
    <row r="821" spans="1:7" s="21" customFormat="1" ht="15.5">
      <c r="A821" s="22"/>
      <c r="B821" s="136">
        <v>52101.01</v>
      </c>
      <c r="C821" s="159" t="s">
        <v>450</v>
      </c>
      <c r="D821" s="62" t="s">
        <v>146</v>
      </c>
      <c r="E821" s="245"/>
      <c r="F821" s="63"/>
      <c r="G821" s="103">
        <f t="shared" ref="G821:G840" si="47">E821*F821</f>
        <v>0</v>
      </c>
    </row>
    <row r="822" spans="1:7" s="21" customFormat="1" ht="31">
      <c r="A822" s="22"/>
      <c r="B822" s="134">
        <v>52102.01</v>
      </c>
      <c r="C822" s="156" t="s">
        <v>1285</v>
      </c>
      <c r="D822" s="25" t="s">
        <v>146</v>
      </c>
      <c r="E822" s="234"/>
      <c r="F822" s="67"/>
      <c r="G822" s="81">
        <f t="shared" si="47"/>
        <v>0</v>
      </c>
    </row>
    <row r="823" spans="1:7" s="21" customFormat="1" ht="31">
      <c r="A823" s="22"/>
      <c r="B823" s="134">
        <v>52103.01</v>
      </c>
      <c r="C823" s="156" t="s">
        <v>1286</v>
      </c>
      <c r="D823" s="25" t="s">
        <v>146</v>
      </c>
      <c r="E823" s="234"/>
      <c r="F823" s="67"/>
      <c r="G823" s="81">
        <f t="shared" si="47"/>
        <v>0</v>
      </c>
    </row>
    <row r="824" spans="1:7" s="21" customFormat="1" ht="15.5">
      <c r="A824" s="22"/>
      <c r="B824" s="124">
        <v>52104.01</v>
      </c>
      <c r="C824" s="156" t="s">
        <v>540</v>
      </c>
      <c r="D824" s="25" t="s">
        <v>146</v>
      </c>
      <c r="E824" s="234"/>
      <c r="F824" s="67"/>
      <c r="G824" s="81">
        <f t="shared" si="47"/>
        <v>0</v>
      </c>
    </row>
    <row r="825" spans="1:7" s="21" customFormat="1" ht="46.5">
      <c r="A825" s="22"/>
      <c r="B825" s="124">
        <v>52105.01</v>
      </c>
      <c r="C825" s="156" t="s">
        <v>1287</v>
      </c>
      <c r="D825" s="25" t="s">
        <v>146</v>
      </c>
      <c r="E825" s="234"/>
      <c r="F825" s="67"/>
      <c r="G825" s="81">
        <f t="shared" si="47"/>
        <v>0</v>
      </c>
    </row>
    <row r="826" spans="1:7" s="21" customFormat="1" ht="31">
      <c r="A826" s="22"/>
      <c r="B826" s="124">
        <v>52106.01</v>
      </c>
      <c r="C826" s="156" t="s">
        <v>1288</v>
      </c>
      <c r="D826" s="25" t="s">
        <v>146</v>
      </c>
      <c r="E826" s="234"/>
      <c r="F826" s="67"/>
      <c r="G826" s="81">
        <f t="shared" si="47"/>
        <v>0</v>
      </c>
    </row>
    <row r="827" spans="1:7" s="21" customFormat="1" ht="31">
      <c r="A827" s="22"/>
      <c r="B827" s="124">
        <v>52107.01</v>
      </c>
      <c r="C827" s="156" t="s">
        <v>1289</v>
      </c>
      <c r="D827" s="25" t="s">
        <v>146</v>
      </c>
      <c r="E827" s="234"/>
      <c r="F827" s="67"/>
      <c r="G827" s="81">
        <f t="shared" si="47"/>
        <v>0</v>
      </c>
    </row>
    <row r="828" spans="1:7" s="21" customFormat="1" ht="31">
      <c r="A828" s="22"/>
      <c r="B828" s="124">
        <v>52108.01</v>
      </c>
      <c r="C828" s="156" t="s">
        <v>1290</v>
      </c>
      <c r="D828" s="25" t="s">
        <v>146</v>
      </c>
      <c r="E828" s="234"/>
      <c r="F828" s="67"/>
      <c r="G828" s="81">
        <f t="shared" si="47"/>
        <v>0</v>
      </c>
    </row>
    <row r="829" spans="1:7" s="21" customFormat="1" ht="15.5">
      <c r="A829" s="22"/>
      <c r="B829" s="124">
        <v>52109.01</v>
      </c>
      <c r="C829" s="156" t="s">
        <v>1745</v>
      </c>
      <c r="D829" s="25" t="s">
        <v>146</v>
      </c>
      <c r="E829" s="234"/>
      <c r="F829" s="67"/>
      <c r="G829" s="81">
        <f t="shared" si="47"/>
        <v>0</v>
      </c>
    </row>
    <row r="830" spans="1:7" s="21" customFormat="1" ht="15.5">
      <c r="A830" s="22"/>
      <c r="B830" s="124">
        <v>52110.01</v>
      </c>
      <c r="C830" s="156" t="s">
        <v>1291</v>
      </c>
      <c r="D830" s="25" t="s">
        <v>146</v>
      </c>
      <c r="E830" s="234"/>
      <c r="F830" s="67"/>
      <c r="G830" s="81">
        <f t="shared" si="47"/>
        <v>0</v>
      </c>
    </row>
    <row r="831" spans="1:7" s="21" customFormat="1" ht="15.5">
      <c r="A831" s="22"/>
      <c r="B831" s="124">
        <v>52111.01</v>
      </c>
      <c r="C831" s="156" t="s">
        <v>1292</v>
      </c>
      <c r="D831" s="25" t="s">
        <v>146</v>
      </c>
      <c r="E831" s="234"/>
      <c r="F831" s="67"/>
      <c r="G831" s="81">
        <f t="shared" si="47"/>
        <v>0</v>
      </c>
    </row>
    <row r="832" spans="1:7" s="21" customFormat="1" ht="15.5">
      <c r="A832" s="22"/>
      <c r="B832" s="124">
        <v>52112.01</v>
      </c>
      <c r="C832" s="156" t="s">
        <v>1293</v>
      </c>
      <c r="D832" s="25" t="s">
        <v>146</v>
      </c>
      <c r="E832" s="234"/>
      <c r="F832" s="67"/>
      <c r="G832" s="81">
        <f t="shared" si="47"/>
        <v>0</v>
      </c>
    </row>
    <row r="833" spans="1:7" s="21" customFormat="1" ht="15.5">
      <c r="A833" s="22"/>
      <c r="B833" s="124">
        <v>52113.01</v>
      </c>
      <c r="C833" s="156" t="s">
        <v>1294</v>
      </c>
      <c r="D833" s="25" t="s">
        <v>146</v>
      </c>
      <c r="E833" s="234"/>
      <c r="F833" s="67"/>
      <c r="G833" s="81">
        <f t="shared" si="47"/>
        <v>0</v>
      </c>
    </row>
    <row r="834" spans="1:7" s="21" customFormat="1" ht="46.5">
      <c r="A834" s="22"/>
      <c r="B834" s="124">
        <v>52114.01</v>
      </c>
      <c r="C834" s="156" t="s">
        <v>1295</v>
      </c>
      <c r="D834" s="25" t="s">
        <v>146</v>
      </c>
      <c r="E834" s="234"/>
      <c r="F834" s="67"/>
      <c r="G834" s="81">
        <f t="shared" si="47"/>
        <v>0</v>
      </c>
    </row>
    <row r="835" spans="1:7" s="21" customFormat="1" ht="46.5">
      <c r="A835" s="22"/>
      <c r="B835" s="124">
        <v>52115.01</v>
      </c>
      <c r="C835" s="156" t="s">
        <v>541</v>
      </c>
      <c r="D835" s="25" t="s">
        <v>146</v>
      </c>
      <c r="E835" s="234"/>
      <c r="F835" s="67"/>
      <c r="G835" s="81">
        <f t="shared" si="47"/>
        <v>0</v>
      </c>
    </row>
    <row r="836" spans="1:7" s="21" customFormat="1" ht="46.5">
      <c r="A836" s="22"/>
      <c r="B836" s="124">
        <v>52116.01</v>
      </c>
      <c r="C836" s="156" t="s">
        <v>1746</v>
      </c>
      <c r="D836" s="25" t="s">
        <v>151</v>
      </c>
      <c r="E836" s="234"/>
      <c r="F836" s="67"/>
      <c r="G836" s="81">
        <f t="shared" si="47"/>
        <v>0</v>
      </c>
    </row>
    <row r="837" spans="1:7" s="21" customFormat="1" ht="31">
      <c r="A837" s="22"/>
      <c r="B837" s="124">
        <v>52117.01</v>
      </c>
      <c r="C837" s="156" t="s">
        <v>1748</v>
      </c>
      <c r="D837" s="25" t="s">
        <v>151</v>
      </c>
      <c r="E837" s="234"/>
      <c r="F837" s="67"/>
      <c r="G837" s="81">
        <f t="shared" si="47"/>
        <v>0</v>
      </c>
    </row>
    <row r="838" spans="1:7" s="21" customFormat="1" ht="31">
      <c r="A838" s="22"/>
      <c r="B838" s="124">
        <v>52117.02</v>
      </c>
      <c r="C838" s="156" t="s">
        <v>1747</v>
      </c>
      <c r="D838" s="25" t="s">
        <v>151</v>
      </c>
      <c r="E838" s="234"/>
      <c r="F838" s="67"/>
      <c r="G838" s="81">
        <f t="shared" si="47"/>
        <v>0</v>
      </c>
    </row>
    <row r="839" spans="1:7" s="21" customFormat="1" ht="31">
      <c r="A839" s="22"/>
      <c r="B839" s="124">
        <v>52118.01</v>
      </c>
      <c r="C839" s="156" t="s">
        <v>1296</v>
      </c>
      <c r="D839" s="25" t="s">
        <v>146</v>
      </c>
      <c r="E839" s="234"/>
      <c r="F839" s="67"/>
      <c r="G839" s="81">
        <f t="shared" si="47"/>
        <v>0</v>
      </c>
    </row>
    <row r="840" spans="1:7" s="21" customFormat="1" ht="16" thickBot="1">
      <c r="A840" s="22"/>
      <c r="B840" s="125">
        <v>52119.01</v>
      </c>
      <c r="C840" s="157" t="s">
        <v>1297</v>
      </c>
      <c r="D840" s="104" t="s">
        <v>151</v>
      </c>
      <c r="E840" s="194"/>
      <c r="F840" s="105"/>
      <c r="G840" s="106">
        <f t="shared" si="47"/>
        <v>0</v>
      </c>
    </row>
    <row r="841" spans="1:7" s="21" customFormat="1" ht="16" thickBot="1">
      <c r="A841" s="22"/>
      <c r="B841" s="129"/>
      <c r="C841" s="317" t="s">
        <v>2219</v>
      </c>
      <c r="D841" s="51"/>
      <c r="E841" s="59">
        <f>IF(SUM(E842:E879)&gt;0,1,"")</f>
        <v>1</v>
      </c>
      <c r="F841" s="60"/>
      <c r="G841" s="61"/>
    </row>
    <row r="842" spans="1:7" s="21" customFormat="1" ht="15.5">
      <c r="A842" s="22"/>
      <c r="B842" s="139" t="s">
        <v>900</v>
      </c>
      <c r="C842" s="161" t="s">
        <v>173</v>
      </c>
      <c r="D842" s="99" t="s">
        <v>146</v>
      </c>
      <c r="E842" s="209">
        <v>550</v>
      </c>
      <c r="F842" s="100"/>
      <c r="G842" s="85">
        <f>E842*F842</f>
        <v>0</v>
      </c>
    </row>
    <row r="843" spans="1:7" s="21" customFormat="1" ht="46.5">
      <c r="A843" s="22"/>
      <c r="B843" s="140" t="s">
        <v>901</v>
      </c>
      <c r="C843" s="162" t="s">
        <v>369</v>
      </c>
      <c r="D843" s="75" t="s">
        <v>146</v>
      </c>
      <c r="E843" s="186"/>
      <c r="F843" s="76"/>
      <c r="G843" s="101">
        <f>E843*F843</f>
        <v>0</v>
      </c>
    </row>
    <row r="844" spans="1:7" s="21" customFormat="1" ht="46.5">
      <c r="A844" s="22"/>
      <c r="B844" s="140" t="s">
        <v>902</v>
      </c>
      <c r="C844" s="162" t="s">
        <v>370</v>
      </c>
      <c r="D844" s="75" t="s">
        <v>146</v>
      </c>
      <c r="E844" s="186"/>
      <c r="F844" s="76"/>
      <c r="G844" s="101">
        <f>E844*F844</f>
        <v>0</v>
      </c>
    </row>
    <row r="845" spans="1:7" s="21" customFormat="1" ht="31">
      <c r="A845" s="22"/>
      <c r="B845" s="140" t="s">
        <v>903</v>
      </c>
      <c r="C845" s="162" t="s">
        <v>371</v>
      </c>
      <c r="D845" s="75" t="s">
        <v>146</v>
      </c>
      <c r="E845" s="186"/>
      <c r="F845" s="76"/>
      <c r="G845" s="101">
        <f>E845*F845</f>
        <v>0</v>
      </c>
    </row>
    <row r="846" spans="1:7" s="21" customFormat="1" ht="31">
      <c r="A846" s="22"/>
      <c r="B846" s="140" t="s">
        <v>904</v>
      </c>
      <c r="C846" s="162" t="s">
        <v>372</v>
      </c>
      <c r="D846" s="75" t="s">
        <v>146</v>
      </c>
      <c r="E846" s="186"/>
      <c r="F846" s="76"/>
      <c r="G846" s="101">
        <f>E847*F846</f>
        <v>0</v>
      </c>
    </row>
    <row r="847" spans="1:7" s="21" customFormat="1" ht="31">
      <c r="A847" s="22"/>
      <c r="B847" s="140" t="s">
        <v>905</v>
      </c>
      <c r="C847" s="162" t="s">
        <v>1867</v>
      </c>
      <c r="D847" s="75" t="s">
        <v>146</v>
      </c>
      <c r="E847" s="186">
        <v>550</v>
      </c>
      <c r="F847" s="76"/>
      <c r="G847" s="101">
        <f>E848*F847</f>
        <v>0</v>
      </c>
    </row>
    <row r="848" spans="1:7" s="21" customFormat="1" ht="31">
      <c r="A848" s="22"/>
      <c r="B848" s="140" t="s">
        <v>906</v>
      </c>
      <c r="C848" s="162" t="s">
        <v>373</v>
      </c>
      <c r="D848" s="75" t="s">
        <v>146</v>
      </c>
      <c r="E848" s="186"/>
      <c r="F848" s="76"/>
      <c r="G848" s="101">
        <f>E849*F848</f>
        <v>0</v>
      </c>
    </row>
    <row r="849" spans="1:7" s="21" customFormat="1" ht="31">
      <c r="A849" s="22"/>
      <c r="B849" s="140" t="s">
        <v>907</v>
      </c>
      <c r="C849" s="162" t="s">
        <v>1868</v>
      </c>
      <c r="D849" s="75" t="s">
        <v>146</v>
      </c>
      <c r="E849" s="186">
        <v>58</v>
      </c>
      <c r="F849" s="76"/>
      <c r="G849" s="101">
        <f>E850*F849</f>
        <v>0</v>
      </c>
    </row>
    <row r="850" spans="1:7" s="21" customFormat="1" ht="31">
      <c r="A850" s="22"/>
      <c r="B850" s="140" t="s">
        <v>908</v>
      </c>
      <c r="C850" s="162" t="s">
        <v>374</v>
      </c>
      <c r="D850" s="75" t="s">
        <v>146</v>
      </c>
      <c r="E850" s="186"/>
      <c r="F850" s="76"/>
      <c r="G850" s="101">
        <f t="shared" ref="G850:G879" si="48">E850*F850</f>
        <v>0</v>
      </c>
    </row>
    <row r="851" spans="1:7" s="21" customFormat="1" ht="31">
      <c r="A851" s="22"/>
      <c r="B851" s="140" t="s">
        <v>909</v>
      </c>
      <c r="C851" s="162" t="s">
        <v>375</v>
      </c>
      <c r="D851" s="75" t="s">
        <v>146</v>
      </c>
      <c r="E851" s="186"/>
      <c r="F851" s="76"/>
      <c r="G851" s="101">
        <f t="shared" si="48"/>
        <v>0</v>
      </c>
    </row>
    <row r="852" spans="1:7" s="21" customFormat="1" ht="46.5">
      <c r="A852" s="22"/>
      <c r="B852" s="140" t="s">
        <v>910</v>
      </c>
      <c r="C852" s="162" t="s">
        <v>376</v>
      </c>
      <c r="D852" s="75" t="s">
        <v>146</v>
      </c>
      <c r="E852" s="186"/>
      <c r="F852" s="76"/>
      <c r="G852" s="101">
        <f t="shared" si="48"/>
        <v>0</v>
      </c>
    </row>
    <row r="853" spans="1:7" s="21" customFormat="1" ht="46.5">
      <c r="A853" s="22"/>
      <c r="B853" s="140" t="s">
        <v>911</v>
      </c>
      <c r="C853" s="162" t="s">
        <v>174</v>
      </c>
      <c r="D853" s="75" t="s">
        <v>146</v>
      </c>
      <c r="E853" s="186"/>
      <c r="F853" s="76"/>
      <c r="G853" s="101">
        <f t="shared" si="48"/>
        <v>0</v>
      </c>
    </row>
    <row r="854" spans="1:7" s="21" customFormat="1" ht="31">
      <c r="A854" s="22"/>
      <c r="B854" s="140" t="s">
        <v>912</v>
      </c>
      <c r="C854" s="162" t="s">
        <v>175</v>
      </c>
      <c r="D854" s="75" t="s">
        <v>176</v>
      </c>
      <c r="E854" s="186">
        <v>30</v>
      </c>
      <c r="F854" s="76"/>
      <c r="G854" s="101">
        <f t="shared" si="48"/>
        <v>0</v>
      </c>
    </row>
    <row r="855" spans="1:7" s="21" customFormat="1" ht="31">
      <c r="A855" s="22"/>
      <c r="B855" s="140" t="s">
        <v>913</v>
      </c>
      <c r="C855" s="162" t="s">
        <v>177</v>
      </c>
      <c r="D855" s="75" t="s">
        <v>176</v>
      </c>
      <c r="E855" s="186">
        <v>2</v>
      </c>
      <c r="F855" s="76"/>
      <c r="G855" s="101">
        <f t="shared" si="48"/>
        <v>0</v>
      </c>
    </row>
    <row r="856" spans="1:7" s="21" customFormat="1" ht="31">
      <c r="A856" s="22"/>
      <c r="B856" s="140" t="s">
        <v>914</v>
      </c>
      <c r="C856" s="162" t="s">
        <v>178</v>
      </c>
      <c r="D856" s="75" t="s">
        <v>176</v>
      </c>
      <c r="E856" s="186"/>
      <c r="F856" s="76"/>
      <c r="G856" s="101">
        <f t="shared" si="48"/>
        <v>0</v>
      </c>
    </row>
    <row r="857" spans="1:7" s="21" customFormat="1" ht="31">
      <c r="A857" s="22"/>
      <c r="B857" s="140" t="s">
        <v>915</v>
      </c>
      <c r="C857" s="162" t="s">
        <v>179</v>
      </c>
      <c r="D857" s="75" t="s">
        <v>147</v>
      </c>
      <c r="E857" s="186"/>
      <c r="F857" s="76"/>
      <c r="G857" s="101">
        <f t="shared" si="48"/>
        <v>0</v>
      </c>
    </row>
    <row r="858" spans="1:7" s="21" customFormat="1" ht="31">
      <c r="A858" s="22"/>
      <c r="B858" s="140" t="s">
        <v>916</v>
      </c>
      <c r="C858" s="162" t="s">
        <v>180</v>
      </c>
      <c r="D858" s="75" t="s">
        <v>147</v>
      </c>
      <c r="E858" s="186"/>
      <c r="F858" s="76"/>
      <c r="G858" s="101">
        <f t="shared" si="48"/>
        <v>0</v>
      </c>
    </row>
    <row r="859" spans="1:7" s="21" customFormat="1" ht="31">
      <c r="A859" s="22"/>
      <c r="B859" s="140" t="s">
        <v>917</v>
      </c>
      <c r="C859" s="162" t="s">
        <v>181</v>
      </c>
      <c r="D859" s="75" t="s">
        <v>147</v>
      </c>
      <c r="E859" s="186"/>
      <c r="F859" s="76"/>
      <c r="G859" s="101">
        <f t="shared" si="48"/>
        <v>0</v>
      </c>
    </row>
    <row r="860" spans="1:7" s="21" customFormat="1" ht="31">
      <c r="A860" s="22"/>
      <c r="B860" s="140" t="s">
        <v>918</v>
      </c>
      <c r="C860" s="162" t="s">
        <v>182</v>
      </c>
      <c r="D860" s="75" t="s">
        <v>147</v>
      </c>
      <c r="E860" s="186"/>
      <c r="F860" s="76"/>
      <c r="G860" s="101">
        <f t="shared" si="48"/>
        <v>0</v>
      </c>
    </row>
    <row r="861" spans="1:7" s="21" customFormat="1" ht="31">
      <c r="A861" s="22"/>
      <c r="B861" s="140" t="s">
        <v>919</v>
      </c>
      <c r="C861" s="162" t="s">
        <v>183</v>
      </c>
      <c r="D861" s="75" t="s">
        <v>147</v>
      </c>
      <c r="E861" s="186">
        <v>8</v>
      </c>
      <c r="F861" s="76"/>
      <c r="G861" s="101">
        <f t="shared" si="48"/>
        <v>0</v>
      </c>
    </row>
    <row r="862" spans="1:7" s="21" customFormat="1" ht="31">
      <c r="A862" s="22"/>
      <c r="B862" s="140" t="s">
        <v>920</v>
      </c>
      <c r="C862" s="162" t="s">
        <v>184</v>
      </c>
      <c r="D862" s="75" t="s">
        <v>147</v>
      </c>
      <c r="E862" s="186"/>
      <c r="F862" s="76"/>
      <c r="G862" s="101">
        <f t="shared" si="48"/>
        <v>0</v>
      </c>
    </row>
    <row r="863" spans="1:7" s="21" customFormat="1" ht="31">
      <c r="A863" s="22"/>
      <c r="B863" s="140" t="s">
        <v>921</v>
      </c>
      <c r="C863" s="162" t="s">
        <v>185</v>
      </c>
      <c r="D863" s="75" t="s">
        <v>147</v>
      </c>
      <c r="E863" s="186">
        <v>17</v>
      </c>
      <c r="F863" s="76"/>
      <c r="G863" s="101">
        <f t="shared" si="48"/>
        <v>0</v>
      </c>
    </row>
    <row r="864" spans="1:7" s="21" customFormat="1" ht="31">
      <c r="A864" s="22"/>
      <c r="B864" s="140" t="s">
        <v>922</v>
      </c>
      <c r="C864" s="162" t="s">
        <v>186</v>
      </c>
      <c r="D864" s="75" t="s">
        <v>146</v>
      </c>
      <c r="E864" s="186"/>
      <c r="F864" s="76"/>
      <c r="G864" s="101">
        <f t="shared" si="48"/>
        <v>0</v>
      </c>
    </row>
    <row r="865" spans="1:7" s="21" customFormat="1" ht="31">
      <c r="A865" s="22"/>
      <c r="B865" s="140" t="s">
        <v>923</v>
      </c>
      <c r="C865" s="162" t="s">
        <v>187</v>
      </c>
      <c r="D865" s="75" t="s">
        <v>146</v>
      </c>
      <c r="E865" s="186"/>
      <c r="F865" s="76"/>
      <c r="G865" s="101">
        <f t="shared" si="48"/>
        <v>0</v>
      </c>
    </row>
    <row r="866" spans="1:7" s="21" customFormat="1" ht="31">
      <c r="A866" s="22"/>
      <c r="B866" s="140" t="s">
        <v>924</v>
      </c>
      <c r="C866" s="162" t="s">
        <v>188</v>
      </c>
      <c r="D866" s="75" t="s">
        <v>146</v>
      </c>
      <c r="E866" s="186">
        <v>5</v>
      </c>
      <c r="F866" s="76"/>
      <c r="G866" s="101">
        <f t="shared" si="48"/>
        <v>0</v>
      </c>
    </row>
    <row r="867" spans="1:7" s="21" customFormat="1" ht="31">
      <c r="A867" s="22"/>
      <c r="B867" s="140" t="s">
        <v>925</v>
      </c>
      <c r="C867" s="162" t="s">
        <v>189</v>
      </c>
      <c r="D867" s="75" t="s">
        <v>146</v>
      </c>
      <c r="E867" s="186"/>
      <c r="F867" s="76"/>
      <c r="G867" s="101">
        <f t="shared" si="48"/>
        <v>0</v>
      </c>
    </row>
    <row r="868" spans="1:7" s="21" customFormat="1" ht="31">
      <c r="A868" s="22"/>
      <c r="B868" s="140" t="s">
        <v>926</v>
      </c>
      <c r="C868" s="162" t="s">
        <v>190</v>
      </c>
      <c r="D868" s="75" t="s">
        <v>146</v>
      </c>
      <c r="E868" s="186">
        <v>82</v>
      </c>
      <c r="F868" s="76"/>
      <c r="G868" s="101">
        <f t="shared" si="48"/>
        <v>0</v>
      </c>
    </row>
    <row r="869" spans="1:7" s="21" customFormat="1" ht="31">
      <c r="A869" s="22"/>
      <c r="B869" s="140" t="s">
        <v>928</v>
      </c>
      <c r="C869" s="162" t="s">
        <v>191</v>
      </c>
      <c r="D869" s="75" t="s">
        <v>146</v>
      </c>
      <c r="E869" s="186"/>
      <c r="F869" s="76"/>
      <c r="G869" s="101">
        <f t="shared" si="48"/>
        <v>0</v>
      </c>
    </row>
    <row r="870" spans="1:7" s="21" customFormat="1" ht="31">
      <c r="A870" s="22"/>
      <c r="B870" s="140" t="s">
        <v>927</v>
      </c>
      <c r="C870" s="162" t="s">
        <v>192</v>
      </c>
      <c r="D870" s="75" t="s">
        <v>146</v>
      </c>
      <c r="E870" s="186"/>
      <c r="F870" s="76"/>
      <c r="G870" s="101">
        <f t="shared" si="48"/>
        <v>0</v>
      </c>
    </row>
    <row r="871" spans="1:7" s="21" customFormat="1" ht="31">
      <c r="A871" s="22"/>
      <c r="B871" s="140" t="s">
        <v>929</v>
      </c>
      <c r="C871" s="162" t="s">
        <v>193</v>
      </c>
      <c r="D871" s="75" t="s">
        <v>146</v>
      </c>
      <c r="E871" s="186"/>
      <c r="F871" s="76"/>
      <c r="G871" s="101">
        <f t="shared" si="48"/>
        <v>0</v>
      </c>
    </row>
    <row r="872" spans="1:7" s="21" customFormat="1" ht="31">
      <c r="A872" s="22"/>
      <c r="B872" s="140" t="s">
        <v>930</v>
      </c>
      <c r="C872" s="162" t="s">
        <v>1874</v>
      </c>
      <c r="D872" s="75" t="s">
        <v>146</v>
      </c>
      <c r="E872" s="186">
        <v>223</v>
      </c>
      <c r="F872" s="76"/>
      <c r="G872" s="101">
        <f t="shared" si="48"/>
        <v>0</v>
      </c>
    </row>
    <row r="873" spans="1:7" s="21" customFormat="1" ht="31">
      <c r="A873" s="22"/>
      <c r="B873" s="140" t="s">
        <v>931</v>
      </c>
      <c r="C873" s="162" t="s">
        <v>1875</v>
      </c>
      <c r="D873" s="75" t="s">
        <v>161</v>
      </c>
      <c r="E873" s="186">
        <v>50</v>
      </c>
      <c r="F873" s="76"/>
      <c r="G873" s="101">
        <f t="shared" si="48"/>
        <v>0</v>
      </c>
    </row>
    <row r="874" spans="1:7" s="21" customFormat="1" ht="15.5">
      <c r="A874" s="22"/>
      <c r="B874" s="140" t="s">
        <v>932</v>
      </c>
      <c r="C874" s="162" t="s">
        <v>194</v>
      </c>
      <c r="D874" s="75" t="s">
        <v>147</v>
      </c>
      <c r="E874" s="186"/>
      <c r="F874" s="76"/>
      <c r="G874" s="101">
        <f t="shared" si="48"/>
        <v>0</v>
      </c>
    </row>
    <row r="875" spans="1:7" s="21" customFormat="1" ht="15.5">
      <c r="A875" s="22"/>
      <c r="B875" s="140" t="s">
        <v>933</v>
      </c>
      <c r="C875" s="162" t="s">
        <v>195</v>
      </c>
      <c r="D875" s="75" t="s">
        <v>147</v>
      </c>
      <c r="E875" s="186"/>
      <c r="F875" s="76"/>
      <c r="G875" s="101">
        <f t="shared" si="48"/>
        <v>0</v>
      </c>
    </row>
    <row r="876" spans="1:7" s="21" customFormat="1" ht="15.5">
      <c r="A876" s="22"/>
      <c r="B876" s="140" t="s">
        <v>934</v>
      </c>
      <c r="C876" s="162" t="s">
        <v>196</v>
      </c>
      <c r="D876" s="75" t="s">
        <v>147</v>
      </c>
      <c r="E876" s="186"/>
      <c r="F876" s="76"/>
      <c r="G876" s="101">
        <f t="shared" si="48"/>
        <v>0</v>
      </c>
    </row>
    <row r="877" spans="1:7" s="21" customFormat="1" ht="15.5">
      <c r="A877" s="22"/>
      <c r="B877" s="140" t="s">
        <v>935</v>
      </c>
      <c r="C877" s="162" t="s">
        <v>197</v>
      </c>
      <c r="D877" s="75" t="s">
        <v>147</v>
      </c>
      <c r="E877" s="186"/>
      <c r="F877" s="76"/>
      <c r="G877" s="101">
        <f t="shared" si="48"/>
        <v>0</v>
      </c>
    </row>
    <row r="878" spans="1:7" s="21" customFormat="1" ht="31">
      <c r="A878" s="22"/>
      <c r="B878" s="140" t="s">
        <v>936</v>
      </c>
      <c r="C878" s="162" t="s">
        <v>377</v>
      </c>
      <c r="D878" s="75" t="s">
        <v>147</v>
      </c>
      <c r="E878" s="186"/>
      <c r="F878" s="76"/>
      <c r="G878" s="101">
        <f t="shared" si="48"/>
        <v>0</v>
      </c>
    </row>
    <row r="879" spans="1:7" s="21" customFormat="1" ht="47" thickBot="1">
      <c r="A879" s="22"/>
      <c r="B879" s="132" t="s">
        <v>874</v>
      </c>
      <c r="C879" s="163" t="s">
        <v>378</v>
      </c>
      <c r="D879" s="77" t="s">
        <v>147</v>
      </c>
      <c r="E879" s="210"/>
      <c r="F879" s="78"/>
      <c r="G879" s="102">
        <f t="shared" si="48"/>
        <v>0</v>
      </c>
    </row>
    <row r="880" spans="1:7" s="21" customFormat="1" ht="16" thickBot="1">
      <c r="A880" s="22"/>
      <c r="B880" s="123"/>
      <c r="C880" s="23" t="s">
        <v>1683</v>
      </c>
      <c r="D880" s="43"/>
      <c r="E880" s="59" t="str">
        <f>IF(SUM(E881:E885)&gt;0,1,"")</f>
        <v/>
      </c>
      <c r="F880" s="60"/>
      <c r="G880" s="61"/>
    </row>
    <row r="881" spans="1:7" s="21" customFormat="1" ht="15.5">
      <c r="A881" s="22"/>
      <c r="B881" s="127">
        <v>52201.01</v>
      </c>
      <c r="C881" s="159" t="s">
        <v>451</v>
      </c>
      <c r="D881" s="62" t="s">
        <v>147</v>
      </c>
      <c r="E881" s="245"/>
      <c r="F881" s="63"/>
      <c r="G881" s="103">
        <f>E881*F881</f>
        <v>0</v>
      </c>
    </row>
    <row r="882" spans="1:7" s="21" customFormat="1" ht="15.5">
      <c r="A882" s="22"/>
      <c r="B882" s="124">
        <v>52202.01</v>
      </c>
      <c r="C882" s="156" t="s">
        <v>452</v>
      </c>
      <c r="D882" s="25" t="s">
        <v>147</v>
      </c>
      <c r="E882" s="234"/>
      <c r="F882" s="67"/>
      <c r="G882" s="81">
        <f>E882*F882</f>
        <v>0</v>
      </c>
    </row>
    <row r="883" spans="1:7" s="21" customFormat="1" ht="15.5">
      <c r="A883" s="22"/>
      <c r="B883" s="124">
        <v>52203.01</v>
      </c>
      <c r="C883" s="156" t="s">
        <v>453</v>
      </c>
      <c r="D883" s="25" t="s">
        <v>147</v>
      </c>
      <c r="E883" s="234"/>
      <c r="F883" s="67"/>
      <c r="G883" s="81">
        <f>E883*F883</f>
        <v>0</v>
      </c>
    </row>
    <row r="884" spans="1:7" s="21" customFormat="1" ht="15.5">
      <c r="A884" s="22"/>
      <c r="B884" s="134">
        <v>52204.01</v>
      </c>
      <c r="C884" s="156" t="s">
        <v>454</v>
      </c>
      <c r="D884" s="25" t="s">
        <v>147</v>
      </c>
      <c r="E884" s="234"/>
      <c r="F884" s="67"/>
      <c r="G884" s="81">
        <f>E884*F884</f>
        <v>0</v>
      </c>
    </row>
    <row r="885" spans="1:7" s="21" customFormat="1" ht="16" thickBot="1">
      <c r="A885" s="22"/>
      <c r="B885" s="135">
        <v>52205.01</v>
      </c>
      <c r="C885" s="157" t="s">
        <v>1298</v>
      </c>
      <c r="D885" s="104" t="s">
        <v>147</v>
      </c>
      <c r="E885" s="194"/>
      <c r="F885" s="105"/>
      <c r="G885" s="106">
        <f>E885*F885</f>
        <v>0</v>
      </c>
    </row>
    <row r="886" spans="1:7" s="21" customFormat="1" ht="16" thickBot="1">
      <c r="A886" s="22"/>
      <c r="B886" s="123"/>
      <c r="C886" s="23" t="s">
        <v>1008</v>
      </c>
      <c r="D886" s="43"/>
      <c r="E886" s="59">
        <f>IF(SUM(E887:E938)&gt;0,1,"")</f>
        <v>1</v>
      </c>
      <c r="F886" s="60"/>
      <c r="G886" s="61"/>
    </row>
    <row r="887" spans="1:7" s="21" customFormat="1" ht="31.5" thickBot="1">
      <c r="A887" s="22"/>
      <c r="B887" s="123"/>
      <c r="C887" s="23" t="s">
        <v>1684</v>
      </c>
      <c r="D887" s="43"/>
      <c r="E887" s="59">
        <f>IF(SUM(E888:E898)&gt;0,1,"")</f>
        <v>1</v>
      </c>
      <c r="F887" s="60"/>
      <c r="G887" s="61"/>
    </row>
    <row r="888" spans="1:7" s="21" customFormat="1" ht="15.5">
      <c r="A888" s="22"/>
      <c r="B888" s="124">
        <v>60001.01</v>
      </c>
      <c r="C888" s="156" t="s">
        <v>1299</v>
      </c>
      <c r="D888" s="25" t="s">
        <v>146</v>
      </c>
      <c r="E888" s="234"/>
      <c r="F888" s="67"/>
      <c r="G888" s="66">
        <f t="shared" ref="G888:G898" si="49">E888*F888</f>
        <v>0</v>
      </c>
    </row>
    <row r="889" spans="1:7" s="21" customFormat="1" ht="15.5">
      <c r="A889" s="22"/>
      <c r="B889" s="141">
        <v>60002.01</v>
      </c>
      <c r="C889" s="167" t="s">
        <v>1300</v>
      </c>
      <c r="D889" s="24" t="s">
        <v>146</v>
      </c>
      <c r="E889" s="247"/>
      <c r="F889" s="68"/>
      <c r="G889" s="66">
        <f t="shared" si="49"/>
        <v>0</v>
      </c>
    </row>
    <row r="890" spans="1:7" s="21" customFormat="1" ht="15.5">
      <c r="A890" s="22"/>
      <c r="B890" s="134">
        <v>60003.01</v>
      </c>
      <c r="C890" s="156" t="s">
        <v>1301</v>
      </c>
      <c r="D890" s="25" t="s">
        <v>147</v>
      </c>
      <c r="E890" s="234"/>
      <c r="F890" s="67"/>
      <c r="G890" s="66">
        <f t="shared" si="49"/>
        <v>0</v>
      </c>
    </row>
    <row r="891" spans="1:7" s="21" customFormat="1" ht="31">
      <c r="A891" s="22"/>
      <c r="B891" s="134">
        <v>60004.01</v>
      </c>
      <c r="C891" s="156" t="s">
        <v>1302</v>
      </c>
      <c r="D891" s="25" t="s">
        <v>146</v>
      </c>
      <c r="E891" s="234"/>
      <c r="F891" s="67"/>
      <c r="G891" s="66">
        <f t="shared" si="49"/>
        <v>0</v>
      </c>
    </row>
    <row r="892" spans="1:7" s="21" customFormat="1" ht="46.5">
      <c r="A892" s="22"/>
      <c r="B892" s="134">
        <v>60005.01</v>
      </c>
      <c r="C892" s="156" t="s">
        <v>1303</v>
      </c>
      <c r="D892" s="25" t="s">
        <v>146</v>
      </c>
      <c r="E892" s="234"/>
      <c r="F892" s="67"/>
      <c r="G892" s="66">
        <f t="shared" si="49"/>
        <v>0</v>
      </c>
    </row>
    <row r="893" spans="1:7" s="21" customFormat="1" ht="15.5">
      <c r="A893" s="22"/>
      <c r="B893" s="134">
        <v>60006.01</v>
      </c>
      <c r="C893" s="156" t="s">
        <v>1304</v>
      </c>
      <c r="D893" s="25" t="s">
        <v>146</v>
      </c>
      <c r="E893" s="234"/>
      <c r="F893" s="67"/>
      <c r="G893" s="66">
        <f t="shared" si="49"/>
        <v>0</v>
      </c>
    </row>
    <row r="894" spans="1:7" s="21" customFormat="1" ht="31">
      <c r="A894" s="22"/>
      <c r="B894" s="134">
        <v>60007.01</v>
      </c>
      <c r="C894" s="156" t="s">
        <v>1305</v>
      </c>
      <c r="D894" s="25" t="s">
        <v>146</v>
      </c>
      <c r="E894" s="234"/>
      <c r="F894" s="67"/>
      <c r="G894" s="66">
        <f t="shared" si="49"/>
        <v>0</v>
      </c>
    </row>
    <row r="895" spans="1:7" s="21" customFormat="1" ht="46.5">
      <c r="A895" s="22"/>
      <c r="B895" s="134">
        <v>60008.01</v>
      </c>
      <c r="C895" s="156" t="s">
        <v>1997</v>
      </c>
      <c r="D895" s="25" t="s">
        <v>146</v>
      </c>
      <c r="E895" s="234">
        <v>118</v>
      </c>
      <c r="F895" s="67"/>
      <c r="G895" s="66">
        <f t="shared" si="49"/>
        <v>0</v>
      </c>
    </row>
    <row r="896" spans="1:7" s="21" customFormat="1" ht="31">
      <c r="A896" s="22"/>
      <c r="B896" s="134">
        <v>60008.02</v>
      </c>
      <c r="C896" s="156" t="s">
        <v>1910</v>
      </c>
      <c r="D896" s="25" t="s">
        <v>146</v>
      </c>
      <c r="E896" s="235">
        <v>98</v>
      </c>
      <c r="F896" s="67"/>
      <c r="G896" s="66">
        <f t="shared" si="49"/>
        <v>0</v>
      </c>
    </row>
    <row r="897" spans="1:7" s="21" customFormat="1" ht="31">
      <c r="A897" s="22"/>
      <c r="B897" s="134">
        <v>60008.02</v>
      </c>
      <c r="C897" s="156" t="s">
        <v>1911</v>
      </c>
      <c r="D897" s="25" t="s">
        <v>146</v>
      </c>
      <c r="E897" s="235">
        <v>8</v>
      </c>
      <c r="F897" s="67"/>
      <c r="G897" s="66">
        <f t="shared" si="49"/>
        <v>0</v>
      </c>
    </row>
    <row r="898" spans="1:7" s="21" customFormat="1" ht="31.5" thickBot="1">
      <c r="A898" s="22"/>
      <c r="B898" s="134">
        <v>60009.01</v>
      </c>
      <c r="C898" s="156" t="s">
        <v>1306</v>
      </c>
      <c r="D898" s="25" t="s">
        <v>146</v>
      </c>
      <c r="E898" s="235"/>
      <c r="F898" s="67"/>
      <c r="G898" s="66">
        <f t="shared" si="49"/>
        <v>0</v>
      </c>
    </row>
    <row r="899" spans="1:7" s="21" customFormat="1" ht="16" thickBot="1">
      <c r="A899" s="22"/>
      <c r="B899" s="129"/>
      <c r="C899" s="52" t="s">
        <v>1685</v>
      </c>
      <c r="D899" s="84"/>
      <c r="E899" s="59" t="str">
        <f>IF(SUM(E900:E905)&gt;0,1,"")</f>
        <v/>
      </c>
      <c r="F899" s="60"/>
      <c r="G899" s="61"/>
    </row>
    <row r="900" spans="1:7" s="21" customFormat="1" ht="31">
      <c r="A900" s="22"/>
      <c r="B900" s="142" t="s">
        <v>875</v>
      </c>
      <c r="C900" s="168" t="s">
        <v>379</v>
      </c>
      <c r="D900" s="72" t="s">
        <v>146</v>
      </c>
      <c r="E900" s="235"/>
      <c r="F900" s="73"/>
      <c r="G900" s="74">
        <f t="shared" ref="G900:G905" si="50">E900*F900</f>
        <v>0</v>
      </c>
    </row>
    <row r="901" spans="1:7" s="21" customFormat="1" ht="46.5">
      <c r="A901" s="22"/>
      <c r="B901" s="131" t="s">
        <v>876</v>
      </c>
      <c r="C901" s="162" t="s">
        <v>380</v>
      </c>
      <c r="D901" s="75" t="s">
        <v>146</v>
      </c>
      <c r="E901" s="235"/>
      <c r="F901" s="76"/>
      <c r="G901" s="74">
        <f t="shared" si="50"/>
        <v>0</v>
      </c>
    </row>
    <row r="902" spans="1:7" s="21" customFormat="1" ht="31">
      <c r="A902" s="22"/>
      <c r="B902" s="131" t="s">
        <v>877</v>
      </c>
      <c r="C902" s="162" t="s">
        <v>381</v>
      </c>
      <c r="D902" s="75" t="s">
        <v>146</v>
      </c>
      <c r="E902" s="235"/>
      <c r="F902" s="76"/>
      <c r="G902" s="74">
        <f t="shared" si="50"/>
        <v>0</v>
      </c>
    </row>
    <row r="903" spans="1:7" s="21" customFormat="1" ht="46.5">
      <c r="A903" s="22"/>
      <c r="B903" s="131" t="s">
        <v>878</v>
      </c>
      <c r="C903" s="162" t="s">
        <v>382</v>
      </c>
      <c r="D903" s="75" t="s">
        <v>146</v>
      </c>
      <c r="E903" s="235"/>
      <c r="F903" s="76"/>
      <c r="G903" s="74">
        <f t="shared" si="50"/>
        <v>0</v>
      </c>
    </row>
    <row r="904" spans="1:7" s="21" customFormat="1" ht="62">
      <c r="A904" s="22"/>
      <c r="B904" s="131" t="s">
        <v>879</v>
      </c>
      <c r="C904" s="162" t="s">
        <v>383</v>
      </c>
      <c r="D904" s="75" t="s">
        <v>146</v>
      </c>
      <c r="E904" s="235"/>
      <c r="F904" s="76"/>
      <c r="G904" s="74">
        <f t="shared" si="50"/>
        <v>0</v>
      </c>
    </row>
    <row r="905" spans="1:7" s="21" customFormat="1" ht="31.5" thickBot="1">
      <c r="A905" s="22"/>
      <c r="B905" s="143" t="s">
        <v>880</v>
      </c>
      <c r="C905" s="169" t="s">
        <v>384</v>
      </c>
      <c r="D905" s="79" t="s">
        <v>146</v>
      </c>
      <c r="E905" s="235"/>
      <c r="F905" s="80"/>
      <c r="G905" s="74">
        <f t="shared" si="50"/>
        <v>0</v>
      </c>
    </row>
    <row r="906" spans="1:7" s="21" customFormat="1" ht="31.5" thickBot="1">
      <c r="A906" s="22"/>
      <c r="B906" s="123"/>
      <c r="C906" s="23" t="s">
        <v>1686</v>
      </c>
      <c r="D906" s="43"/>
      <c r="E906" s="59">
        <f>IF(SUM(E907:E911)&gt;0,1,"")</f>
        <v>1</v>
      </c>
      <c r="F906" s="60"/>
      <c r="G906" s="61"/>
    </row>
    <row r="907" spans="1:7" s="21" customFormat="1" ht="31">
      <c r="A907" s="22"/>
      <c r="B907" s="134">
        <v>60051.01</v>
      </c>
      <c r="C907" s="156" t="s">
        <v>1307</v>
      </c>
      <c r="D907" s="25" t="s">
        <v>146</v>
      </c>
      <c r="E907" s="235"/>
      <c r="F907" s="67"/>
      <c r="G907" s="66">
        <f>E907*F907</f>
        <v>0</v>
      </c>
    </row>
    <row r="908" spans="1:7" s="21" customFormat="1" ht="31">
      <c r="A908" s="22"/>
      <c r="B908" s="216">
        <v>60052.01</v>
      </c>
      <c r="C908" s="170" t="s">
        <v>1778</v>
      </c>
      <c r="D908" s="64" t="s">
        <v>146</v>
      </c>
      <c r="E908" s="235">
        <v>478</v>
      </c>
      <c r="F908" s="65"/>
      <c r="G908" s="66">
        <f>E908*F908</f>
        <v>0</v>
      </c>
    </row>
    <row r="909" spans="1:7" s="21" customFormat="1" ht="31">
      <c r="A909" s="22"/>
      <c r="B909" s="216">
        <v>60052.02</v>
      </c>
      <c r="C909" s="170" t="s">
        <v>1779</v>
      </c>
      <c r="D909" s="64" t="s">
        <v>146</v>
      </c>
      <c r="E909" s="235">
        <v>478</v>
      </c>
      <c r="F909" s="65"/>
      <c r="G909" s="66">
        <f>E909*F909</f>
        <v>0</v>
      </c>
    </row>
    <row r="910" spans="1:7" s="21" customFormat="1" ht="31">
      <c r="A910" s="22"/>
      <c r="B910" s="216">
        <v>60052.03</v>
      </c>
      <c r="C910" s="156" t="s">
        <v>1783</v>
      </c>
      <c r="D910" s="25" t="s">
        <v>146</v>
      </c>
      <c r="E910" s="234">
        <v>61</v>
      </c>
      <c r="F910" s="67"/>
      <c r="G910" s="66">
        <f>E910*F910</f>
        <v>0</v>
      </c>
    </row>
    <row r="911" spans="1:7" s="21" customFormat="1" ht="31.5" thickBot="1">
      <c r="A911" s="22"/>
      <c r="B911" s="216">
        <v>60052.04</v>
      </c>
      <c r="C911" s="156" t="s">
        <v>1784</v>
      </c>
      <c r="D911" s="25" t="s">
        <v>146</v>
      </c>
      <c r="E911" s="234">
        <v>8</v>
      </c>
      <c r="F911" s="67"/>
      <c r="G911" s="66">
        <f>E911*F911</f>
        <v>0</v>
      </c>
    </row>
    <row r="912" spans="1:7" s="21" customFormat="1" ht="31.5" thickBot="1">
      <c r="A912" s="22"/>
      <c r="B912" s="123"/>
      <c r="C912" s="23" t="s">
        <v>1009</v>
      </c>
      <c r="D912" s="43"/>
      <c r="E912" s="59" t="str">
        <f>IF(SUM(E913:E916)&gt;0,1,"")</f>
        <v/>
      </c>
      <c r="F912" s="60"/>
      <c r="G912" s="61"/>
    </row>
    <row r="913" spans="1:7" s="21" customFormat="1" ht="31">
      <c r="A913" s="22"/>
      <c r="B913" s="141">
        <v>60101.01</v>
      </c>
      <c r="C913" s="167" t="s">
        <v>1308</v>
      </c>
      <c r="D913" s="24" t="s">
        <v>146</v>
      </c>
      <c r="E913" s="247"/>
      <c r="F913" s="68"/>
      <c r="G913" s="66">
        <f>E913*F913</f>
        <v>0</v>
      </c>
    </row>
    <row r="914" spans="1:7" s="21" customFormat="1" ht="31">
      <c r="A914" s="22"/>
      <c r="B914" s="134">
        <v>60102.01</v>
      </c>
      <c r="C914" s="156" t="s">
        <v>1309</v>
      </c>
      <c r="D914" s="25" t="s">
        <v>147</v>
      </c>
      <c r="E914" s="234"/>
      <c r="F914" s="67"/>
      <c r="G914" s="66">
        <f>E914*F914</f>
        <v>0</v>
      </c>
    </row>
    <row r="915" spans="1:7" s="21" customFormat="1" ht="31">
      <c r="A915" s="22"/>
      <c r="B915" s="134">
        <v>60103.01</v>
      </c>
      <c r="C915" s="156" t="s">
        <v>1310</v>
      </c>
      <c r="D915" s="25" t="s">
        <v>146</v>
      </c>
      <c r="E915" s="234"/>
      <c r="F915" s="67"/>
      <c r="G915" s="66">
        <f>E915*F915</f>
        <v>0</v>
      </c>
    </row>
    <row r="916" spans="1:7" s="21" customFormat="1" ht="31.5" thickBot="1">
      <c r="A916" s="22"/>
      <c r="B916" s="134">
        <v>60104.01</v>
      </c>
      <c r="C916" s="156" t="s">
        <v>1615</v>
      </c>
      <c r="D916" s="25" t="s">
        <v>146</v>
      </c>
      <c r="E916" s="234"/>
      <c r="F916" s="67"/>
      <c r="G916" s="66">
        <f>E916*F916</f>
        <v>0</v>
      </c>
    </row>
    <row r="917" spans="1:7" s="21" customFormat="1" ht="16" thickBot="1">
      <c r="A917" s="22"/>
      <c r="B917" s="123"/>
      <c r="C917" s="23" t="s">
        <v>1687</v>
      </c>
      <c r="D917" s="43"/>
      <c r="E917" s="59" t="str">
        <f>IF(SUM(E918:E922)&gt;0,1,"")</f>
        <v/>
      </c>
      <c r="F917" s="60"/>
      <c r="G917" s="61"/>
    </row>
    <row r="918" spans="1:7" s="21" customFormat="1" ht="15.5">
      <c r="A918" s="22"/>
      <c r="B918" s="134">
        <v>60151.01</v>
      </c>
      <c r="C918" s="156" t="s">
        <v>95</v>
      </c>
      <c r="D918" s="25" t="s">
        <v>146</v>
      </c>
      <c r="E918" s="234"/>
      <c r="F918" s="67"/>
      <c r="G918" s="66">
        <f>E918*F918</f>
        <v>0</v>
      </c>
    </row>
    <row r="919" spans="1:7" s="21" customFormat="1" ht="15.5">
      <c r="A919" s="22"/>
      <c r="B919" s="134">
        <v>60152.01</v>
      </c>
      <c r="C919" s="156" t="s">
        <v>542</v>
      </c>
      <c r="D919" s="25" t="s">
        <v>146</v>
      </c>
      <c r="E919" s="234"/>
      <c r="F919" s="67"/>
      <c r="G919" s="66">
        <f>E919*F919</f>
        <v>0</v>
      </c>
    </row>
    <row r="920" spans="1:7" s="21" customFormat="1" ht="31">
      <c r="A920" s="22"/>
      <c r="B920" s="134">
        <v>60153.01</v>
      </c>
      <c r="C920" s="156" t="s">
        <v>94</v>
      </c>
      <c r="D920" s="25" t="s">
        <v>146</v>
      </c>
      <c r="E920" s="234"/>
      <c r="F920" s="67"/>
      <c r="G920" s="66">
        <f>E920*F920</f>
        <v>0</v>
      </c>
    </row>
    <row r="921" spans="1:7" s="21" customFormat="1" ht="15.5">
      <c r="A921" s="22"/>
      <c r="B921" s="134">
        <v>60154.01</v>
      </c>
      <c r="C921" s="156" t="s">
        <v>236</v>
      </c>
      <c r="D921" s="25" t="s">
        <v>147</v>
      </c>
      <c r="E921" s="234"/>
      <c r="F921" s="67"/>
      <c r="G921" s="66">
        <f>E921*F921</f>
        <v>0</v>
      </c>
    </row>
    <row r="922" spans="1:7" s="21" customFormat="1" ht="16" thickBot="1">
      <c r="A922" s="22"/>
      <c r="B922" s="134">
        <v>60155.01</v>
      </c>
      <c r="C922" s="156" t="s">
        <v>1311</v>
      </c>
      <c r="D922" s="25" t="s">
        <v>147</v>
      </c>
      <c r="E922" s="234"/>
      <c r="F922" s="67"/>
      <c r="G922" s="66">
        <f>E922*F922</f>
        <v>0</v>
      </c>
    </row>
    <row r="923" spans="1:7" s="21" customFormat="1" ht="16" thickBot="1">
      <c r="A923" s="22"/>
      <c r="B923" s="123"/>
      <c r="C923" s="23" t="s">
        <v>1688</v>
      </c>
      <c r="D923" s="43"/>
      <c r="E923" s="59">
        <f>IF(SUM(E924:E936)&gt;0,1,"")</f>
        <v>1</v>
      </c>
      <c r="F923" s="60"/>
      <c r="G923" s="61"/>
    </row>
    <row r="924" spans="1:7" s="21" customFormat="1" ht="15.5">
      <c r="A924" s="22"/>
      <c r="B924" s="134">
        <v>60201.01</v>
      </c>
      <c r="C924" s="156" t="s">
        <v>1312</v>
      </c>
      <c r="D924" s="25" t="s">
        <v>147</v>
      </c>
      <c r="E924" s="234"/>
      <c r="F924" s="67"/>
      <c r="G924" s="66">
        <f t="shared" ref="G924:G936" si="51">E924*F924</f>
        <v>0</v>
      </c>
    </row>
    <row r="925" spans="1:7" s="21" customFormat="1" ht="15.5">
      <c r="A925" s="22"/>
      <c r="B925" s="134">
        <v>60202.01</v>
      </c>
      <c r="C925" s="156" t="s">
        <v>1313</v>
      </c>
      <c r="D925" s="25" t="s">
        <v>147</v>
      </c>
      <c r="E925" s="234"/>
      <c r="F925" s="67"/>
      <c r="G925" s="66">
        <f t="shared" si="51"/>
        <v>0</v>
      </c>
    </row>
    <row r="926" spans="1:7" s="21" customFormat="1" ht="15.5">
      <c r="A926" s="22"/>
      <c r="B926" s="134">
        <v>60203.01</v>
      </c>
      <c r="C926" s="156" t="s">
        <v>1314</v>
      </c>
      <c r="D926" s="25" t="s">
        <v>147</v>
      </c>
      <c r="E926" s="234"/>
      <c r="F926" s="67"/>
      <c r="G926" s="66">
        <f t="shared" si="51"/>
        <v>0</v>
      </c>
    </row>
    <row r="927" spans="1:7" s="21" customFormat="1" ht="31">
      <c r="A927" s="22"/>
      <c r="B927" s="134">
        <v>60204.01</v>
      </c>
      <c r="C927" s="156" t="s">
        <v>1793</v>
      </c>
      <c r="D927" s="25" t="s">
        <v>147</v>
      </c>
      <c r="E927" s="234">
        <v>28</v>
      </c>
      <c r="F927" s="67"/>
      <c r="G927" s="66">
        <f t="shared" si="51"/>
        <v>0</v>
      </c>
    </row>
    <row r="928" spans="1:7" s="21" customFormat="1" ht="15.5">
      <c r="A928" s="22"/>
      <c r="B928" s="134">
        <v>60204.02</v>
      </c>
      <c r="C928" s="156" t="s">
        <v>1785</v>
      </c>
      <c r="D928" s="25" t="s">
        <v>147</v>
      </c>
      <c r="E928" s="234">
        <v>6</v>
      </c>
      <c r="F928" s="67"/>
      <c r="G928" s="66">
        <f t="shared" si="51"/>
        <v>0</v>
      </c>
    </row>
    <row r="929" spans="1:7" s="21" customFormat="1" ht="31">
      <c r="A929" s="22"/>
      <c r="B929" s="134">
        <v>60204.03</v>
      </c>
      <c r="C929" s="156" t="s">
        <v>2125</v>
      </c>
      <c r="D929" s="25" t="s">
        <v>147</v>
      </c>
      <c r="E929" s="234">
        <v>13</v>
      </c>
      <c r="F929" s="67"/>
      <c r="G929" s="66">
        <f t="shared" si="51"/>
        <v>0</v>
      </c>
    </row>
    <row r="930" spans="1:7" s="21" customFormat="1" ht="15.5">
      <c r="A930" s="22"/>
      <c r="B930" s="184">
        <v>60205.01</v>
      </c>
      <c r="C930" s="156" t="s">
        <v>543</v>
      </c>
      <c r="D930" s="107" t="s">
        <v>147</v>
      </c>
      <c r="E930" s="251"/>
      <c r="F930" s="108"/>
      <c r="G930" s="185">
        <f t="shared" si="51"/>
        <v>0</v>
      </c>
    </row>
    <row r="931" spans="1:7" s="21" customFormat="1" ht="15.5">
      <c r="A931" s="22"/>
      <c r="B931" s="134">
        <v>60206.01</v>
      </c>
      <c r="C931" s="156" t="s">
        <v>544</v>
      </c>
      <c r="D931" s="25" t="s">
        <v>147</v>
      </c>
      <c r="E931" s="234"/>
      <c r="F931" s="67"/>
      <c r="G931" s="66">
        <f t="shared" si="51"/>
        <v>0</v>
      </c>
    </row>
    <row r="932" spans="1:7" s="21" customFormat="1" ht="15.5">
      <c r="A932" s="22"/>
      <c r="B932" s="134">
        <v>60207.01</v>
      </c>
      <c r="C932" s="156" t="s">
        <v>545</v>
      </c>
      <c r="D932" s="25" t="s">
        <v>147</v>
      </c>
      <c r="E932" s="234"/>
      <c r="F932" s="67"/>
      <c r="G932" s="66">
        <f t="shared" si="51"/>
        <v>0</v>
      </c>
    </row>
    <row r="933" spans="1:7" s="21" customFormat="1" ht="15.5">
      <c r="A933" s="22"/>
      <c r="B933" s="134">
        <v>60208.01</v>
      </c>
      <c r="C933" s="170" t="s">
        <v>546</v>
      </c>
      <c r="D933" s="64" t="s">
        <v>147</v>
      </c>
      <c r="E933" s="235"/>
      <c r="F933" s="65"/>
      <c r="G933" s="66">
        <f t="shared" si="51"/>
        <v>0</v>
      </c>
    </row>
    <row r="934" spans="1:7" s="21" customFormat="1" ht="15.5">
      <c r="A934" s="22"/>
      <c r="B934" s="134">
        <v>60209.01</v>
      </c>
      <c r="C934" s="156" t="s">
        <v>547</v>
      </c>
      <c r="D934" s="25" t="s">
        <v>146</v>
      </c>
      <c r="E934" s="234"/>
      <c r="F934" s="67"/>
      <c r="G934" s="66">
        <f t="shared" si="51"/>
        <v>0</v>
      </c>
    </row>
    <row r="935" spans="1:7" s="21" customFormat="1" ht="15.5">
      <c r="A935" s="22"/>
      <c r="B935" s="134">
        <v>60210.01</v>
      </c>
      <c r="C935" s="156" t="s">
        <v>548</v>
      </c>
      <c r="D935" s="25" t="s">
        <v>147</v>
      </c>
      <c r="E935" s="234"/>
      <c r="F935" s="67"/>
      <c r="G935" s="66">
        <f t="shared" si="51"/>
        <v>0</v>
      </c>
    </row>
    <row r="936" spans="1:7" s="21" customFormat="1" ht="16" thickBot="1">
      <c r="A936" s="22"/>
      <c r="B936" s="134">
        <v>60211.01</v>
      </c>
      <c r="C936" s="156" t="s">
        <v>407</v>
      </c>
      <c r="D936" s="25" t="s">
        <v>145</v>
      </c>
      <c r="E936" s="234"/>
      <c r="F936" s="67"/>
      <c r="G936" s="66">
        <f t="shared" si="51"/>
        <v>0</v>
      </c>
    </row>
    <row r="937" spans="1:7" s="21" customFormat="1" ht="16" thickBot="1">
      <c r="A937" s="22"/>
      <c r="B937" s="129"/>
      <c r="C937" s="52" t="s">
        <v>1685</v>
      </c>
      <c r="D937" s="51"/>
      <c r="E937" s="59" t="str">
        <f>IF(SUM(E938)&gt;0,1,"")</f>
        <v/>
      </c>
      <c r="F937" s="60"/>
      <c r="G937" s="61"/>
    </row>
    <row r="938" spans="1:7" s="21" customFormat="1" ht="46.5">
      <c r="A938" s="22"/>
      <c r="B938" s="130" t="s">
        <v>953</v>
      </c>
      <c r="C938" s="171" t="s">
        <v>385</v>
      </c>
      <c r="D938" s="82" t="s">
        <v>147</v>
      </c>
      <c r="E938" s="250"/>
      <c r="F938" s="83"/>
      <c r="G938" s="85">
        <f>E938*F938</f>
        <v>0</v>
      </c>
    </row>
    <row r="939" spans="1:7" s="21" customFormat="1" ht="31.5" thickBot="1">
      <c r="A939" s="22"/>
      <c r="B939" s="144" t="s">
        <v>881</v>
      </c>
      <c r="C939" s="163" t="s">
        <v>954</v>
      </c>
      <c r="D939" s="77" t="s">
        <v>146</v>
      </c>
      <c r="E939" s="210"/>
      <c r="F939" s="78"/>
      <c r="G939" s="86">
        <f>E939*F939</f>
        <v>0</v>
      </c>
    </row>
    <row r="940" spans="1:7" s="21" customFormat="1" ht="16" thickBot="1">
      <c r="A940" s="22"/>
      <c r="B940" s="145"/>
      <c r="C940" s="172" t="s">
        <v>1010</v>
      </c>
      <c r="D940" s="58"/>
      <c r="E940" s="87">
        <f>IF(SUM(E941:E958)&gt;0,1,"")</f>
        <v>1</v>
      </c>
      <c r="F940" s="88"/>
      <c r="G940" s="89"/>
    </row>
    <row r="941" spans="1:7" s="21" customFormat="1" ht="16" thickBot="1">
      <c r="A941" s="22"/>
      <c r="B941" s="123"/>
      <c r="C941" s="23" t="s">
        <v>1689</v>
      </c>
      <c r="D941" s="43"/>
      <c r="E941" s="59" t="str">
        <f>IF(SUM(E942:E946)&gt;0,1,"")</f>
        <v/>
      </c>
      <c r="F941" s="60"/>
      <c r="G941" s="61"/>
    </row>
    <row r="942" spans="1:7" s="21" customFormat="1" ht="15.5">
      <c r="A942" s="22"/>
      <c r="B942" s="124">
        <v>60301.01</v>
      </c>
      <c r="C942" s="156" t="s">
        <v>396</v>
      </c>
      <c r="D942" s="25" t="s">
        <v>147</v>
      </c>
      <c r="E942" s="234"/>
      <c r="F942" s="67"/>
      <c r="G942" s="66">
        <f>E942*F942</f>
        <v>0</v>
      </c>
    </row>
    <row r="943" spans="1:7" s="21" customFormat="1" ht="15.5">
      <c r="A943" s="22"/>
      <c r="B943" s="124">
        <v>60302.01</v>
      </c>
      <c r="C943" s="156" t="s">
        <v>397</v>
      </c>
      <c r="D943" s="25" t="s">
        <v>147</v>
      </c>
      <c r="E943" s="234"/>
      <c r="F943" s="67"/>
      <c r="G943" s="66">
        <f>E943*F943</f>
        <v>0</v>
      </c>
    </row>
    <row r="944" spans="1:7" s="21" customFormat="1" ht="31">
      <c r="A944" s="22"/>
      <c r="B944" s="124" t="s">
        <v>767</v>
      </c>
      <c r="C944" s="156" t="s">
        <v>549</v>
      </c>
      <c r="D944" s="25" t="s">
        <v>147</v>
      </c>
      <c r="E944" s="234"/>
      <c r="F944" s="67"/>
      <c r="G944" s="66">
        <f>E944*F944</f>
        <v>0</v>
      </c>
    </row>
    <row r="945" spans="1:7" s="21" customFormat="1" ht="31">
      <c r="A945" s="22"/>
      <c r="B945" s="124" t="s">
        <v>768</v>
      </c>
      <c r="C945" s="156" t="s">
        <v>550</v>
      </c>
      <c r="D945" s="25" t="s">
        <v>148</v>
      </c>
      <c r="E945" s="234"/>
      <c r="F945" s="67"/>
      <c r="G945" s="66">
        <f>E945*F945</f>
        <v>0</v>
      </c>
    </row>
    <row r="946" spans="1:7" s="21" customFormat="1" ht="16" thickBot="1">
      <c r="A946" s="22"/>
      <c r="B946" s="124">
        <v>60311.01</v>
      </c>
      <c r="C946" s="156" t="s">
        <v>551</v>
      </c>
      <c r="D946" s="25" t="s">
        <v>147</v>
      </c>
      <c r="E946" s="234"/>
      <c r="F946" s="67"/>
      <c r="G946" s="66">
        <f>E946*F946</f>
        <v>0</v>
      </c>
    </row>
    <row r="947" spans="1:7" s="21" customFormat="1" ht="16" thickBot="1">
      <c r="A947" s="22"/>
      <c r="B947" s="123"/>
      <c r="C947" s="23" t="s">
        <v>1690</v>
      </c>
      <c r="D947" s="43"/>
      <c r="E947" s="59">
        <f>IF(SUM(E948:E958)&gt;0,1,"")</f>
        <v>1</v>
      </c>
      <c r="F947" s="60"/>
      <c r="G947" s="61"/>
    </row>
    <row r="948" spans="1:7" s="21" customFormat="1" ht="15.5">
      <c r="A948" s="22"/>
      <c r="B948" s="124">
        <v>60351.01</v>
      </c>
      <c r="C948" s="156" t="s">
        <v>1792</v>
      </c>
      <c r="D948" s="25" t="s">
        <v>147</v>
      </c>
      <c r="E948" s="234">
        <v>12</v>
      </c>
      <c r="F948" s="67"/>
      <c r="G948" s="66">
        <f t="shared" ref="G948:G958" si="52">E948*F948</f>
        <v>0</v>
      </c>
    </row>
    <row r="949" spans="1:7" s="21" customFormat="1" ht="31">
      <c r="A949" s="22"/>
      <c r="B949" s="124">
        <v>60352.01</v>
      </c>
      <c r="C949" s="156" t="s">
        <v>1625</v>
      </c>
      <c r="D949" s="25" t="s">
        <v>147</v>
      </c>
      <c r="E949" s="234"/>
      <c r="F949" s="67"/>
      <c r="G949" s="66">
        <f t="shared" si="52"/>
        <v>0</v>
      </c>
    </row>
    <row r="950" spans="1:7" s="21" customFormat="1" ht="31">
      <c r="A950" s="22"/>
      <c r="B950" s="124" t="s">
        <v>769</v>
      </c>
      <c r="C950" s="156" t="s">
        <v>1626</v>
      </c>
      <c r="D950" s="25" t="s">
        <v>147</v>
      </c>
      <c r="E950" s="234"/>
      <c r="F950" s="67"/>
      <c r="G950" s="66">
        <f t="shared" si="52"/>
        <v>0</v>
      </c>
    </row>
    <row r="951" spans="1:7" s="21" customFormat="1" ht="31">
      <c r="A951" s="22"/>
      <c r="B951" s="124" t="s">
        <v>770</v>
      </c>
      <c r="C951" s="156" t="s">
        <v>552</v>
      </c>
      <c r="D951" s="25" t="s">
        <v>148</v>
      </c>
      <c r="E951" s="234"/>
      <c r="F951" s="67"/>
      <c r="G951" s="66">
        <f t="shared" si="52"/>
        <v>0</v>
      </c>
    </row>
    <row r="952" spans="1:7" s="21" customFormat="1" ht="15.5">
      <c r="A952" s="22"/>
      <c r="B952" s="124">
        <v>60361.01</v>
      </c>
      <c r="C952" s="156" t="s">
        <v>553</v>
      </c>
      <c r="D952" s="25" t="s">
        <v>147</v>
      </c>
      <c r="E952" s="234"/>
      <c r="F952" s="67"/>
      <c r="G952" s="66">
        <f t="shared" si="52"/>
        <v>0</v>
      </c>
    </row>
    <row r="953" spans="1:7" s="21" customFormat="1" ht="15.5">
      <c r="A953" s="22"/>
      <c r="B953" s="124">
        <v>60362.01</v>
      </c>
      <c r="C953" s="156" t="s">
        <v>554</v>
      </c>
      <c r="D953" s="25" t="s">
        <v>147</v>
      </c>
      <c r="E953" s="234"/>
      <c r="F953" s="67"/>
      <c r="G953" s="66">
        <f t="shared" si="52"/>
        <v>0</v>
      </c>
    </row>
    <row r="954" spans="1:7" s="21" customFormat="1" ht="15.5">
      <c r="A954" s="22"/>
      <c r="B954" s="124">
        <v>60363.01</v>
      </c>
      <c r="C954" s="156" t="s">
        <v>555</v>
      </c>
      <c r="D954" s="25" t="s">
        <v>147</v>
      </c>
      <c r="E954" s="234"/>
      <c r="F954" s="67"/>
      <c r="G954" s="66">
        <f t="shared" si="52"/>
        <v>0</v>
      </c>
    </row>
    <row r="955" spans="1:7" s="21" customFormat="1" ht="15.5">
      <c r="A955" s="22"/>
      <c r="B955" s="146">
        <v>60364.01</v>
      </c>
      <c r="C955" s="167" t="s">
        <v>238</v>
      </c>
      <c r="D955" s="24" t="s">
        <v>147</v>
      </c>
      <c r="E955" s="247"/>
      <c r="F955" s="68"/>
      <c r="G955" s="66">
        <f t="shared" si="52"/>
        <v>0</v>
      </c>
    </row>
    <row r="956" spans="1:7" s="21" customFormat="1" ht="15.5">
      <c r="A956" s="22"/>
      <c r="B956" s="147">
        <v>60365.01</v>
      </c>
      <c r="C956" s="170" t="s">
        <v>239</v>
      </c>
      <c r="D956" s="64" t="s">
        <v>147</v>
      </c>
      <c r="E956" s="235"/>
      <c r="F956" s="65"/>
      <c r="G956" s="66">
        <f t="shared" si="52"/>
        <v>0</v>
      </c>
    </row>
    <row r="957" spans="1:7" s="21" customFormat="1" ht="15.5">
      <c r="A957" s="22"/>
      <c r="B957" s="124">
        <v>60366.01</v>
      </c>
      <c r="C957" s="156" t="s">
        <v>240</v>
      </c>
      <c r="D957" s="25" t="s">
        <v>147</v>
      </c>
      <c r="E957" s="234"/>
      <c r="F957" s="67"/>
      <c r="G957" s="66">
        <f t="shared" si="52"/>
        <v>0</v>
      </c>
    </row>
    <row r="958" spans="1:7" s="21" customFormat="1" ht="16" thickBot="1">
      <c r="A958" s="22"/>
      <c r="B958" s="141">
        <v>60367.01</v>
      </c>
      <c r="C958" s="167" t="s">
        <v>241</v>
      </c>
      <c r="D958" s="24" t="s">
        <v>147</v>
      </c>
      <c r="E958" s="247"/>
      <c r="F958" s="68"/>
      <c r="G958" s="66">
        <f t="shared" si="52"/>
        <v>0</v>
      </c>
    </row>
    <row r="959" spans="1:7" s="21" customFormat="1" ht="16" thickBot="1">
      <c r="A959" s="22"/>
      <c r="B959" s="123"/>
      <c r="C959" s="23" t="s">
        <v>1011</v>
      </c>
      <c r="D959" s="43"/>
      <c r="E959" s="59" t="str">
        <f>IF(SUM(E960:E999)&gt;0,1,"")</f>
        <v/>
      </c>
      <c r="F959" s="60"/>
      <c r="G959" s="61"/>
    </row>
    <row r="960" spans="1:7" s="21" customFormat="1" ht="16" thickBot="1">
      <c r="A960" s="22"/>
      <c r="B960" s="123"/>
      <c r="C960" s="23" t="s">
        <v>1691</v>
      </c>
      <c r="D960" s="43"/>
      <c r="E960" s="59" t="str">
        <f>IF(SUM(E961:E963)&gt;0,1,"")</f>
        <v/>
      </c>
      <c r="F960" s="60"/>
      <c r="G960" s="61"/>
    </row>
    <row r="961" spans="1:7" s="21" customFormat="1" ht="15.5">
      <c r="A961" s="22"/>
      <c r="B961" s="134">
        <v>60401.01</v>
      </c>
      <c r="C961" s="156" t="s">
        <v>1315</v>
      </c>
      <c r="D961" s="25" t="s">
        <v>145</v>
      </c>
      <c r="E961" s="234"/>
      <c r="F961" s="67"/>
      <c r="G961" s="66">
        <f>E961*F961</f>
        <v>0</v>
      </c>
    </row>
    <row r="962" spans="1:7" s="21" customFormat="1" ht="15.5">
      <c r="A962" s="22"/>
      <c r="B962" s="134">
        <v>60402.01</v>
      </c>
      <c r="C962" s="156" t="s">
        <v>1316</v>
      </c>
      <c r="D962" s="25" t="s">
        <v>145</v>
      </c>
      <c r="E962" s="234"/>
      <c r="F962" s="67"/>
      <c r="G962" s="66">
        <f>E962*F962</f>
        <v>0</v>
      </c>
    </row>
    <row r="963" spans="1:7" s="21" customFormat="1" ht="16" thickBot="1">
      <c r="A963" s="22"/>
      <c r="B963" s="134">
        <v>60403.01</v>
      </c>
      <c r="C963" s="170" t="s">
        <v>1317</v>
      </c>
      <c r="D963" s="64" t="s">
        <v>145</v>
      </c>
      <c r="E963" s="235"/>
      <c r="F963" s="65"/>
      <c r="G963" s="66">
        <f>E963*F963</f>
        <v>0</v>
      </c>
    </row>
    <row r="964" spans="1:7" s="21" customFormat="1" ht="16" thickBot="1">
      <c r="A964" s="22"/>
      <c r="B964" s="123"/>
      <c r="C964" s="23" t="s">
        <v>1692</v>
      </c>
      <c r="D964" s="43"/>
      <c r="E964" s="59" t="str">
        <f>IF(SUM(E965:E976)&gt;0,1,"")</f>
        <v/>
      </c>
      <c r="F964" s="60"/>
      <c r="G964" s="61"/>
    </row>
    <row r="965" spans="1:7" s="21" customFormat="1" ht="31">
      <c r="A965" s="22"/>
      <c r="B965" s="124">
        <v>60451.01</v>
      </c>
      <c r="C965" s="156" t="s">
        <v>1318</v>
      </c>
      <c r="D965" s="25" t="s">
        <v>147</v>
      </c>
      <c r="E965" s="234"/>
      <c r="F965" s="67"/>
      <c r="G965" s="66">
        <f t="shared" ref="G965:G976" si="53">E965*F965</f>
        <v>0</v>
      </c>
    </row>
    <row r="966" spans="1:7" s="21" customFormat="1" ht="46.5">
      <c r="A966" s="22"/>
      <c r="B966" s="124">
        <v>60452.01</v>
      </c>
      <c r="C966" s="156" t="s">
        <v>1319</v>
      </c>
      <c r="D966" s="25" t="s">
        <v>147</v>
      </c>
      <c r="E966" s="234"/>
      <c r="F966" s="67"/>
      <c r="G966" s="66">
        <f t="shared" si="53"/>
        <v>0</v>
      </c>
    </row>
    <row r="967" spans="1:7" s="21" customFormat="1" ht="31">
      <c r="A967" s="22"/>
      <c r="B967" s="124">
        <v>60453.01</v>
      </c>
      <c r="C967" s="156" t="s">
        <v>1320</v>
      </c>
      <c r="D967" s="25" t="s">
        <v>147</v>
      </c>
      <c r="E967" s="234"/>
      <c r="F967" s="67"/>
      <c r="G967" s="66">
        <f t="shared" si="53"/>
        <v>0</v>
      </c>
    </row>
    <row r="968" spans="1:7" s="21" customFormat="1" ht="31">
      <c r="A968" s="22"/>
      <c r="B968" s="124">
        <v>60454.01</v>
      </c>
      <c r="C968" s="156" t="s">
        <v>1321</v>
      </c>
      <c r="D968" s="25" t="s">
        <v>147</v>
      </c>
      <c r="E968" s="234"/>
      <c r="F968" s="67"/>
      <c r="G968" s="66">
        <f t="shared" si="53"/>
        <v>0</v>
      </c>
    </row>
    <row r="969" spans="1:7" s="21" customFormat="1" ht="31">
      <c r="A969" s="22"/>
      <c r="B969" s="124">
        <v>60455.01</v>
      </c>
      <c r="C969" s="156" t="s">
        <v>1322</v>
      </c>
      <c r="D969" s="25" t="s">
        <v>147</v>
      </c>
      <c r="E969" s="234"/>
      <c r="F969" s="67"/>
      <c r="G969" s="66">
        <f t="shared" si="53"/>
        <v>0</v>
      </c>
    </row>
    <row r="970" spans="1:7" s="21" customFormat="1" ht="31">
      <c r="A970" s="22"/>
      <c r="B970" s="124">
        <v>60456.01</v>
      </c>
      <c r="C970" s="156" t="s">
        <v>1323</v>
      </c>
      <c r="D970" s="25" t="s">
        <v>147</v>
      </c>
      <c r="E970" s="234"/>
      <c r="F970" s="67"/>
      <c r="G970" s="66">
        <f t="shared" si="53"/>
        <v>0</v>
      </c>
    </row>
    <row r="971" spans="1:7" s="21" customFormat="1" ht="31">
      <c r="A971" s="22"/>
      <c r="B971" s="124">
        <v>60457.01</v>
      </c>
      <c r="C971" s="156" t="s">
        <v>1324</v>
      </c>
      <c r="D971" s="25" t="s">
        <v>147</v>
      </c>
      <c r="E971" s="234"/>
      <c r="F971" s="67"/>
      <c r="G971" s="66">
        <f t="shared" si="53"/>
        <v>0</v>
      </c>
    </row>
    <row r="972" spans="1:7" s="21" customFormat="1" ht="31">
      <c r="A972" s="22"/>
      <c r="B972" s="124">
        <v>60458.01</v>
      </c>
      <c r="C972" s="156" t="s">
        <v>1325</v>
      </c>
      <c r="D972" s="25" t="s">
        <v>147</v>
      </c>
      <c r="E972" s="234"/>
      <c r="F972" s="67"/>
      <c r="G972" s="66">
        <f t="shared" si="53"/>
        <v>0</v>
      </c>
    </row>
    <row r="973" spans="1:7" s="21" customFormat="1" ht="31">
      <c r="A973" s="22"/>
      <c r="B973" s="124">
        <v>60459.01</v>
      </c>
      <c r="C973" s="156" t="s">
        <v>1326</v>
      </c>
      <c r="D973" s="25" t="s">
        <v>147</v>
      </c>
      <c r="E973" s="234"/>
      <c r="F973" s="67"/>
      <c r="G973" s="66">
        <f t="shared" si="53"/>
        <v>0</v>
      </c>
    </row>
    <row r="974" spans="1:7" s="21" customFormat="1" ht="46.5">
      <c r="A974" s="22"/>
      <c r="B974" s="124">
        <v>60460.01</v>
      </c>
      <c r="C974" s="156" t="s">
        <v>1327</v>
      </c>
      <c r="D974" s="25" t="s">
        <v>147</v>
      </c>
      <c r="E974" s="234"/>
      <c r="F974" s="67"/>
      <c r="G974" s="66">
        <f t="shared" si="53"/>
        <v>0</v>
      </c>
    </row>
    <row r="975" spans="1:7" s="21" customFormat="1" ht="31">
      <c r="A975" s="22"/>
      <c r="B975" s="124">
        <v>60461.01</v>
      </c>
      <c r="C975" s="156" t="s">
        <v>1328</v>
      </c>
      <c r="D975" s="25" t="s">
        <v>147</v>
      </c>
      <c r="E975" s="234"/>
      <c r="F975" s="67"/>
      <c r="G975" s="66">
        <f t="shared" si="53"/>
        <v>0</v>
      </c>
    </row>
    <row r="976" spans="1:7" s="21" customFormat="1" ht="31.5" thickBot="1">
      <c r="A976" s="22"/>
      <c r="B976" s="124">
        <v>60462.01</v>
      </c>
      <c r="C976" s="156" t="s">
        <v>1329</v>
      </c>
      <c r="D976" s="25" t="s">
        <v>147</v>
      </c>
      <c r="E976" s="234"/>
      <c r="F976" s="67"/>
      <c r="G976" s="66">
        <f t="shared" si="53"/>
        <v>0</v>
      </c>
    </row>
    <row r="977" spans="1:7" s="21" customFormat="1" ht="16" thickBot="1">
      <c r="A977" s="22"/>
      <c r="B977" s="123"/>
      <c r="C977" s="23" t="s">
        <v>1693</v>
      </c>
      <c r="D977" s="43"/>
      <c r="E977" s="59" t="str">
        <f>IF(SUM(E978:E988)&gt;0,1,"")</f>
        <v/>
      </c>
      <c r="F977" s="60"/>
      <c r="G977" s="61"/>
    </row>
    <row r="978" spans="1:7" s="21" customFormat="1" ht="31">
      <c r="A978" s="22"/>
      <c r="B978" s="124">
        <v>60501.01</v>
      </c>
      <c r="C978" s="156" t="s">
        <v>1330</v>
      </c>
      <c r="D978" s="25" t="s">
        <v>147</v>
      </c>
      <c r="E978" s="234"/>
      <c r="F978" s="67"/>
      <c r="G978" s="66">
        <f t="shared" ref="G978:G988" si="54">E978*F978</f>
        <v>0</v>
      </c>
    </row>
    <row r="979" spans="1:7" s="21" customFormat="1" ht="15.5">
      <c r="A979" s="22"/>
      <c r="B979" s="124">
        <v>60502.01</v>
      </c>
      <c r="C979" s="156" t="s">
        <v>1331</v>
      </c>
      <c r="D979" s="25" t="s">
        <v>147</v>
      </c>
      <c r="E979" s="234"/>
      <c r="F979" s="67"/>
      <c r="G979" s="66">
        <f t="shared" si="54"/>
        <v>0</v>
      </c>
    </row>
    <row r="980" spans="1:7" s="21" customFormat="1" ht="15.5">
      <c r="A980" s="22"/>
      <c r="B980" s="124">
        <v>60503.01</v>
      </c>
      <c r="C980" s="156" t="s">
        <v>1332</v>
      </c>
      <c r="D980" s="25" t="s">
        <v>147</v>
      </c>
      <c r="E980" s="234"/>
      <c r="F980" s="67"/>
      <c r="G980" s="66">
        <f t="shared" si="54"/>
        <v>0</v>
      </c>
    </row>
    <row r="981" spans="1:7" s="21" customFormat="1" ht="31">
      <c r="A981" s="22"/>
      <c r="B981" s="124">
        <v>60504.01</v>
      </c>
      <c r="C981" s="156" t="s">
        <v>1333</v>
      </c>
      <c r="D981" s="25" t="s">
        <v>147</v>
      </c>
      <c r="E981" s="234"/>
      <c r="F981" s="67"/>
      <c r="G981" s="66">
        <f t="shared" si="54"/>
        <v>0</v>
      </c>
    </row>
    <row r="982" spans="1:7" s="21" customFormat="1" ht="15.5">
      <c r="A982" s="22"/>
      <c r="B982" s="124">
        <v>60505.01</v>
      </c>
      <c r="C982" s="156" t="s">
        <v>93</v>
      </c>
      <c r="D982" s="25" t="s">
        <v>147</v>
      </c>
      <c r="E982" s="234"/>
      <c r="F982" s="67"/>
      <c r="G982" s="66">
        <f t="shared" si="54"/>
        <v>0</v>
      </c>
    </row>
    <row r="983" spans="1:7" s="21" customFormat="1" ht="15.5">
      <c r="A983" s="22"/>
      <c r="B983" s="124">
        <v>60506.01</v>
      </c>
      <c r="C983" s="156" t="s">
        <v>1334</v>
      </c>
      <c r="D983" s="25" t="s">
        <v>147</v>
      </c>
      <c r="E983" s="234"/>
      <c r="F983" s="67"/>
      <c r="G983" s="66">
        <f t="shared" si="54"/>
        <v>0</v>
      </c>
    </row>
    <row r="984" spans="1:7" s="21" customFormat="1" ht="46.5">
      <c r="A984" s="22"/>
      <c r="B984" s="124">
        <v>60507.01</v>
      </c>
      <c r="C984" s="156" t="s">
        <v>1335</v>
      </c>
      <c r="D984" s="25" t="s">
        <v>147</v>
      </c>
      <c r="E984" s="234"/>
      <c r="F984" s="67"/>
      <c r="G984" s="66">
        <f t="shared" si="54"/>
        <v>0</v>
      </c>
    </row>
    <row r="985" spans="1:7" s="21" customFormat="1" ht="15.5">
      <c r="A985" s="22"/>
      <c r="B985" s="124">
        <v>60508.01</v>
      </c>
      <c r="C985" s="156" t="s">
        <v>1336</v>
      </c>
      <c r="D985" s="25" t="s">
        <v>147</v>
      </c>
      <c r="E985" s="234"/>
      <c r="F985" s="67"/>
      <c r="G985" s="66">
        <f t="shared" si="54"/>
        <v>0</v>
      </c>
    </row>
    <row r="986" spans="1:7" s="21" customFormat="1" ht="15.5">
      <c r="A986" s="22"/>
      <c r="B986" s="124">
        <v>60509.01</v>
      </c>
      <c r="C986" s="156" t="s">
        <v>1337</v>
      </c>
      <c r="D986" s="25" t="s">
        <v>147</v>
      </c>
      <c r="E986" s="234"/>
      <c r="F986" s="67"/>
      <c r="G986" s="66">
        <f t="shared" si="54"/>
        <v>0</v>
      </c>
    </row>
    <row r="987" spans="1:7" s="21" customFormat="1" ht="31">
      <c r="A987" s="22"/>
      <c r="B987" s="124">
        <v>60510.01</v>
      </c>
      <c r="C987" s="156" t="s">
        <v>1338</v>
      </c>
      <c r="D987" s="25" t="s">
        <v>147</v>
      </c>
      <c r="E987" s="234"/>
      <c r="F987" s="67"/>
      <c r="G987" s="66">
        <f t="shared" si="54"/>
        <v>0</v>
      </c>
    </row>
    <row r="988" spans="1:7" s="21" customFormat="1" ht="31.5" thickBot="1">
      <c r="A988" s="22"/>
      <c r="B988" s="124">
        <v>60511.01</v>
      </c>
      <c r="C988" s="156" t="s">
        <v>1339</v>
      </c>
      <c r="D988" s="25" t="s">
        <v>147</v>
      </c>
      <c r="E988" s="234"/>
      <c r="F988" s="67"/>
      <c r="G988" s="66">
        <f t="shared" si="54"/>
        <v>0</v>
      </c>
    </row>
    <row r="989" spans="1:7" s="21" customFormat="1" ht="16" thickBot="1">
      <c r="A989" s="22"/>
      <c r="B989" s="123"/>
      <c r="C989" s="23" t="s">
        <v>1694</v>
      </c>
      <c r="D989" s="43"/>
      <c r="E989" s="59" t="str">
        <f>IF(SUM(E990:E996)&gt;0,1,"")</f>
        <v/>
      </c>
      <c r="F989" s="60"/>
      <c r="G989" s="61"/>
    </row>
    <row r="990" spans="1:7" s="21" customFormat="1" ht="15.5">
      <c r="A990" s="22"/>
      <c r="B990" s="124">
        <v>60551.01</v>
      </c>
      <c r="C990" s="156" t="s">
        <v>1340</v>
      </c>
      <c r="D990" s="25" t="s">
        <v>145</v>
      </c>
      <c r="E990" s="234"/>
      <c r="F990" s="67"/>
      <c r="G990" s="66">
        <f t="shared" ref="G990:G996" si="55">E990*F990</f>
        <v>0</v>
      </c>
    </row>
    <row r="991" spans="1:7" s="21" customFormat="1" ht="15.5">
      <c r="A991" s="22"/>
      <c r="B991" s="124">
        <v>60552.01</v>
      </c>
      <c r="C991" s="156" t="s">
        <v>109</v>
      </c>
      <c r="D991" s="25" t="s">
        <v>145</v>
      </c>
      <c r="E991" s="234"/>
      <c r="F991" s="67"/>
      <c r="G991" s="66">
        <f t="shared" si="55"/>
        <v>0</v>
      </c>
    </row>
    <row r="992" spans="1:7" s="21" customFormat="1" ht="15.5">
      <c r="A992" s="22"/>
      <c r="B992" s="124">
        <v>60553.01</v>
      </c>
      <c r="C992" s="156" t="s">
        <v>1341</v>
      </c>
      <c r="D992" s="25" t="s">
        <v>145</v>
      </c>
      <c r="E992" s="234"/>
      <c r="F992" s="67"/>
      <c r="G992" s="66">
        <f t="shared" si="55"/>
        <v>0</v>
      </c>
    </row>
    <row r="993" spans="1:7" s="21" customFormat="1" ht="31">
      <c r="A993" s="22"/>
      <c r="B993" s="124">
        <v>60554.01</v>
      </c>
      <c r="C993" s="156" t="s">
        <v>1342</v>
      </c>
      <c r="D993" s="25" t="s">
        <v>145</v>
      </c>
      <c r="E993" s="234"/>
      <c r="F993" s="67"/>
      <c r="G993" s="66">
        <f t="shared" si="55"/>
        <v>0</v>
      </c>
    </row>
    <row r="994" spans="1:7" s="21" customFormat="1" ht="31">
      <c r="A994" s="22"/>
      <c r="B994" s="124">
        <v>60555.01</v>
      </c>
      <c r="C994" s="156" t="s">
        <v>1343</v>
      </c>
      <c r="D994" s="25" t="s">
        <v>145</v>
      </c>
      <c r="E994" s="234"/>
      <c r="F994" s="67"/>
      <c r="G994" s="66">
        <f t="shared" si="55"/>
        <v>0</v>
      </c>
    </row>
    <row r="995" spans="1:7" s="21" customFormat="1" ht="15.5">
      <c r="A995" s="22"/>
      <c r="B995" s="124">
        <v>60556.01</v>
      </c>
      <c r="C995" s="156" t="s">
        <v>108</v>
      </c>
      <c r="D995" s="25" t="s">
        <v>145</v>
      </c>
      <c r="E995" s="234"/>
      <c r="F995" s="67"/>
      <c r="G995" s="66">
        <f t="shared" si="55"/>
        <v>0</v>
      </c>
    </row>
    <row r="996" spans="1:7" s="21" customFormat="1" ht="16" thickBot="1">
      <c r="A996" s="22"/>
      <c r="B996" s="124">
        <v>60557.01</v>
      </c>
      <c r="C996" s="156" t="s">
        <v>237</v>
      </c>
      <c r="D996" s="25" t="s">
        <v>145</v>
      </c>
      <c r="E996" s="234"/>
      <c r="F996" s="67"/>
      <c r="G996" s="66">
        <f t="shared" si="55"/>
        <v>0</v>
      </c>
    </row>
    <row r="997" spans="1:7" s="21" customFormat="1" ht="16" thickBot="1">
      <c r="A997" s="22"/>
      <c r="B997" s="123"/>
      <c r="C997" s="23" t="s">
        <v>1695</v>
      </c>
      <c r="D997" s="43"/>
      <c r="E997" s="59" t="str">
        <f>IF(SUM(E998:E999)&gt;0,1,"")</f>
        <v/>
      </c>
      <c r="F997" s="60"/>
      <c r="G997" s="61"/>
    </row>
    <row r="998" spans="1:7" s="21" customFormat="1" ht="15.5">
      <c r="A998" s="22"/>
      <c r="B998" s="124">
        <v>60601.01</v>
      </c>
      <c r="C998" s="156" t="s">
        <v>1344</v>
      </c>
      <c r="D998" s="25" t="s">
        <v>145</v>
      </c>
      <c r="E998" s="234"/>
      <c r="F998" s="67"/>
      <c r="G998" s="66">
        <f>E998*F998</f>
        <v>0</v>
      </c>
    </row>
    <row r="999" spans="1:7" s="21" customFormat="1" ht="16" thickBot="1">
      <c r="A999" s="22"/>
      <c r="B999" s="124">
        <v>60602.01</v>
      </c>
      <c r="C999" s="156" t="s">
        <v>1345</v>
      </c>
      <c r="D999" s="25" t="s">
        <v>145</v>
      </c>
      <c r="E999" s="234"/>
      <c r="F999" s="67"/>
      <c r="G999" s="66">
        <f>E999*F999</f>
        <v>0</v>
      </c>
    </row>
    <row r="1000" spans="1:7" s="21" customFormat="1" ht="16" thickBot="1">
      <c r="A1000" s="22"/>
      <c r="B1000" s="123"/>
      <c r="C1000" s="23" t="s">
        <v>1012</v>
      </c>
      <c r="D1000" s="43"/>
      <c r="E1000" s="59">
        <f>IF(SUM(E1001:E1052)&gt;0,1,"")</f>
        <v>1</v>
      </c>
      <c r="F1000" s="60"/>
      <c r="G1000" s="61"/>
    </row>
    <row r="1001" spans="1:7" s="21" customFormat="1" ht="16" thickBot="1">
      <c r="A1001" s="22"/>
      <c r="B1001" s="123"/>
      <c r="C1001" s="23" t="s">
        <v>1696</v>
      </c>
      <c r="D1001" s="43"/>
      <c r="E1001" s="59">
        <f>IF(SUM(E1002:E1029)&gt;0,1,"")</f>
        <v>1</v>
      </c>
      <c r="F1001" s="60"/>
      <c r="G1001" s="61"/>
    </row>
    <row r="1002" spans="1:7" s="21" customFormat="1" ht="31">
      <c r="A1002" s="22"/>
      <c r="B1002" s="124">
        <v>60701.01</v>
      </c>
      <c r="C1002" s="156" t="s">
        <v>1346</v>
      </c>
      <c r="D1002" s="25" t="s">
        <v>147</v>
      </c>
      <c r="E1002" s="234"/>
      <c r="F1002" s="67"/>
      <c r="G1002" s="66">
        <f t="shared" ref="G1002:G1020" si="56">E1002*F1002</f>
        <v>0</v>
      </c>
    </row>
    <row r="1003" spans="1:7" s="21" customFormat="1" ht="15.5">
      <c r="A1003" s="22"/>
      <c r="B1003" s="124">
        <v>60702.01</v>
      </c>
      <c r="C1003" s="156" t="s">
        <v>1347</v>
      </c>
      <c r="D1003" s="25" t="s">
        <v>147</v>
      </c>
      <c r="E1003" s="234"/>
      <c r="F1003" s="67"/>
      <c r="G1003" s="66">
        <f t="shared" si="56"/>
        <v>0</v>
      </c>
    </row>
    <row r="1004" spans="1:7" s="21" customFormat="1" ht="15.5">
      <c r="A1004" s="22"/>
      <c r="B1004" s="124">
        <v>60703.01</v>
      </c>
      <c r="C1004" s="156" t="s">
        <v>557</v>
      </c>
      <c r="D1004" s="25" t="s">
        <v>147</v>
      </c>
      <c r="E1004" s="234"/>
      <c r="F1004" s="67"/>
      <c r="G1004" s="66">
        <f t="shared" si="56"/>
        <v>0</v>
      </c>
    </row>
    <row r="1005" spans="1:7" s="21" customFormat="1" ht="31">
      <c r="A1005" s="22"/>
      <c r="B1005" s="124">
        <v>60704.01</v>
      </c>
      <c r="C1005" s="156" t="s">
        <v>1348</v>
      </c>
      <c r="D1005" s="25" t="s">
        <v>147</v>
      </c>
      <c r="E1005" s="234"/>
      <c r="F1005" s="67"/>
      <c r="G1005" s="66">
        <f t="shared" si="56"/>
        <v>0</v>
      </c>
    </row>
    <row r="1006" spans="1:7" s="21" customFormat="1" ht="15.5">
      <c r="A1006" s="22"/>
      <c r="B1006" s="124">
        <v>60705.01</v>
      </c>
      <c r="C1006" s="156" t="s">
        <v>1349</v>
      </c>
      <c r="D1006" s="25" t="s">
        <v>147</v>
      </c>
      <c r="E1006" s="234"/>
      <c r="F1006" s="67"/>
      <c r="G1006" s="66">
        <f t="shared" si="56"/>
        <v>0</v>
      </c>
    </row>
    <row r="1007" spans="1:7" s="21" customFormat="1" ht="15.5">
      <c r="A1007" s="22"/>
      <c r="B1007" s="146">
        <v>60706.01</v>
      </c>
      <c r="C1007" s="167" t="s">
        <v>1350</v>
      </c>
      <c r="D1007" s="24" t="s">
        <v>147</v>
      </c>
      <c r="E1007" s="247"/>
      <c r="F1007" s="68"/>
      <c r="G1007" s="66">
        <f t="shared" si="56"/>
        <v>0</v>
      </c>
    </row>
    <row r="1008" spans="1:7" s="21" customFormat="1" ht="15.5">
      <c r="A1008" s="22"/>
      <c r="B1008" s="124">
        <v>60707.01</v>
      </c>
      <c r="C1008" s="156" t="s">
        <v>1351</v>
      </c>
      <c r="D1008" s="25" t="s">
        <v>147</v>
      </c>
      <c r="E1008" s="234"/>
      <c r="F1008" s="67"/>
      <c r="G1008" s="66">
        <f t="shared" si="56"/>
        <v>0</v>
      </c>
    </row>
    <row r="1009" spans="1:7" s="21" customFormat="1" ht="31">
      <c r="A1009" s="22"/>
      <c r="B1009" s="124">
        <v>60708.01</v>
      </c>
      <c r="C1009" s="156" t="s">
        <v>1352</v>
      </c>
      <c r="D1009" s="25" t="s">
        <v>147</v>
      </c>
      <c r="E1009" s="234"/>
      <c r="F1009" s="67"/>
      <c r="G1009" s="66">
        <f t="shared" si="56"/>
        <v>0</v>
      </c>
    </row>
    <row r="1010" spans="1:7" s="21" customFormat="1" ht="31">
      <c r="A1010" s="22"/>
      <c r="B1010" s="124">
        <v>60709.01</v>
      </c>
      <c r="C1010" s="156" t="s">
        <v>1353</v>
      </c>
      <c r="D1010" s="25" t="s">
        <v>147</v>
      </c>
      <c r="E1010" s="234"/>
      <c r="F1010" s="67"/>
      <c r="G1010" s="66">
        <f t="shared" si="56"/>
        <v>0</v>
      </c>
    </row>
    <row r="1011" spans="1:7" s="21" customFormat="1" ht="15.5">
      <c r="A1011" s="22"/>
      <c r="B1011" s="124">
        <v>60710.01</v>
      </c>
      <c r="C1011" s="156" t="s">
        <v>1354</v>
      </c>
      <c r="D1011" s="25" t="s">
        <v>147</v>
      </c>
      <c r="E1011" s="234"/>
      <c r="F1011" s="67"/>
      <c r="G1011" s="66">
        <f t="shared" si="56"/>
        <v>0</v>
      </c>
    </row>
    <row r="1012" spans="1:7" s="21" customFormat="1" ht="15.5">
      <c r="A1012" s="22"/>
      <c r="B1012" s="147">
        <v>60711.01</v>
      </c>
      <c r="C1012" s="170" t="s">
        <v>107</v>
      </c>
      <c r="D1012" s="64" t="s">
        <v>147</v>
      </c>
      <c r="E1012" s="235"/>
      <c r="F1012" s="65"/>
      <c r="G1012" s="66">
        <f t="shared" si="56"/>
        <v>0</v>
      </c>
    </row>
    <row r="1013" spans="1:7" s="21" customFormat="1" ht="15.5">
      <c r="A1013" s="22"/>
      <c r="B1013" s="124">
        <v>60712.01</v>
      </c>
      <c r="C1013" s="156" t="s">
        <v>106</v>
      </c>
      <c r="D1013" s="25" t="s">
        <v>147</v>
      </c>
      <c r="E1013" s="234"/>
      <c r="F1013" s="67"/>
      <c r="G1013" s="66">
        <f t="shared" si="56"/>
        <v>0</v>
      </c>
    </row>
    <row r="1014" spans="1:7" s="21" customFormat="1" ht="15.5">
      <c r="A1014" s="22"/>
      <c r="B1014" s="148">
        <v>60713.01</v>
      </c>
      <c r="C1014" s="173" t="s">
        <v>105</v>
      </c>
      <c r="D1014" s="90" t="s">
        <v>147</v>
      </c>
      <c r="E1014" s="252"/>
      <c r="F1014" s="91"/>
      <c r="G1014" s="66">
        <f t="shared" si="56"/>
        <v>0</v>
      </c>
    </row>
    <row r="1015" spans="1:7" s="21" customFormat="1" ht="15.5">
      <c r="A1015" s="22"/>
      <c r="B1015" s="149">
        <v>60714.01</v>
      </c>
      <c r="C1015" s="174" t="s">
        <v>104</v>
      </c>
      <c r="D1015" s="92" t="s">
        <v>147</v>
      </c>
      <c r="E1015" s="253"/>
      <c r="F1015" s="93"/>
      <c r="G1015" s="66">
        <f t="shared" si="56"/>
        <v>0</v>
      </c>
    </row>
    <row r="1016" spans="1:7" s="21" customFormat="1" ht="15.5">
      <c r="A1016" s="22"/>
      <c r="B1016" s="150">
        <v>60715.01</v>
      </c>
      <c r="C1016" s="175" t="s">
        <v>103</v>
      </c>
      <c r="D1016" s="92" t="s">
        <v>147</v>
      </c>
      <c r="E1016" s="254"/>
      <c r="F1016" s="94"/>
      <c r="G1016" s="66">
        <f t="shared" si="56"/>
        <v>0</v>
      </c>
    </row>
    <row r="1017" spans="1:7" s="21" customFormat="1" ht="15.5">
      <c r="A1017" s="22"/>
      <c r="B1017" s="149">
        <v>60716.01</v>
      </c>
      <c r="C1017" s="174" t="s">
        <v>102</v>
      </c>
      <c r="D1017" s="92" t="s">
        <v>147</v>
      </c>
      <c r="E1017" s="253"/>
      <c r="F1017" s="93"/>
      <c r="G1017" s="66">
        <f t="shared" si="56"/>
        <v>0</v>
      </c>
    </row>
    <row r="1018" spans="1:7" s="21" customFormat="1" ht="15.5">
      <c r="A1018" s="22"/>
      <c r="B1018" s="150">
        <v>60717.01</v>
      </c>
      <c r="C1018" s="175" t="s">
        <v>101</v>
      </c>
      <c r="D1018" s="92" t="s">
        <v>147</v>
      </c>
      <c r="E1018" s="254"/>
      <c r="F1018" s="94"/>
      <c r="G1018" s="66">
        <f t="shared" si="56"/>
        <v>0</v>
      </c>
    </row>
    <row r="1019" spans="1:7" s="21" customFormat="1" ht="15.5">
      <c r="A1019" s="22"/>
      <c r="B1019" s="149">
        <v>60718.01</v>
      </c>
      <c r="C1019" s="174" t="s">
        <v>100</v>
      </c>
      <c r="D1019" s="92" t="s">
        <v>147</v>
      </c>
      <c r="E1019" s="253"/>
      <c r="F1019" s="93"/>
      <c r="G1019" s="66">
        <f t="shared" si="56"/>
        <v>0</v>
      </c>
    </row>
    <row r="1020" spans="1:7" s="21" customFormat="1" ht="62">
      <c r="A1020" s="22"/>
      <c r="B1020" s="221">
        <v>60719.01</v>
      </c>
      <c r="C1020" s="222" t="s">
        <v>1923</v>
      </c>
      <c r="D1020" s="223" t="s">
        <v>147</v>
      </c>
      <c r="E1020" s="255">
        <v>39</v>
      </c>
      <c r="F1020" s="67"/>
      <c r="G1020" s="81">
        <f t="shared" si="56"/>
        <v>0</v>
      </c>
    </row>
    <row r="1021" spans="1:7" s="21" customFormat="1" ht="62">
      <c r="A1021" s="22"/>
      <c r="B1021" s="221">
        <v>60719.02</v>
      </c>
      <c r="C1021" s="222" t="s">
        <v>1924</v>
      </c>
      <c r="D1021" s="223" t="s">
        <v>147</v>
      </c>
      <c r="E1021" s="255"/>
      <c r="F1021" s="67"/>
      <c r="G1021" s="81"/>
    </row>
    <row r="1022" spans="1:7" s="21" customFormat="1" ht="62">
      <c r="A1022" s="22"/>
      <c r="B1022" s="124">
        <v>60720.01</v>
      </c>
      <c r="C1022" s="156" t="s">
        <v>1355</v>
      </c>
      <c r="D1022" s="25" t="s">
        <v>147</v>
      </c>
      <c r="E1022" s="234"/>
      <c r="F1022" s="67"/>
      <c r="G1022" s="81">
        <f t="shared" ref="G1022:G1029" si="57">E1022*F1022</f>
        <v>0</v>
      </c>
    </row>
    <row r="1023" spans="1:7" s="21" customFormat="1" ht="15.5">
      <c r="A1023" s="22"/>
      <c r="B1023" s="146">
        <v>60721.01</v>
      </c>
      <c r="C1023" s="167" t="s">
        <v>99</v>
      </c>
      <c r="D1023" s="24" t="s">
        <v>147</v>
      </c>
      <c r="E1023" s="247"/>
      <c r="F1023" s="68"/>
      <c r="G1023" s="66">
        <f t="shared" si="57"/>
        <v>0</v>
      </c>
    </row>
    <row r="1024" spans="1:7" s="21" customFormat="1" ht="31">
      <c r="A1024" s="22"/>
      <c r="B1024" s="124">
        <v>60722.01</v>
      </c>
      <c r="C1024" s="156" t="s">
        <v>1356</v>
      </c>
      <c r="D1024" s="25" t="s">
        <v>147</v>
      </c>
      <c r="E1024" s="234"/>
      <c r="F1024" s="67"/>
      <c r="G1024" s="66">
        <f t="shared" si="57"/>
        <v>0</v>
      </c>
    </row>
    <row r="1025" spans="1:7" s="21" customFormat="1" ht="31">
      <c r="A1025" s="22"/>
      <c r="B1025" s="124">
        <v>60723.01</v>
      </c>
      <c r="C1025" s="156" t="s">
        <v>1357</v>
      </c>
      <c r="D1025" s="25" t="s">
        <v>147</v>
      </c>
      <c r="E1025" s="234"/>
      <c r="F1025" s="67"/>
      <c r="G1025" s="66">
        <f t="shared" si="57"/>
        <v>0</v>
      </c>
    </row>
    <row r="1026" spans="1:7" s="21" customFormat="1" ht="31">
      <c r="A1026" s="22"/>
      <c r="B1026" s="124" t="s">
        <v>1749</v>
      </c>
      <c r="C1026" s="156" t="s">
        <v>1750</v>
      </c>
      <c r="D1026" s="25" t="s">
        <v>147</v>
      </c>
      <c r="E1026" s="234">
        <v>39</v>
      </c>
      <c r="F1026" s="67"/>
      <c r="G1026" s="66">
        <f t="shared" si="57"/>
        <v>0</v>
      </c>
    </row>
    <row r="1027" spans="1:7" s="21" customFormat="1" ht="31">
      <c r="A1027" s="22"/>
      <c r="B1027" s="124">
        <v>60724.02</v>
      </c>
      <c r="C1027" s="156" t="s">
        <v>1919</v>
      </c>
      <c r="D1027" s="25" t="s">
        <v>147</v>
      </c>
      <c r="E1027" s="234"/>
      <c r="F1027" s="67"/>
      <c r="G1027" s="66">
        <f t="shared" si="57"/>
        <v>0</v>
      </c>
    </row>
    <row r="1028" spans="1:7" s="21" customFormat="1" ht="31">
      <c r="A1028" s="22"/>
      <c r="B1028" s="124">
        <v>60725.01</v>
      </c>
      <c r="C1028" s="156" t="s">
        <v>1920</v>
      </c>
      <c r="D1028" s="25" t="s">
        <v>147</v>
      </c>
      <c r="E1028" s="234"/>
      <c r="F1028" s="67"/>
      <c r="G1028" s="66">
        <f t="shared" si="57"/>
        <v>0</v>
      </c>
    </row>
    <row r="1029" spans="1:7" s="21" customFormat="1" ht="31.5" thickBot="1">
      <c r="A1029" s="22"/>
      <c r="B1029" s="124">
        <v>60726.01</v>
      </c>
      <c r="C1029" s="156" t="s">
        <v>98</v>
      </c>
      <c r="D1029" s="25" t="s">
        <v>147</v>
      </c>
      <c r="E1029" s="234"/>
      <c r="F1029" s="67"/>
      <c r="G1029" s="66">
        <f t="shared" si="57"/>
        <v>0</v>
      </c>
    </row>
    <row r="1030" spans="1:7" s="21" customFormat="1" ht="16" thickBot="1">
      <c r="A1030" s="22"/>
      <c r="B1030" s="129"/>
      <c r="C1030" s="52" t="s">
        <v>1697</v>
      </c>
      <c r="D1030" s="51"/>
      <c r="E1030" s="59" t="str">
        <f>IF(SUM(E1031:E1047)&gt;0,1,"")</f>
        <v/>
      </c>
      <c r="F1030" s="60"/>
      <c r="G1030" s="61"/>
    </row>
    <row r="1031" spans="1:7" s="21" customFormat="1" ht="31">
      <c r="A1031" s="22"/>
      <c r="B1031" s="131" t="s">
        <v>882</v>
      </c>
      <c r="C1031" s="162" t="s">
        <v>1921</v>
      </c>
      <c r="D1031" s="75" t="s">
        <v>147</v>
      </c>
      <c r="E1031" s="186"/>
      <c r="F1031" s="76"/>
      <c r="G1031" s="74">
        <f t="shared" ref="G1031:G1047" si="58">E1031*F1031</f>
        <v>0</v>
      </c>
    </row>
    <row r="1032" spans="1:7" s="21" customFormat="1" ht="62">
      <c r="A1032" s="22"/>
      <c r="B1032" s="131" t="s">
        <v>883</v>
      </c>
      <c r="C1032" s="162" t="s">
        <v>386</v>
      </c>
      <c r="D1032" s="75" t="s">
        <v>147</v>
      </c>
      <c r="E1032" s="186"/>
      <c r="F1032" s="76"/>
      <c r="G1032" s="74">
        <f t="shared" si="58"/>
        <v>0</v>
      </c>
    </row>
    <row r="1033" spans="1:7" s="21" customFormat="1" ht="31">
      <c r="A1033" s="22"/>
      <c r="B1033" s="131" t="s">
        <v>884</v>
      </c>
      <c r="C1033" s="162" t="s">
        <v>387</v>
      </c>
      <c r="D1033" s="75" t="s">
        <v>147</v>
      </c>
      <c r="E1033" s="186"/>
      <c r="F1033" s="76"/>
      <c r="G1033" s="74">
        <f t="shared" si="58"/>
        <v>0</v>
      </c>
    </row>
    <row r="1034" spans="1:7" s="21" customFormat="1" ht="31">
      <c r="A1034" s="22"/>
      <c r="B1034" s="131" t="s">
        <v>885</v>
      </c>
      <c r="C1034" s="162" t="s">
        <v>388</v>
      </c>
      <c r="D1034" s="75" t="s">
        <v>147</v>
      </c>
      <c r="E1034" s="186"/>
      <c r="F1034" s="76"/>
      <c r="G1034" s="74">
        <f t="shared" si="58"/>
        <v>0</v>
      </c>
    </row>
    <row r="1035" spans="1:7" s="21" customFormat="1" ht="46.5">
      <c r="A1035" s="22"/>
      <c r="B1035" s="131" t="s">
        <v>886</v>
      </c>
      <c r="C1035" s="162" t="s">
        <v>389</v>
      </c>
      <c r="D1035" s="75" t="s">
        <v>147</v>
      </c>
      <c r="E1035" s="186"/>
      <c r="F1035" s="76"/>
      <c r="G1035" s="74">
        <f t="shared" si="58"/>
        <v>0</v>
      </c>
    </row>
    <row r="1036" spans="1:7" s="21" customFormat="1" ht="46.5">
      <c r="A1036" s="22"/>
      <c r="B1036" s="131" t="s">
        <v>887</v>
      </c>
      <c r="C1036" s="162" t="s">
        <v>390</v>
      </c>
      <c r="D1036" s="75" t="s">
        <v>147</v>
      </c>
      <c r="E1036" s="186"/>
      <c r="F1036" s="76"/>
      <c r="G1036" s="74">
        <f t="shared" si="58"/>
        <v>0</v>
      </c>
    </row>
    <row r="1037" spans="1:7" s="21" customFormat="1" ht="46.5">
      <c r="A1037" s="22"/>
      <c r="B1037" s="131" t="s">
        <v>888</v>
      </c>
      <c r="C1037" s="162" t="s">
        <v>391</v>
      </c>
      <c r="D1037" s="75" t="s">
        <v>147</v>
      </c>
      <c r="E1037" s="186"/>
      <c r="F1037" s="76"/>
      <c r="G1037" s="74">
        <f t="shared" si="58"/>
        <v>0</v>
      </c>
    </row>
    <row r="1038" spans="1:7" s="21" customFormat="1" ht="46.5">
      <c r="A1038" s="22"/>
      <c r="B1038" s="131" t="s">
        <v>889</v>
      </c>
      <c r="C1038" s="162" t="s">
        <v>392</v>
      </c>
      <c r="D1038" s="75" t="s">
        <v>147</v>
      </c>
      <c r="E1038" s="186"/>
      <c r="F1038" s="76"/>
      <c r="G1038" s="74">
        <f t="shared" si="58"/>
        <v>0</v>
      </c>
    </row>
    <row r="1039" spans="1:7" s="21" customFormat="1" ht="46.5">
      <c r="A1039" s="22"/>
      <c r="B1039" s="131" t="s">
        <v>890</v>
      </c>
      <c r="C1039" s="162" t="s">
        <v>393</v>
      </c>
      <c r="D1039" s="75" t="s">
        <v>147</v>
      </c>
      <c r="E1039" s="186"/>
      <c r="F1039" s="76"/>
      <c r="G1039" s="74">
        <f t="shared" si="58"/>
        <v>0</v>
      </c>
    </row>
    <row r="1040" spans="1:7" s="21" customFormat="1" ht="46.5">
      <c r="A1040" s="22"/>
      <c r="B1040" s="131" t="s">
        <v>891</v>
      </c>
      <c r="C1040" s="162" t="s">
        <v>394</v>
      </c>
      <c r="D1040" s="75" t="s">
        <v>147</v>
      </c>
      <c r="E1040" s="186"/>
      <c r="F1040" s="76"/>
      <c r="G1040" s="74">
        <f t="shared" si="58"/>
        <v>0</v>
      </c>
    </row>
    <row r="1041" spans="1:7" s="21" customFormat="1" ht="31">
      <c r="A1041" s="22"/>
      <c r="B1041" s="131" t="s">
        <v>892</v>
      </c>
      <c r="C1041" s="162" t="s">
        <v>199</v>
      </c>
      <c r="D1041" s="75" t="s">
        <v>147</v>
      </c>
      <c r="E1041" s="186"/>
      <c r="F1041" s="76"/>
      <c r="G1041" s="74">
        <f t="shared" si="58"/>
        <v>0</v>
      </c>
    </row>
    <row r="1042" spans="1:7" s="21" customFormat="1" ht="31">
      <c r="A1042" s="22"/>
      <c r="B1042" s="131" t="s">
        <v>893</v>
      </c>
      <c r="C1042" s="162" t="s">
        <v>200</v>
      </c>
      <c r="D1042" s="75" t="s">
        <v>147</v>
      </c>
      <c r="E1042" s="186"/>
      <c r="F1042" s="76"/>
      <c r="G1042" s="74">
        <f t="shared" si="58"/>
        <v>0</v>
      </c>
    </row>
    <row r="1043" spans="1:7" s="21" customFormat="1" ht="62">
      <c r="A1043" s="22"/>
      <c r="B1043" s="131" t="s">
        <v>894</v>
      </c>
      <c r="C1043" s="162" t="s">
        <v>1909</v>
      </c>
      <c r="D1043" s="75" t="s">
        <v>147</v>
      </c>
      <c r="E1043" s="186"/>
      <c r="F1043" s="76"/>
      <c r="G1043" s="74">
        <f t="shared" si="58"/>
        <v>0</v>
      </c>
    </row>
    <row r="1044" spans="1:7" s="21" customFormat="1" ht="46.5">
      <c r="A1044" s="22"/>
      <c r="B1044" s="131" t="s">
        <v>1897</v>
      </c>
      <c r="C1044" s="162" t="s">
        <v>1898</v>
      </c>
      <c r="D1044" s="75" t="s">
        <v>147</v>
      </c>
      <c r="E1044" s="186"/>
      <c r="F1044" s="76"/>
      <c r="G1044" s="74">
        <f t="shared" si="58"/>
        <v>0</v>
      </c>
    </row>
    <row r="1045" spans="1:7" s="21" customFormat="1" ht="31">
      <c r="A1045" s="22"/>
      <c r="B1045" s="131" t="s">
        <v>895</v>
      </c>
      <c r="C1045" s="162" t="s">
        <v>201</v>
      </c>
      <c r="D1045" s="75" t="s">
        <v>147</v>
      </c>
      <c r="E1045" s="186"/>
      <c r="F1045" s="76"/>
      <c r="G1045" s="74">
        <f t="shared" si="58"/>
        <v>0</v>
      </c>
    </row>
    <row r="1046" spans="1:7" s="21" customFormat="1" ht="31">
      <c r="A1046" s="22"/>
      <c r="B1046" s="131" t="s">
        <v>896</v>
      </c>
      <c r="C1046" s="162" t="s">
        <v>202</v>
      </c>
      <c r="D1046" s="75" t="s">
        <v>147</v>
      </c>
      <c r="E1046" s="186"/>
      <c r="F1046" s="76"/>
      <c r="G1046" s="74">
        <f t="shared" si="58"/>
        <v>0</v>
      </c>
    </row>
    <row r="1047" spans="1:7" s="21" customFormat="1" ht="31.5" thickBot="1">
      <c r="A1047" s="22"/>
      <c r="B1047" s="143" t="s">
        <v>897</v>
      </c>
      <c r="C1047" s="169" t="s">
        <v>203</v>
      </c>
      <c r="D1047" s="79" t="s">
        <v>145</v>
      </c>
      <c r="E1047" s="186"/>
      <c r="F1047" s="80"/>
      <c r="G1047" s="74">
        <f t="shared" si="58"/>
        <v>0</v>
      </c>
    </row>
    <row r="1048" spans="1:7" s="21" customFormat="1" ht="16" thickBot="1">
      <c r="A1048" s="22"/>
      <c r="B1048" s="123"/>
      <c r="C1048" s="23" t="s">
        <v>1698</v>
      </c>
      <c r="D1048" s="43"/>
      <c r="E1048" s="59" t="str">
        <f>IF(SUM(E1049:E1052)&gt;0,1,"")</f>
        <v/>
      </c>
      <c r="F1048" s="60"/>
      <c r="G1048" s="61"/>
    </row>
    <row r="1049" spans="1:7" s="21" customFormat="1" ht="15.5">
      <c r="A1049" s="22"/>
      <c r="B1049" s="124">
        <v>60791.01</v>
      </c>
      <c r="C1049" s="156" t="s">
        <v>1358</v>
      </c>
      <c r="D1049" s="25" t="s">
        <v>147</v>
      </c>
      <c r="E1049" s="234"/>
      <c r="F1049" s="67"/>
      <c r="G1049" s="66">
        <f>E1049*F1049</f>
        <v>0</v>
      </c>
    </row>
    <row r="1050" spans="1:7" s="21" customFormat="1" ht="15.5">
      <c r="A1050" s="22"/>
      <c r="B1050" s="147">
        <v>60792.01</v>
      </c>
      <c r="C1050" s="170" t="s">
        <v>1359</v>
      </c>
      <c r="D1050" s="64" t="s">
        <v>147</v>
      </c>
      <c r="E1050" s="235"/>
      <c r="F1050" s="65"/>
      <c r="G1050" s="66">
        <f>E1050*F1050</f>
        <v>0</v>
      </c>
    </row>
    <row r="1051" spans="1:7" s="21" customFormat="1" ht="15.5">
      <c r="A1051" s="22"/>
      <c r="B1051" s="124">
        <v>60793.01</v>
      </c>
      <c r="C1051" s="156" t="s">
        <v>97</v>
      </c>
      <c r="D1051" s="25" t="s">
        <v>147</v>
      </c>
      <c r="E1051" s="234"/>
      <c r="F1051" s="67"/>
      <c r="G1051" s="66">
        <f>E1051*F1051</f>
        <v>0</v>
      </c>
    </row>
    <row r="1052" spans="1:7" s="21" customFormat="1" ht="16" thickBot="1">
      <c r="A1052" s="22"/>
      <c r="B1052" s="124">
        <v>60794.01</v>
      </c>
      <c r="C1052" s="156" t="s">
        <v>242</v>
      </c>
      <c r="D1052" s="25" t="s">
        <v>147</v>
      </c>
      <c r="E1052" s="234"/>
      <c r="F1052" s="67"/>
      <c r="G1052" s="66">
        <f>E1052*F1052</f>
        <v>0</v>
      </c>
    </row>
    <row r="1053" spans="1:7" s="21" customFormat="1" ht="16" thickBot="1">
      <c r="A1053" s="22"/>
      <c r="B1053" s="123"/>
      <c r="C1053" s="23" t="s">
        <v>1013</v>
      </c>
      <c r="D1053" s="43"/>
      <c r="E1053" s="59" t="str">
        <f>IF(SUM(E1054:E1065)&gt;0,1,"")</f>
        <v/>
      </c>
      <c r="F1053" s="60"/>
      <c r="G1053" s="61"/>
    </row>
    <row r="1054" spans="1:7" s="21" customFormat="1" ht="31.5" thickBot="1">
      <c r="A1054" s="22"/>
      <c r="B1054" s="123"/>
      <c r="C1054" s="23" t="s">
        <v>1699</v>
      </c>
      <c r="D1054" s="43"/>
      <c r="E1054" s="59" t="str">
        <f>IF(SUM(E1055:E1057)&gt;0,1,"")</f>
        <v/>
      </c>
      <c r="F1054" s="60"/>
      <c r="G1054" s="61"/>
    </row>
    <row r="1055" spans="1:7" s="21" customFormat="1" ht="62">
      <c r="A1055" s="22"/>
      <c r="B1055" s="124">
        <v>61001.01</v>
      </c>
      <c r="C1055" s="156" t="s">
        <v>1360</v>
      </c>
      <c r="D1055" s="25" t="s">
        <v>147</v>
      </c>
      <c r="E1055" s="234"/>
      <c r="F1055" s="67"/>
      <c r="G1055" s="66">
        <f>E1055*F1055</f>
        <v>0</v>
      </c>
    </row>
    <row r="1056" spans="1:7" s="21" customFormat="1" ht="62">
      <c r="A1056" s="22"/>
      <c r="B1056" s="124">
        <v>61002.01</v>
      </c>
      <c r="C1056" s="156" t="s">
        <v>1361</v>
      </c>
      <c r="D1056" s="25" t="s">
        <v>147</v>
      </c>
      <c r="E1056" s="234"/>
      <c r="F1056" s="67"/>
      <c r="G1056" s="66">
        <f>E1056*F1056</f>
        <v>0</v>
      </c>
    </row>
    <row r="1057" spans="1:7" s="21" customFormat="1" ht="62.5" thickBot="1">
      <c r="A1057" s="22"/>
      <c r="B1057" s="124">
        <v>61003.01</v>
      </c>
      <c r="C1057" s="156" t="s">
        <v>1362</v>
      </c>
      <c r="D1057" s="25" t="s">
        <v>147</v>
      </c>
      <c r="E1057" s="234"/>
      <c r="F1057" s="67"/>
      <c r="G1057" s="66">
        <f>E1057*F1057</f>
        <v>0</v>
      </c>
    </row>
    <row r="1058" spans="1:7" s="21" customFormat="1" ht="16" thickBot="1">
      <c r="A1058" s="22"/>
      <c r="B1058" s="123"/>
      <c r="C1058" s="23" t="s">
        <v>1700</v>
      </c>
      <c r="D1058" s="43"/>
      <c r="E1058" s="59" t="str">
        <f>IF(SUM(E1059:E1061)&gt;0,1,"")</f>
        <v/>
      </c>
      <c r="F1058" s="60"/>
      <c r="G1058" s="61"/>
    </row>
    <row r="1059" spans="1:7" s="21" customFormat="1" ht="15.5">
      <c r="A1059" s="22"/>
      <c r="B1059" s="124">
        <v>61031.01</v>
      </c>
      <c r="C1059" s="156" t="s">
        <v>1363</v>
      </c>
      <c r="D1059" s="25" t="s">
        <v>147</v>
      </c>
      <c r="E1059" s="234"/>
      <c r="F1059" s="67"/>
      <c r="G1059" s="66">
        <f>E1059*F1059</f>
        <v>0</v>
      </c>
    </row>
    <row r="1060" spans="1:7" s="21" customFormat="1" ht="31">
      <c r="A1060" s="22"/>
      <c r="B1060" s="146">
        <v>61032.01</v>
      </c>
      <c r="C1060" s="167" t="s">
        <v>1364</v>
      </c>
      <c r="D1060" s="24" t="s">
        <v>147</v>
      </c>
      <c r="E1060" s="247"/>
      <c r="F1060" s="68"/>
      <c r="G1060" s="66">
        <f>E1060*F1060</f>
        <v>0</v>
      </c>
    </row>
    <row r="1061" spans="1:7" s="21" customFormat="1" ht="31.5" thickBot="1">
      <c r="A1061" s="22"/>
      <c r="B1061" s="147">
        <v>61033.01</v>
      </c>
      <c r="C1061" s="170" t="s">
        <v>1365</v>
      </c>
      <c r="D1061" s="64" t="s">
        <v>147</v>
      </c>
      <c r="E1061" s="235"/>
      <c r="F1061" s="65"/>
      <c r="G1061" s="66">
        <f>E1061*F1061</f>
        <v>0</v>
      </c>
    </row>
    <row r="1062" spans="1:7" s="21" customFormat="1" ht="16" thickBot="1">
      <c r="A1062" s="22"/>
      <c r="B1062" s="123"/>
      <c r="C1062" s="23" t="s">
        <v>1701</v>
      </c>
      <c r="D1062" s="43"/>
      <c r="E1062" s="59" t="str">
        <f>IF(SUM(E1063:E1065)&gt;0,1,"")</f>
        <v/>
      </c>
      <c r="F1062" s="60"/>
      <c r="G1062" s="61"/>
    </row>
    <row r="1063" spans="1:7" s="21" customFormat="1" ht="31">
      <c r="A1063" s="22"/>
      <c r="B1063" s="146">
        <v>61061.01</v>
      </c>
      <c r="C1063" s="167" t="s">
        <v>1366</v>
      </c>
      <c r="D1063" s="24" t="s">
        <v>147</v>
      </c>
      <c r="E1063" s="247"/>
      <c r="F1063" s="68"/>
      <c r="G1063" s="66">
        <f>E1063*F1063</f>
        <v>0</v>
      </c>
    </row>
    <row r="1064" spans="1:7" s="21" customFormat="1" ht="31">
      <c r="A1064" s="22"/>
      <c r="B1064" s="124">
        <v>61062.01</v>
      </c>
      <c r="C1064" s="156" t="s">
        <v>1367</v>
      </c>
      <c r="D1064" s="25" t="s">
        <v>147</v>
      </c>
      <c r="E1064" s="234"/>
      <c r="F1064" s="67"/>
      <c r="G1064" s="66">
        <f>E1064*F1064</f>
        <v>0</v>
      </c>
    </row>
    <row r="1065" spans="1:7" s="21" customFormat="1" ht="16" thickBot="1">
      <c r="A1065" s="22"/>
      <c r="B1065" s="124">
        <v>61063.01</v>
      </c>
      <c r="C1065" s="156" t="s">
        <v>558</v>
      </c>
      <c r="D1065" s="25" t="s">
        <v>147</v>
      </c>
      <c r="E1065" s="234"/>
      <c r="F1065" s="67"/>
      <c r="G1065" s="66">
        <f>E1065*F1065</f>
        <v>0</v>
      </c>
    </row>
    <row r="1066" spans="1:7" s="21" customFormat="1" ht="16" thickBot="1">
      <c r="A1066" s="22"/>
      <c r="B1066" s="123"/>
      <c r="C1066" s="23" t="s">
        <v>1014</v>
      </c>
      <c r="D1066" s="43"/>
      <c r="E1066" s="59" t="str">
        <f>IF(SUM(E1067:E1078)&gt;0,1,"")</f>
        <v/>
      </c>
      <c r="F1066" s="60"/>
      <c r="G1066" s="61"/>
    </row>
    <row r="1067" spans="1:7" s="21" customFormat="1" ht="31.5" thickBot="1">
      <c r="A1067" s="22"/>
      <c r="B1067" s="123"/>
      <c r="C1067" s="23" t="s">
        <v>1702</v>
      </c>
      <c r="D1067" s="43"/>
      <c r="E1067" s="59" t="str">
        <f>IF(SUM(E1068:E1072)&gt;0,1,"")</f>
        <v/>
      </c>
      <c r="F1067" s="60"/>
      <c r="G1067" s="61"/>
    </row>
    <row r="1068" spans="1:7" s="21" customFormat="1" ht="62">
      <c r="A1068" s="22"/>
      <c r="B1068" s="127">
        <v>61301.01</v>
      </c>
      <c r="C1068" s="159" t="s">
        <v>1368</v>
      </c>
      <c r="D1068" s="62" t="s">
        <v>147</v>
      </c>
      <c r="E1068" s="245"/>
      <c r="F1068" s="63"/>
      <c r="G1068" s="103">
        <f>E1068*F1068</f>
        <v>0</v>
      </c>
    </row>
    <row r="1069" spans="1:7" s="21" customFormat="1" ht="77.5">
      <c r="A1069" s="22"/>
      <c r="B1069" s="124">
        <v>61302.01</v>
      </c>
      <c r="C1069" s="156" t="s">
        <v>1369</v>
      </c>
      <c r="D1069" s="25" t="s">
        <v>147</v>
      </c>
      <c r="E1069" s="234"/>
      <c r="F1069" s="67"/>
      <c r="G1069" s="81">
        <f>E1069*F1069</f>
        <v>0</v>
      </c>
    </row>
    <row r="1070" spans="1:7" s="21" customFormat="1" ht="62">
      <c r="A1070" s="22"/>
      <c r="B1070" s="124">
        <v>61303.01</v>
      </c>
      <c r="C1070" s="156" t="s">
        <v>1370</v>
      </c>
      <c r="D1070" s="25" t="s">
        <v>147</v>
      </c>
      <c r="E1070" s="234"/>
      <c r="F1070" s="67"/>
      <c r="G1070" s="81">
        <f>E1070*F1070</f>
        <v>0</v>
      </c>
    </row>
    <row r="1071" spans="1:7" s="21" customFormat="1" ht="31">
      <c r="A1071" s="22"/>
      <c r="B1071" s="124">
        <v>61304.01</v>
      </c>
      <c r="C1071" s="156" t="s">
        <v>1371</v>
      </c>
      <c r="D1071" s="25" t="s">
        <v>147</v>
      </c>
      <c r="E1071" s="234"/>
      <c r="F1071" s="67"/>
      <c r="G1071" s="81">
        <f>E1071*F1071</f>
        <v>0</v>
      </c>
    </row>
    <row r="1072" spans="1:7" s="21" customFormat="1" ht="47" thickBot="1">
      <c r="A1072" s="22"/>
      <c r="B1072" s="125">
        <v>61305.01</v>
      </c>
      <c r="C1072" s="157" t="s">
        <v>1372</v>
      </c>
      <c r="D1072" s="104" t="s">
        <v>147</v>
      </c>
      <c r="E1072" s="194"/>
      <c r="F1072" s="105"/>
      <c r="G1072" s="106">
        <f>E1072*F1072</f>
        <v>0</v>
      </c>
    </row>
    <row r="1073" spans="1:7" s="21" customFormat="1" ht="16" thickBot="1">
      <c r="A1073" s="22"/>
      <c r="B1073" s="123"/>
      <c r="C1073" s="23" t="s">
        <v>1703</v>
      </c>
      <c r="D1073" s="43"/>
      <c r="E1073" s="59" t="str">
        <f>IF(SUM(E1074:E1075)&gt;0,1,"")</f>
        <v/>
      </c>
      <c r="F1073" s="60"/>
      <c r="G1073" s="61"/>
    </row>
    <row r="1074" spans="1:7" s="21" customFormat="1" ht="62">
      <c r="A1074" s="22"/>
      <c r="B1074" s="127">
        <v>61331.01</v>
      </c>
      <c r="C1074" s="159" t="s">
        <v>1373</v>
      </c>
      <c r="D1074" s="62" t="s">
        <v>147</v>
      </c>
      <c r="E1074" s="245"/>
      <c r="F1074" s="63"/>
      <c r="G1074" s="103">
        <f>E1074*F1074</f>
        <v>0</v>
      </c>
    </row>
    <row r="1075" spans="1:7" s="21" customFormat="1" ht="31.5" thickBot="1">
      <c r="A1075" s="22"/>
      <c r="B1075" s="125">
        <v>61332.01</v>
      </c>
      <c r="C1075" s="157" t="s">
        <v>1374</v>
      </c>
      <c r="D1075" s="104" t="s">
        <v>233</v>
      </c>
      <c r="E1075" s="194"/>
      <c r="F1075" s="105"/>
      <c r="G1075" s="106">
        <f>E1075*F1075</f>
        <v>0</v>
      </c>
    </row>
    <row r="1076" spans="1:7" s="21" customFormat="1" ht="31.5" thickBot="1">
      <c r="A1076" s="22"/>
      <c r="B1076" s="123"/>
      <c r="C1076" s="23" t="s">
        <v>1704</v>
      </c>
      <c r="D1076" s="43"/>
      <c r="E1076" s="59" t="str">
        <f>IF(SUM(E1077:E1078)&gt;0,1,"")</f>
        <v/>
      </c>
      <c r="F1076" s="60"/>
      <c r="G1076" s="61"/>
    </row>
    <row r="1077" spans="1:7" s="21" customFormat="1" ht="15.5">
      <c r="A1077" s="22"/>
      <c r="B1077" s="127">
        <v>61361.01</v>
      </c>
      <c r="C1077" s="159" t="s">
        <v>1375</v>
      </c>
      <c r="D1077" s="62" t="s">
        <v>147</v>
      </c>
      <c r="E1077" s="245"/>
      <c r="F1077" s="63"/>
      <c r="G1077" s="103">
        <f>E1077*F1077</f>
        <v>0</v>
      </c>
    </row>
    <row r="1078" spans="1:7" s="21" customFormat="1" ht="16" thickBot="1">
      <c r="A1078" s="22"/>
      <c r="B1078" s="125">
        <v>61362.01</v>
      </c>
      <c r="C1078" s="157" t="s">
        <v>1376</v>
      </c>
      <c r="D1078" s="104" t="s">
        <v>147</v>
      </c>
      <c r="E1078" s="194"/>
      <c r="F1078" s="105"/>
      <c r="G1078" s="106">
        <f>E1078*F1078</f>
        <v>0</v>
      </c>
    </row>
    <row r="1079" spans="1:7" s="21" customFormat="1" ht="16" thickBot="1">
      <c r="A1079" s="22"/>
      <c r="B1079" s="123"/>
      <c r="C1079" s="23" t="s">
        <v>1015</v>
      </c>
      <c r="D1079" s="43"/>
      <c r="E1079" s="59" t="str">
        <f>IF(SUM(E1080:E1092)&gt;0,1,"")</f>
        <v/>
      </c>
      <c r="F1079" s="60"/>
      <c r="G1079" s="61"/>
    </row>
    <row r="1080" spans="1:7" s="21" customFormat="1" ht="16" thickBot="1">
      <c r="A1080" s="22"/>
      <c r="B1080" s="123"/>
      <c r="C1080" s="23" t="s">
        <v>1705</v>
      </c>
      <c r="D1080" s="43"/>
      <c r="E1080" s="59" t="str">
        <f>IF(SUM(E1081:E1083)&gt;0,1,"")</f>
        <v/>
      </c>
      <c r="F1080" s="60"/>
      <c r="G1080" s="61"/>
    </row>
    <row r="1081" spans="1:7" s="21" customFormat="1" ht="31">
      <c r="A1081" s="22"/>
      <c r="B1081" s="127">
        <v>61501.01</v>
      </c>
      <c r="C1081" s="159" t="s">
        <v>1377</v>
      </c>
      <c r="D1081" s="62" t="s">
        <v>147</v>
      </c>
      <c r="E1081" s="245"/>
      <c r="F1081" s="63"/>
      <c r="G1081" s="103">
        <f>E1081*F1081</f>
        <v>0</v>
      </c>
    </row>
    <row r="1082" spans="1:7" s="21" customFormat="1" ht="31">
      <c r="A1082" s="22"/>
      <c r="B1082" s="124" t="s">
        <v>1781</v>
      </c>
      <c r="C1082" s="156" t="s">
        <v>1378</v>
      </c>
      <c r="D1082" s="25" t="s">
        <v>147</v>
      </c>
      <c r="E1082" s="234"/>
      <c r="F1082" s="67"/>
      <c r="G1082" s="81">
        <f>E1082*F1082</f>
        <v>0</v>
      </c>
    </row>
    <row r="1083" spans="1:7" s="21" customFormat="1" ht="31.5" thickBot="1">
      <c r="A1083" s="22"/>
      <c r="B1083" s="125">
        <v>61503.01</v>
      </c>
      <c r="C1083" s="157" t="s">
        <v>1379</v>
      </c>
      <c r="D1083" s="104" t="s">
        <v>147</v>
      </c>
      <c r="E1083" s="194"/>
      <c r="F1083" s="105"/>
      <c r="G1083" s="106">
        <f>E1083*F1083</f>
        <v>0</v>
      </c>
    </row>
    <row r="1084" spans="1:7" s="21" customFormat="1" ht="16" thickBot="1">
      <c r="A1084" s="22"/>
      <c r="B1084" s="123"/>
      <c r="C1084" s="23" t="s">
        <v>1706</v>
      </c>
      <c r="D1084" s="43"/>
      <c r="E1084" s="59" t="str">
        <f>IF(SUM(E1085)&gt;0,1,"")</f>
        <v/>
      </c>
      <c r="F1084" s="60"/>
      <c r="G1084" s="61"/>
    </row>
    <row r="1085" spans="1:7" s="21" customFormat="1" ht="31.5" thickBot="1">
      <c r="A1085" s="22"/>
      <c r="B1085" s="126">
        <v>61531.01</v>
      </c>
      <c r="C1085" s="158" t="s">
        <v>559</v>
      </c>
      <c r="D1085" s="109" t="s">
        <v>147</v>
      </c>
      <c r="E1085" s="246"/>
      <c r="F1085" s="110"/>
      <c r="G1085" s="111">
        <f>E1085*F1085</f>
        <v>0</v>
      </c>
    </row>
    <row r="1086" spans="1:7" s="21" customFormat="1" ht="16" thickBot="1">
      <c r="A1086" s="22"/>
      <c r="B1086" s="123"/>
      <c r="C1086" s="23" t="s">
        <v>1707</v>
      </c>
      <c r="D1086" s="43"/>
      <c r="E1086" s="59" t="str">
        <f>IF(SUM(E1087)&gt;0,1,"")</f>
        <v/>
      </c>
      <c r="F1086" s="60"/>
      <c r="G1086" s="61"/>
    </row>
    <row r="1087" spans="1:7" s="21" customFormat="1" ht="31.5" thickBot="1">
      <c r="A1087" s="22"/>
      <c r="B1087" s="126" t="s">
        <v>1782</v>
      </c>
      <c r="C1087" s="158" t="s">
        <v>560</v>
      </c>
      <c r="D1087" s="109" t="s">
        <v>147</v>
      </c>
      <c r="E1087" s="246"/>
      <c r="F1087" s="110"/>
      <c r="G1087" s="111">
        <f>E1087*F1087</f>
        <v>0</v>
      </c>
    </row>
    <row r="1088" spans="1:7" s="21" customFormat="1" ht="16" thickBot="1">
      <c r="A1088" s="22"/>
      <c r="B1088" s="123"/>
      <c r="C1088" s="23" t="s">
        <v>1708</v>
      </c>
      <c r="D1088" s="43"/>
      <c r="E1088" s="59" t="str">
        <f>IF(SUM(E1089)&gt;0,1,"")</f>
        <v/>
      </c>
      <c r="F1088" s="60"/>
      <c r="G1088" s="61"/>
    </row>
    <row r="1089" spans="1:7" s="21" customFormat="1" ht="31.5" thickBot="1">
      <c r="A1089" s="22"/>
      <c r="B1089" s="126">
        <v>61571.01</v>
      </c>
      <c r="C1089" s="158" t="s">
        <v>1380</v>
      </c>
      <c r="D1089" s="109" t="s">
        <v>233</v>
      </c>
      <c r="E1089" s="246"/>
      <c r="F1089" s="110"/>
      <c r="G1089" s="111">
        <f>E1089*F1089</f>
        <v>0</v>
      </c>
    </row>
    <row r="1090" spans="1:7" s="21" customFormat="1" ht="31.5" thickBot="1">
      <c r="A1090" s="22"/>
      <c r="B1090" s="123"/>
      <c r="C1090" s="23" t="s">
        <v>1709</v>
      </c>
      <c r="D1090" s="43"/>
      <c r="E1090" s="59" t="str">
        <f>IF(SUM(E1091:E1092)&gt;0,1,"")</f>
        <v/>
      </c>
      <c r="F1090" s="60"/>
      <c r="G1090" s="61"/>
    </row>
    <row r="1091" spans="1:7" s="21" customFormat="1" ht="15.5">
      <c r="A1091" s="22"/>
      <c r="B1091" s="127">
        <v>61591.01</v>
      </c>
      <c r="C1091" s="159" t="s">
        <v>244</v>
      </c>
      <c r="D1091" s="62" t="s">
        <v>147</v>
      </c>
      <c r="E1091" s="245"/>
      <c r="F1091" s="63"/>
      <c r="G1091" s="103">
        <f>E1091*F1091</f>
        <v>0</v>
      </c>
    </row>
    <row r="1092" spans="1:7" s="21" customFormat="1" ht="16" thickBot="1">
      <c r="A1092" s="22"/>
      <c r="B1092" s="125">
        <v>61592.01</v>
      </c>
      <c r="C1092" s="157" t="s">
        <v>245</v>
      </c>
      <c r="D1092" s="104" t="s">
        <v>147</v>
      </c>
      <c r="E1092" s="194"/>
      <c r="F1092" s="105"/>
      <c r="G1092" s="106">
        <f>E1092*F1092</f>
        <v>0</v>
      </c>
    </row>
    <row r="1093" spans="1:7" s="21" customFormat="1" ht="31.5" thickBot="1">
      <c r="A1093" s="22"/>
      <c r="B1093" s="123"/>
      <c r="C1093" s="23" t="s">
        <v>1016</v>
      </c>
      <c r="D1093" s="43"/>
      <c r="E1093" s="59" t="str">
        <f>IF(SUM(E1094:E1115)&gt;0,1,"")</f>
        <v/>
      </c>
      <c r="F1093" s="60"/>
      <c r="G1093" s="61"/>
    </row>
    <row r="1094" spans="1:7" s="21" customFormat="1" ht="16" thickBot="1">
      <c r="A1094" s="22"/>
      <c r="B1094" s="123"/>
      <c r="C1094" s="23" t="s">
        <v>1710</v>
      </c>
      <c r="D1094" s="43"/>
      <c r="E1094" s="59" t="str">
        <f>IF(SUM(E1095:E1096)&gt;0,1,"")</f>
        <v/>
      </c>
      <c r="F1094" s="60"/>
      <c r="G1094" s="61"/>
    </row>
    <row r="1095" spans="1:7" s="21" customFormat="1" ht="62">
      <c r="A1095" s="22"/>
      <c r="B1095" s="127">
        <v>61701.01</v>
      </c>
      <c r="C1095" s="159" t="s">
        <v>1381</v>
      </c>
      <c r="D1095" s="62" t="s">
        <v>147</v>
      </c>
      <c r="E1095" s="245"/>
      <c r="F1095" s="63"/>
      <c r="G1095" s="103">
        <f>E1095*F1095</f>
        <v>0</v>
      </c>
    </row>
    <row r="1096" spans="1:7" s="21" customFormat="1" ht="47" thickBot="1">
      <c r="A1096" s="22"/>
      <c r="B1096" s="125">
        <v>61702.01</v>
      </c>
      <c r="C1096" s="157" t="s">
        <v>1382</v>
      </c>
      <c r="D1096" s="104" t="s">
        <v>147</v>
      </c>
      <c r="E1096" s="194"/>
      <c r="F1096" s="105"/>
      <c r="G1096" s="106">
        <f>E1096*F1096</f>
        <v>0</v>
      </c>
    </row>
    <row r="1097" spans="1:7" s="21" customFormat="1" ht="31.5" thickBot="1">
      <c r="A1097" s="22"/>
      <c r="B1097" s="123"/>
      <c r="C1097" s="23" t="s">
        <v>1711</v>
      </c>
      <c r="D1097" s="43"/>
      <c r="E1097" s="59" t="str">
        <f>IF(SUM(E1098:E1103)&gt;0,1,"")</f>
        <v/>
      </c>
      <c r="F1097" s="60"/>
      <c r="G1097" s="61"/>
    </row>
    <row r="1098" spans="1:7" s="21" customFormat="1" ht="62">
      <c r="A1098" s="22"/>
      <c r="B1098" s="127">
        <v>61721.01</v>
      </c>
      <c r="C1098" s="159" t="s">
        <v>1383</v>
      </c>
      <c r="D1098" s="62" t="s">
        <v>147</v>
      </c>
      <c r="E1098" s="245"/>
      <c r="F1098" s="63"/>
      <c r="G1098" s="103">
        <f t="shared" ref="G1098:G1103" si="59">E1098*F1098</f>
        <v>0</v>
      </c>
    </row>
    <row r="1099" spans="1:7" s="21" customFormat="1" ht="62">
      <c r="A1099" s="22"/>
      <c r="B1099" s="124">
        <v>61722.01</v>
      </c>
      <c r="C1099" s="156" t="s">
        <v>1384</v>
      </c>
      <c r="D1099" s="25" t="s">
        <v>147</v>
      </c>
      <c r="E1099" s="234"/>
      <c r="F1099" s="67"/>
      <c r="G1099" s="81">
        <f t="shared" si="59"/>
        <v>0</v>
      </c>
    </row>
    <row r="1100" spans="1:7" s="21" customFormat="1" ht="46.5">
      <c r="A1100" s="22"/>
      <c r="B1100" s="124">
        <v>61723.01</v>
      </c>
      <c r="C1100" s="156" t="s">
        <v>1385</v>
      </c>
      <c r="D1100" s="25" t="s">
        <v>147</v>
      </c>
      <c r="E1100" s="234"/>
      <c r="F1100" s="67"/>
      <c r="G1100" s="81">
        <f t="shared" si="59"/>
        <v>0</v>
      </c>
    </row>
    <row r="1101" spans="1:7" s="21" customFormat="1" ht="62">
      <c r="A1101" s="22"/>
      <c r="B1101" s="124">
        <v>61724.01</v>
      </c>
      <c r="C1101" s="156" t="s">
        <v>1386</v>
      </c>
      <c r="D1101" s="25" t="s">
        <v>147</v>
      </c>
      <c r="E1101" s="234"/>
      <c r="F1101" s="67"/>
      <c r="G1101" s="81">
        <f t="shared" si="59"/>
        <v>0</v>
      </c>
    </row>
    <row r="1102" spans="1:7" s="21" customFormat="1" ht="62">
      <c r="A1102" s="22"/>
      <c r="B1102" s="124">
        <v>61725.01</v>
      </c>
      <c r="C1102" s="156" t="s">
        <v>1387</v>
      </c>
      <c r="D1102" s="25" t="s">
        <v>147</v>
      </c>
      <c r="E1102" s="234"/>
      <c r="F1102" s="67"/>
      <c r="G1102" s="81">
        <f t="shared" si="59"/>
        <v>0</v>
      </c>
    </row>
    <row r="1103" spans="1:7" s="21" customFormat="1" ht="62.5" thickBot="1">
      <c r="A1103" s="22"/>
      <c r="B1103" s="125">
        <v>61726.01</v>
      </c>
      <c r="C1103" s="157" t="s">
        <v>1388</v>
      </c>
      <c r="D1103" s="104" t="s">
        <v>147</v>
      </c>
      <c r="E1103" s="194"/>
      <c r="F1103" s="105"/>
      <c r="G1103" s="106">
        <f t="shared" si="59"/>
        <v>0</v>
      </c>
    </row>
    <row r="1104" spans="1:7" s="21" customFormat="1" ht="16" thickBot="1">
      <c r="A1104" s="22"/>
      <c r="B1104" s="123"/>
      <c r="C1104" s="23" t="s">
        <v>1017</v>
      </c>
      <c r="D1104" s="43"/>
      <c r="E1104" s="59" t="str">
        <f>IF(SUM(E1105:E1110)&gt;0,1,"")</f>
        <v/>
      </c>
      <c r="F1104" s="60"/>
      <c r="G1104" s="61"/>
    </row>
    <row r="1105" spans="1:7" s="21" customFormat="1" ht="31">
      <c r="A1105" s="22"/>
      <c r="B1105" s="127">
        <v>61741.01</v>
      </c>
      <c r="C1105" s="159" t="s">
        <v>1389</v>
      </c>
      <c r="D1105" s="62" t="s">
        <v>147</v>
      </c>
      <c r="E1105" s="245"/>
      <c r="F1105" s="63"/>
      <c r="G1105" s="103">
        <f t="shared" ref="G1105:G1110" si="60">E1105*F1105</f>
        <v>0</v>
      </c>
    </row>
    <row r="1106" spans="1:7" s="21" customFormat="1" ht="46.5">
      <c r="A1106" s="22"/>
      <c r="B1106" s="124">
        <v>61742.01</v>
      </c>
      <c r="C1106" s="156" t="s">
        <v>1390</v>
      </c>
      <c r="D1106" s="25" t="s">
        <v>147</v>
      </c>
      <c r="E1106" s="234"/>
      <c r="F1106" s="67"/>
      <c r="G1106" s="81">
        <f t="shared" si="60"/>
        <v>0</v>
      </c>
    </row>
    <row r="1107" spans="1:7" s="21" customFormat="1" ht="62">
      <c r="A1107" s="22"/>
      <c r="B1107" s="124">
        <v>61743.01</v>
      </c>
      <c r="C1107" s="156" t="s">
        <v>1391</v>
      </c>
      <c r="D1107" s="25" t="s">
        <v>147</v>
      </c>
      <c r="E1107" s="234"/>
      <c r="F1107" s="67"/>
      <c r="G1107" s="81">
        <f t="shared" si="60"/>
        <v>0</v>
      </c>
    </row>
    <row r="1108" spans="1:7" s="21" customFormat="1" ht="15.5">
      <c r="A1108" s="22"/>
      <c r="B1108" s="124">
        <v>61744.01</v>
      </c>
      <c r="C1108" s="156" t="s">
        <v>561</v>
      </c>
      <c r="D1108" s="25" t="s">
        <v>147</v>
      </c>
      <c r="E1108" s="234"/>
      <c r="F1108" s="67"/>
      <c r="G1108" s="81">
        <f t="shared" si="60"/>
        <v>0</v>
      </c>
    </row>
    <row r="1109" spans="1:7" s="21" customFormat="1" ht="46.5">
      <c r="A1109" s="22"/>
      <c r="B1109" s="124">
        <v>61745.01</v>
      </c>
      <c r="C1109" s="156" t="s">
        <v>562</v>
      </c>
      <c r="D1109" s="25" t="s">
        <v>147</v>
      </c>
      <c r="E1109" s="234"/>
      <c r="F1109" s="67"/>
      <c r="G1109" s="81">
        <f t="shared" si="60"/>
        <v>0</v>
      </c>
    </row>
    <row r="1110" spans="1:7" s="21" customFormat="1" ht="47" thickBot="1">
      <c r="A1110" s="22"/>
      <c r="B1110" s="125">
        <v>61746.01</v>
      </c>
      <c r="C1110" s="157" t="s">
        <v>563</v>
      </c>
      <c r="D1110" s="104" t="s">
        <v>147</v>
      </c>
      <c r="E1110" s="194"/>
      <c r="F1110" s="105"/>
      <c r="G1110" s="106">
        <f t="shared" si="60"/>
        <v>0</v>
      </c>
    </row>
    <row r="1111" spans="1:7" s="21" customFormat="1" ht="16" thickBot="1">
      <c r="A1111" s="22"/>
      <c r="B1111" s="123"/>
      <c r="C1111" s="23" t="s">
        <v>1712</v>
      </c>
      <c r="D1111" s="43"/>
      <c r="E1111" s="59" t="str">
        <f>IF(SUM(E1112)&gt;0,1,"")</f>
        <v/>
      </c>
      <c r="F1111" s="60"/>
      <c r="G1111" s="61"/>
    </row>
    <row r="1112" spans="1:7" s="21" customFormat="1" ht="31.5" thickBot="1">
      <c r="A1112" s="22"/>
      <c r="B1112" s="126">
        <v>61761.01</v>
      </c>
      <c r="C1112" s="158" t="s">
        <v>1392</v>
      </c>
      <c r="D1112" s="109" t="s">
        <v>233</v>
      </c>
      <c r="E1112" s="246"/>
      <c r="F1112" s="110"/>
      <c r="G1112" s="111">
        <f>E1112*F1112</f>
        <v>0</v>
      </c>
    </row>
    <row r="1113" spans="1:7" s="21" customFormat="1" ht="16" thickBot="1">
      <c r="A1113" s="22"/>
      <c r="B1113" s="123"/>
      <c r="C1113" s="23" t="s">
        <v>1713</v>
      </c>
      <c r="D1113" s="43"/>
      <c r="E1113" s="59" t="str">
        <f>IF(SUM(E1114:E1115)&gt;0,1,"")</f>
        <v/>
      </c>
      <c r="F1113" s="60"/>
      <c r="G1113" s="61"/>
    </row>
    <row r="1114" spans="1:7" s="21" customFormat="1" ht="15.5">
      <c r="A1114" s="22"/>
      <c r="B1114" s="127">
        <v>61791.01</v>
      </c>
      <c r="C1114" s="159" t="s">
        <v>564</v>
      </c>
      <c r="D1114" s="62" t="s">
        <v>147</v>
      </c>
      <c r="E1114" s="245"/>
      <c r="F1114" s="63"/>
      <c r="G1114" s="103">
        <f>E1114*F1114</f>
        <v>0</v>
      </c>
    </row>
    <row r="1115" spans="1:7" s="21" customFormat="1" ht="16" thickBot="1">
      <c r="A1115" s="22"/>
      <c r="B1115" s="125">
        <v>61792.01</v>
      </c>
      <c r="C1115" s="157" t="s">
        <v>565</v>
      </c>
      <c r="D1115" s="104" t="s">
        <v>147</v>
      </c>
      <c r="E1115" s="194"/>
      <c r="F1115" s="105"/>
      <c r="G1115" s="106">
        <f>E1115*F1115</f>
        <v>0</v>
      </c>
    </row>
    <row r="1116" spans="1:7" s="21" customFormat="1" ht="16" thickBot="1">
      <c r="A1116" s="22"/>
      <c r="B1116" s="123"/>
      <c r="C1116" s="23" t="s">
        <v>1018</v>
      </c>
      <c r="D1116" s="43"/>
      <c r="E1116" s="59">
        <f>IF(SUM(E1117:E1124)&gt;0,1,"")</f>
        <v>1</v>
      </c>
      <c r="F1116" s="60"/>
      <c r="G1116" s="61"/>
    </row>
    <row r="1117" spans="1:7" s="21" customFormat="1" ht="16" thickBot="1">
      <c r="A1117" s="22"/>
      <c r="B1117" s="123"/>
      <c r="C1117" s="23" t="s">
        <v>1714</v>
      </c>
      <c r="D1117" s="43"/>
      <c r="E1117" s="59">
        <f>IF(SUM(E1118:E1119)&gt;0,1,"")</f>
        <v>1</v>
      </c>
      <c r="F1117" s="60"/>
      <c r="G1117" s="61"/>
    </row>
    <row r="1118" spans="1:7" s="21" customFormat="1" ht="46.5">
      <c r="A1118" s="22"/>
      <c r="B1118" s="127">
        <v>62101.01</v>
      </c>
      <c r="C1118" s="159" t="s">
        <v>1751</v>
      </c>
      <c r="D1118" s="62" t="s">
        <v>147</v>
      </c>
      <c r="E1118" s="245">
        <v>2</v>
      </c>
      <c r="F1118" s="63"/>
      <c r="G1118" s="103">
        <f>E1118*F1118</f>
        <v>0</v>
      </c>
    </row>
    <row r="1119" spans="1:7" s="21" customFormat="1" ht="16" thickBot="1">
      <c r="A1119" s="22"/>
      <c r="B1119" s="125">
        <v>62102.01</v>
      </c>
      <c r="C1119" s="157" t="s">
        <v>243</v>
      </c>
      <c r="D1119" s="104" t="s">
        <v>147</v>
      </c>
      <c r="E1119" s="194">
        <v>2</v>
      </c>
      <c r="F1119" s="105"/>
      <c r="G1119" s="106">
        <f>E1119*F1119</f>
        <v>0</v>
      </c>
    </row>
    <row r="1120" spans="1:7" s="21" customFormat="1" ht="16" thickBot="1">
      <c r="A1120" s="22"/>
      <c r="B1120" s="123"/>
      <c r="C1120" s="23" t="s">
        <v>1715</v>
      </c>
      <c r="D1120" s="43"/>
      <c r="E1120" s="59" t="str">
        <f>IF(SUM(E1121)&gt;0,1,"")</f>
        <v/>
      </c>
      <c r="F1120" s="60"/>
      <c r="G1120" s="61"/>
    </row>
    <row r="1121" spans="1:7" s="21" customFormat="1" ht="47" thickBot="1">
      <c r="A1121" s="22"/>
      <c r="B1121" s="126">
        <v>62121.01</v>
      </c>
      <c r="C1121" s="158" t="s">
        <v>1393</v>
      </c>
      <c r="D1121" s="109" t="s">
        <v>146</v>
      </c>
      <c r="E1121" s="246"/>
      <c r="F1121" s="110"/>
      <c r="G1121" s="111">
        <f>E1121*F1121</f>
        <v>0</v>
      </c>
    </row>
    <row r="1122" spans="1:7" s="21" customFormat="1" ht="31.5" thickBot="1">
      <c r="A1122" s="22"/>
      <c r="B1122" s="123"/>
      <c r="C1122" s="23" t="s">
        <v>1716</v>
      </c>
      <c r="D1122" s="43"/>
      <c r="E1122" s="59" t="str">
        <f>IF(SUM(E1123:E1124)&gt;0,1,"")</f>
        <v/>
      </c>
      <c r="F1122" s="60"/>
      <c r="G1122" s="61"/>
    </row>
    <row r="1123" spans="1:7" s="21" customFormat="1" ht="31">
      <c r="A1123" s="22"/>
      <c r="B1123" s="127">
        <v>62191.01</v>
      </c>
      <c r="C1123" s="159" t="s">
        <v>1394</v>
      </c>
      <c r="D1123" s="62" t="s">
        <v>147</v>
      </c>
      <c r="E1123" s="245"/>
      <c r="F1123" s="63"/>
      <c r="G1123" s="103">
        <f>E1123*F1123</f>
        <v>0</v>
      </c>
    </row>
    <row r="1124" spans="1:7" s="21" customFormat="1" ht="31.5" thickBot="1">
      <c r="A1124" s="22"/>
      <c r="B1124" s="125">
        <v>62192.01</v>
      </c>
      <c r="C1124" s="157" t="s">
        <v>1395</v>
      </c>
      <c r="D1124" s="104" t="s">
        <v>146</v>
      </c>
      <c r="E1124" s="194"/>
      <c r="F1124" s="105"/>
      <c r="G1124" s="106">
        <f>E1124*F1124</f>
        <v>0</v>
      </c>
    </row>
    <row r="1125" spans="1:7" s="21" customFormat="1" ht="16" thickBot="1">
      <c r="A1125" s="22"/>
      <c r="B1125" s="123"/>
      <c r="C1125" s="23" t="s">
        <v>1019</v>
      </c>
      <c r="D1125" s="43"/>
      <c r="E1125" s="59" t="str">
        <f>IF(SUM(E1126:E1152)&gt;0,1,"")</f>
        <v/>
      </c>
      <c r="F1125" s="60"/>
      <c r="G1125" s="61"/>
    </row>
    <row r="1126" spans="1:7" s="21" customFormat="1" ht="16" thickBot="1">
      <c r="A1126" s="22"/>
      <c r="B1126" s="123"/>
      <c r="C1126" s="23" t="s">
        <v>1717</v>
      </c>
      <c r="D1126" s="43"/>
      <c r="E1126" s="59" t="str">
        <f>IF(SUM(E1127:E1129)&gt;0,1,"")</f>
        <v/>
      </c>
      <c r="F1126" s="60"/>
      <c r="G1126" s="61"/>
    </row>
    <row r="1127" spans="1:7" s="21" customFormat="1" ht="15.5">
      <c r="A1127" s="22"/>
      <c r="B1127" s="127">
        <v>62901.01</v>
      </c>
      <c r="C1127" s="159" t="s">
        <v>246</v>
      </c>
      <c r="D1127" s="62" t="s">
        <v>147</v>
      </c>
      <c r="E1127" s="245"/>
      <c r="F1127" s="63"/>
      <c r="G1127" s="103">
        <f>E1127*F1127</f>
        <v>0</v>
      </c>
    </row>
    <row r="1128" spans="1:7" s="21" customFormat="1" ht="15.5">
      <c r="A1128" s="22"/>
      <c r="B1128" s="124">
        <v>62902.01</v>
      </c>
      <c r="C1128" s="156" t="s">
        <v>566</v>
      </c>
      <c r="D1128" s="25" t="s">
        <v>147</v>
      </c>
      <c r="E1128" s="234"/>
      <c r="F1128" s="67"/>
      <c r="G1128" s="81">
        <f>E1128*F1128</f>
        <v>0</v>
      </c>
    </row>
    <row r="1129" spans="1:7" s="21" customFormat="1" ht="16" thickBot="1">
      <c r="A1129" s="22"/>
      <c r="B1129" s="125">
        <v>62903.01</v>
      </c>
      <c r="C1129" s="157" t="s">
        <v>567</v>
      </c>
      <c r="D1129" s="104" t="s">
        <v>147</v>
      </c>
      <c r="E1129" s="194"/>
      <c r="F1129" s="105"/>
      <c r="G1129" s="106">
        <f>E1129*F1129</f>
        <v>0</v>
      </c>
    </row>
    <row r="1130" spans="1:7" s="21" customFormat="1" ht="16" thickBot="1">
      <c r="A1130" s="22"/>
      <c r="B1130" s="123"/>
      <c r="C1130" s="23" t="s">
        <v>1718</v>
      </c>
      <c r="D1130" s="43"/>
      <c r="E1130" s="59" t="str">
        <f>IF(SUM(E1131)&gt;0,1,"")</f>
        <v/>
      </c>
      <c r="F1130" s="60"/>
      <c r="G1130" s="61"/>
    </row>
    <row r="1131" spans="1:7" s="21" customFormat="1" ht="16" thickBot="1">
      <c r="A1131" s="22"/>
      <c r="B1131" s="126">
        <v>62931.01</v>
      </c>
      <c r="C1131" s="158" t="s">
        <v>568</v>
      </c>
      <c r="D1131" s="109" t="s">
        <v>147</v>
      </c>
      <c r="E1131" s="246"/>
      <c r="F1131" s="110"/>
      <c r="G1131" s="111">
        <f>E1131*F1131</f>
        <v>0</v>
      </c>
    </row>
    <row r="1132" spans="1:7" s="21" customFormat="1" ht="16" thickBot="1">
      <c r="A1132" s="22"/>
      <c r="B1132" s="123"/>
      <c r="C1132" s="23" t="s">
        <v>1719</v>
      </c>
      <c r="D1132" s="43"/>
      <c r="E1132" s="59" t="str">
        <f>IF(SUM(E1133:E1136)&gt;0,1,"")</f>
        <v/>
      </c>
      <c r="F1132" s="60"/>
      <c r="G1132" s="61"/>
    </row>
    <row r="1133" spans="1:7" s="21" customFormat="1" ht="15.5">
      <c r="A1133" s="22"/>
      <c r="B1133" s="127">
        <v>62951.01</v>
      </c>
      <c r="C1133" s="159" t="s">
        <v>1396</v>
      </c>
      <c r="D1133" s="62" t="s">
        <v>146</v>
      </c>
      <c r="E1133" s="245"/>
      <c r="F1133" s="63"/>
      <c r="G1133" s="103">
        <f>E1133*F1133</f>
        <v>0</v>
      </c>
    </row>
    <row r="1134" spans="1:7" s="21" customFormat="1" ht="15.5">
      <c r="A1134" s="22"/>
      <c r="B1134" s="124">
        <v>62952.01</v>
      </c>
      <c r="C1134" s="156" t="s">
        <v>1397</v>
      </c>
      <c r="D1134" s="25" t="s">
        <v>146</v>
      </c>
      <c r="E1134" s="234"/>
      <c r="F1134" s="67"/>
      <c r="G1134" s="81">
        <f>E1134*F1134</f>
        <v>0</v>
      </c>
    </row>
    <row r="1135" spans="1:7" s="21" customFormat="1" ht="15.5">
      <c r="A1135" s="22"/>
      <c r="B1135" s="124">
        <v>62953.01</v>
      </c>
      <c r="C1135" s="156" t="s">
        <v>1398</v>
      </c>
      <c r="D1135" s="25" t="s">
        <v>147</v>
      </c>
      <c r="E1135" s="234"/>
      <c r="F1135" s="67"/>
      <c r="G1135" s="81">
        <f>E1135*F1135</f>
        <v>0</v>
      </c>
    </row>
    <row r="1136" spans="1:7" s="21" customFormat="1" ht="16" thickBot="1">
      <c r="A1136" s="22"/>
      <c r="B1136" s="125">
        <v>62954.01</v>
      </c>
      <c r="C1136" s="157" t="s">
        <v>1399</v>
      </c>
      <c r="D1136" s="104" t="s">
        <v>147</v>
      </c>
      <c r="E1136" s="194"/>
      <c r="F1136" s="105"/>
      <c r="G1136" s="106">
        <f>E1136*F1136</f>
        <v>0</v>
      </c>
    </row>
    <row r="1137" spans="1:7" s="21" customFormat="1" ht="16" thickBot="1">
      <c r="A1137" s="22"/>
      <c r="B1137" s="123"/>
      <c r="C1137" s="23" t="s">
        <v>1720</v>
      </c>
      <c r="D1137" s="43"/>
      <c r="E1137" s="59" t="str">
        <f>IF(SUM(E1138:E1140)&gt;0,1,"")</f>
        <v/>
      </c>
      <c r="F1137" s="60"/>
      <c r="G1137" s="61"/>
    </row>
    <row r="1138" spans="1:7" s="21" customFormat="1" ht="31">
      <c r="A1138" s="22"/>
      <c r="B1138" s="127">
        <v>62981.01</v>
      </c>
      <c r="C1138" s="159" t="s">
        <v>1400</v>
      </c>
      <c r="D1138" s="62" t="s">
        <v>147</v>
      </c>
      <c r="E1138" s="245"/>
      <c r="F1138" s="63"/>
      <c r="G1138" s="103">
        <f>E1138*F1138</f>
        <v>0</v>
      </c>
    </row>
    <row r="1139" spans="1:7" s="21" customFormat="1" ht="15.5">
      <c r="A1139" s="22"/>
      <c r="B1139" s="124">
        <v>62982.01</v>
      </c>
      <c r="C1139" s="156" t="s">
        <v>569</v>
      </c>
      <c r="D1139" s="25" t="s">
        <v>147</v>
      </c>
      <c r="E1139" s="234"/>
      <c r="F1139" s="67"/>
      <c r="G1139" s="81">
        <f>E1139*F1139</f>
        <v>0</v>
      </c>
    </row>
    <row r="1140" spans="1:7" s="21" customFormat="1" ht="16" thickBot="1">
      <c r="A1140" s="22"/>
      <c r="B1140" s="125">
        <v>62983.01</v>
      </c>
      <c r="C1140" s="157" t="s">
        <v>1401</v>
      </c>
      <c r="D1140" s="104" t="s">
        <v>147</v>
      </c>
      <c r="E1140" s="194"/>
      <c r="F1140" s="105"/>
      <c r="G1140" s="106">
        <f>E1140*F1140</f>
        <v>0</v>
      </c>
    </row>
    <row r="1141" spans="1:7" s="21" customFormat="1" ht="16" thickBot="1">
      <c r="A1141" s="22"/>
      <c r="B1141" s="123"/>
      <c r="C1141" s="23" t="s">
        <v>1721</v>
      </c>
      <c r="D1141" s="43"/>
      <c r="E1141" s="59" t="str">
        <f>IF(SUM(E1142:E1144)&gt;0,1,"")</f>
        <v/>
      </c>
      <c r="F1141" s="60"/>
      <c r="G1141" s="61"/>
    </row>
    <row r="1142" spans="1:7" s="21" customFormat="1" ht="46.5">
      <c r="A1142" s="22"/>
      <c r="B1142" s="127">
        <v>63011.01</v>
      </c>
      <c r="C1142" s="159" t="s">
        <v>1402</v>
      </c>
      <c r="D1142" s="62" t="s">
        <v>147</v>
      </c>
      <c r="E1142" s="245"/>
      <c r="F1142" s="63"/>
      <c r="G1142" s="103">
        <f>E1142*F1142</f>
        <v>0</v>
      </c>
    </row>
    <row r="1143" spans="1:7" s="21" customFormat="1" ht="46.5">
      <c r="A1143" s="22"/>
      <c r="B1143" s="124">
        <v>63012.01</v>
      </c>
      <c r="C1143" s="156" t="s">
        <v>1403</v>
      </c>
      <c r="D1143" s="25" t="s">
        <v>147</v>
      </c>
      <c r="E1143" s="234"/>
      <c r="F1143" s="67"/>
      <c r="G1143" s="81">
        <f>E1143*F1143</f>
        <v>0</v>
      </c>
    </row>
    <row r="1144" spans="1:7" s="21" customFormat="1" ht="47" thickBot="1">
      <c r="A1144" s="22"/>
      <c r="B1144" s="125">
        <v>63013.01</v>
      </c>
      <c r="C1144" s="157" t="s">
        <v>1404</v>
      </c>
      <c r="D1144" s="104" t="s">
        <v>147</v>
      </c>
      <c r="E1144" s="194"/>
      <c r="F1144" s="105"/>
      <c r="G1144" s="106">
        <f>E1144*F1144</f>
        <v>0</v>
      </c>
    </row>
    <row r="1145" spans="1:7" s="21" customFormat="1" ht="16" thickBot="1">
      <c r="A1145" s="22"/>
      <c r="B1145" s="123"/>
      <c r="C1145" s="23" t="s">
        <v>1722</v>
      </c>
      <c r="D1145" s="43"/>
      <c r="E1145" s="59" t="str">
        <f>IF(SUM(E1146:E1148)&gt;0,1,"")</f>
        <v/>
      </c>
      <c r="F1145" s="60"/>
      <c r="G1145" s="61"/>
    </row>
    <row r="1146" spans="1:7" s="21" customFormat="1" ht="15.5">
      <c r="A1146" s="22"/>
      <c r="B1146" s="127">
        <v>63041.01</v>
      </c>
      <c r="C1146" s="159" t="s">
        <v>570</v>
      </c>
      <c r="D1146" s="62" t="s">
        <v>147</v>
      </c>
      <c r="E1146" s="245"/>
      <c r="F1146" s="63"/>
      <c r="G1146" s="103">
        <f>E1146*F1146</f>
        <v>0</v>
      </c>
    </row>
    <row r="1147" spans="1:7" s="21" customFormat="1" ht="15.5">
      <c r="A1147" s="22"/>
      <c r="B1147" s="124">
        <v>63042.01</v>
      </c>
      <c r="C1147" s="156" t="s">
        <v>571</v>
      </c>
      <c r="D1147" s="25" t="s">
        <v>147</v>
      </c>
      <c r="E1147" s="234"/>
      <c r="F1147" s="67"/>
      <c r="G1147" s="81">
        <f>E1147*F1147</f>
        <v>0</v>
      </c>
    </row>
    <row r="1148" spans="1:7" s="21" customFormat="1" ht="16" thickBot="1">
      <c r="A1148" s="22"/>
      <c r="B1148" s="125">
        <v>63043.01</v>
      </c>
      <c r="C1148" s="157" t="s">
        <v>572</v>
      </c>
      <c r="D1148" s="104" t="s">
        <v>147</v>
      </c>
      <c r="E1148" s="194"/>
      <c r="F1148" s="105"/>
      <c r="G1148" s="106">
        <f>E1148*F1148</f>
        <v>0</v>
      </c>
    </row>
    <row r="1149" spans="1:7" s="21" customFormat="1" ht="16" thickBot="1">
      <c r="A1149" s="22"/>
      <c r="B1149" s="123"/>
      <c r="C1149" s="23" t="s">
        <v>1020</v>
      </c>
      <c r="D1149" s="43"/>
      <c r="E1149" s="59" t="str">
        <f>IF(SUM(E1150:E1152)&gt;0,1,"")</f>
        <v/>
      </c>
      <c r="F1149" s="60"/>
      <c r="G1149" s="61"/>
    </row>
    <row r="1150" spans="1:7" s="21" customFormat="1" ht="31">
      <c r="A1150" s="22"/>
      <c r="B1150" s="127">
        <v>63091.01</v>
      </c>
      <c r="C1150" s="159" t="s">
        <v>75</v>
      </c>
      <c r="D1150" s="62" t="s">
        <v>145</v>
      </c>
      <c r="E1150" s="245"/>
      <c r="F1150" s="63"/>
      <c r="G1150" s="103">
        <f>E1150*F1150</f>
        <v>0</v>
      </c>
    </row>
    <row r="1151" spans="1:7" s="21" customFormat="1" ht="31">
      <c r="A1151" s="22"/>
      <c r="B1151" s="124">
        <v>63092.01</v>
      </c>
      <c r="C1151" s="156" t="s">
        <v>1405</v>
      </c>
      <c r="D1151" s="25" t="s">
        <v>147</v>
      </c>
      <c r="E1151" s="234"/>
      <c r="F1151" s="67"/>
      <c r="G1151" s="81">
        <f>E1151*F1151</f>
        <v>0</v>
      </c>
    </row>
    <row r="1152" spans="1:7" s="21" customFormat="1" ht="16" thickBot="1">
      <c r="A1152" s="22"/>
      <c r="B1152" s="125">
        <v>63093.01</v>
      </c>
      <c r="C1152" s="157" t="s">
        <v>573</v>
      </c>
      <c r="D1152" s="104" t="s">
        <v>147</v>
      </c>
      <c r="E1152" s="194"/>
      <c r="F1152" s="105"/>
      <c r="G1152" s="106">
        <f>E1152*F1152</f>
        <v>0</v>
      </c>
    </row>
    <row r="1153" spans="1:7" s="21" customFormat="1" ht="16" thickBot="1">
      <c r="A1153" s="22"/>
      <c r="B1153" s="123"/>
      <c r="C1153" s="23" t="s">
        <v>1021</v>
      </c>
      <c r="D1153" s="43"/>
      <c r="E1153" s="59" t="str">
        <f>IF(SUM(E1154:E1159)&gt;0,1,"")</f>
        <v/>
      </c>
      <c r="F1153" s="60"/>
      <c r="G1153" s="61"/>
    </row>
    <row r="1154" spans="1:7" s="21" customFormat="1" ht="16" thickBot="1">
      <c r="A1154" s="22"/>
      <c r="B1154" s="123"/>
      <c r="C1154" s="23" t="s">
        <v>1723</v>
      </c>
      <c r="D1154" s="43"/>
      <c r="E1154" s="59" t="str">
        <f>IF(SUM(E1155:E1156)&gt;0,1,"")</f>
        <v/>
      </c>
      <c r="F1154" s="60"/>
      <c r="G1154" s="61"/>
    </row>
    <row r="1155" spans="1:7" s="21" customFormat="1" ht="46.5">
      <c r="A1155" s="22"/>
      <c r="B1155" s="127" t="s">
        <v>1780</v>
      </c>
      <c r="C1155" s="159" t="s">
        <v>1406</v>
      </c>
      <c r="D1155" s="62" t="s">
        <v>147</v>
      </c>
      <c r="E1155" s="245"/>
      <c r="F1155" s="63"/>
      <c r="G1155" s="103">
        <f>E1155*F1155</f>
        <v>0</v>
      </c>
    </row>
    <row r="1156" spans="1:7" s="21" customFormat="1" ht="47" thickBot="1">
      <c r="A1156" s="22"/>
      <c r="B1156" s="125">
        <v>63302.01</v>
      </c>
      <c r="C1156" s="157" t="s">
        <v>1407</v>
      </c>
      <c r="D1156" s="104" t="s">
        <v>147</v>
      </c>
      <c r="E1156" s="194"/>
      <c r="F1156" s="105"/>
      <c r="G1156" s="106">
        <f>E1156*F1156</f>
        <v>0</v>
      </c>
    </row>
    <row r="1157" spans="1:7" s="21" customFormat="1" ht="16" thickBot="1">
      <c r="A1157" s="22"/>
      <c r="B1157" s="123"/>
      <c r="C1157" s="23" t="s">
        <v>1022</v>
      </c>
      <c r="D1157" s="43"/>
      <c r="E1157" s="59" t="str">
        <f>IF(SUM(E1158:E1159)&gt;0,1,"")</f>
        <v/>
      </c>
      <c r="F1157" s="60"/>
      <c r="G1157" s="61"/>
    </row>
    <row r="1158" spans="1:7" s="21" customFormat="1" ht="15.5">
      <c r="A1158" s="22"/>
      <c r="B1158" s="127">
        <v>63391.01</v>
      </c>
      <c r="C1158" s="159" t="s">
        <v>574</v>
      </c>
      <c r="D1158" s="62" t="s">
        <v>147</v>
      </c>
      <c r="E1158" s="245"/>
      <c r="F1158" s="63"/>
      <c r="G1158" s="103">
        <f>E1158*F1158</f>
        <v>0</v>
      </c>
    </row>
    <row r="1159" spans="1:7" s="21" customFormat="1" ht="16" thickBot="1">
      <c r="A1159" s="22"/>
      <c r="B1159" s="125">
        <v>63392.01</v>
      </c>
      <c r="C1159" s="157" t="s">
        <v>575</v>
      </c>
      <c r="D1159" s="104" t="s">
        <v>147</v>
      </c>
      <c r="E1159" s="194"/>
      <c r="F1159" s="105"/>
      <c r="G1159" s="106">
        <f>E1159*F1159</f>
        <v>0</v>
      </c>
    </row>
    <row r="1160" spans="1:7" s="21" customFormat="1" ht="16" thickBot="1">
      <c r="A1160" s="22"/>
      <c r="B1160" s="123"/>
      <c r="C1160" s="23" t="s">
        <v>1023</v>
      </c>
      <c r="D1160" s="43"/>
      <c r="E1160" s="59" t="str">
        <f>IF(SUM(E1161:E1184)&gt;0,1,"")</f>
        <v/>
      </c>
      <c r="F1160" s="60"/>
      <c r="G1160" s="61"/>
    </row>
    <row r="1161" spans="1:7" s="21" customFormat="1" ht="16" thickBot="1">
      <c r="A1161" s="22"/>
      <c r="B1161" s="123"/>
      <c r="C1161" s="23" t="s">
        <v>1024</v>
      </c>
      <c r="D1161" s="43"/>
      <c r="E1161" s="59" t="str">
        <f>IF(SUM(E1162:E1164)&gt;0,1,"")</f>
        <v/>
      </c>
      <c r="F1161" s="60"/>
      <c r="G1161" s="61"/>
    </row>
    <row r="1162" spans="1:7" s="21" customFormat="1" ht="15.5">
      <c r="A1162" s="22"/>
      <c r="B1162" s="127">
        <v>63401.01</v>
      </c>
      <c r="C1162" s="159" t="s">
        <v>246</v>
      </c>
      <c r="D1162" s="62" t="s">
        <v>147</v>
      </c>
      <c r="E1162" s="245"/>
      <c r="F1162" s="63"/>
      <c r="G1162" s="103">
        <f>E1162*F1162</f>
        <v>0</v>
      </c>
    </row>
    <row r="1163" spans="1:7" s="21" customFormat="1" ht="31">
      <c r="A1163" s="22"/>
      <c r="B1163" s="124">
        <v>63402.01</v>
      </c>
      <c r="C1163" s="156" t="s">
        <v>576</v>
      </c>
      <c r="D1163" s="25" t="s">
        <v>147</v>
      </c>
      <c r="E1163" s="234"/>
      <c r="F1163" s="67"/>
      <c r="G1163" s="81">
        <f>E1163*F1163</f>
        <v>0</v>
      </c>
    </row>
    <row r="1164" spans="1:7" s="21" customFormat="1" ht="16" thickBot="1">
      <c r="A1164" s="22"/>
      <c r="B1164" s="125">
        <v>63403.01</v>
      </c>
      <c r="C1164" s="157" t="s">
        <v>247</v>
      </c>
      <c r="D1164" s="104" t="s">
        <v>147</v>
      </c>
      <c r="E1164" s="194"/>
      <c r="F1164" s="105"/>
      <c r="G1164" s="106">
        <f>E1164*F1164</f>
        <v>0</v>
      </c>
    </row>
    <row r="1165" spans="1:7" s="21" customFormat="1" ht="16" thickBot="1">
      <c r="A1165" s="22"/>
      <c r="B1165" s="123"/>
      <c r="C1165" s="23" t="s">
        <v>1025</v>
      </c>
      <c r="D1165" s="43"/>
      <c r="E1165" s="59" t="str">
        <f>IF(SUM(E1166)&gt;0,1,"")</f>
        <v/>
      </c>
      <c r="F1165" s="60"/>
      <c r="G1165" s="61"/>
    </row>
    <row r="1166" spans="1:7" s="21" customFormat="1" ht="16" thickBot="1">
      <c r="A1166" s="22"/>
      <c r="B1166" s="126">
        <v>63431.01</v>
      </c>
      <c r="C1166" s="158" t="s">
        <v>577</v>
      </c>
      <c r="D1166" s="109" t="s">
        <v>147</v>
      </c>
      <c r="E1166" s="246"/>
      <c r="F1166" s="110"/>
      <c r="G1166" s="111">
        <f>E1166*F1166</f>
        <v>0</v>
      </c>
    </row>
    <row r="1167" spans="1:7" s="21" customFormat="1" ht="16" thickBot="1">
      <c r="A1167" s="22"/>
      <c r="B1167" s="123"/>
      <c r="C1167" s="23" t="s">
        <v>1026</v>
      </c>
      <c r="D1167" s="43"/>
      <c r="E1167" s="59" t="str">
        <f>IF(SUM(E1168)&gt;0,1,"")</f>
        <v/>
      </c>
      <c r="F1167" s="60"/>
      <c r="G1167" s="61"/>
    </row>
    <row r="1168" spans="1:7" s="21" customFormat="1" ht="16" thickBot="1">
      <c r="A1168" s="22"/>
      <c r="B1168" s="126">
        <v>63451.01</v>
      </c>
      <c r="C1168" s="158" t="s">
        <v>1408</v>
      </c>
      <c r="D1168" s="109" t="s">
        <v>146</v>
      </c>
      <c r="E1168" s="246"/>
      <c r="F1168" s="110"/>
      <c r="G1168" s="111">
        <f>E1168*F1168</f>
        <v>0</v>
      </c>
    </row>
    <row r="1169" spans="1:7" s="21" customFormat="1" ht="16" thickBot="1">
      <c r="A1169" s="22"/>
      <c r="B1169" s="123"/>
      <c r="C1169" s="23" t="s">
        <v>1027</v>
      </c>
      <c r="D1169" s="43"/>
      <c r="E1169" s="59" t="str">
        <f>IF(SUM(E1170:E1172)&gt;0,1,"")</f>
        <v/>
      </c>
      <c r="F1169" s="60"/>
      <c r="G1169" s="61"/>
    </row>
    <row r="1170" spans="1:7" s="21" customFormat="1" ht="31">
      <c r="A1170" s="22"/>
      <c r="B1170" s="127">
        <v>63471.01</v>
      </c>
      <c r="C1170" s="159" t="s">
        <v>1409</v>
      </c>
      <c r="D1170" s="62" t="s">
        <v>147</v>
      </c>
      <c r="E1170" s="245"/>
      <c r="F1170" s="63"/>
      <c r="G1170" s="103">
        <f>E1170*F1170</f>
        <v>0</v>
      </c>
    </row>
    <row r="1171" spans="1:7" s="21" customFormat="1" ht="15.5">
      <c r="A1171" s="22"/>
      <c r="B1171" s="124">
        <v>63472.01</v>
      </c>
      <c r="C1171" s="156" t="s">
        <v>248</v>
      </c>
      <c r="D1171" s="25" t="s">
        <v>147</v>
      </c>
      <c r="E1171" s="234"/>
      <c r="F1171" s="67"/>
      <c r="G1171" s="81">
        <f>E1171*F1171</f>
        <v>0</v>
      </c>
    </row>
    <row r="1172" spans="1:7" s="21" customFormat="1" ht="16" thickBot="1">
      <c r="A1172" s="22"/>
      <c r="B1172" s="125">
        <v>63473.01</v>
      </c>
      <c r="C1172" s="157" t="s">
        <v>1410</v>
      </c>
      <c r="D1172" s="104" t="s">
        <v>147</v>
      </c>
      <c r="E1172" s="194"/>
      <c r="F1172" s="105"/>
      <c r="G1172" s="106">
        <f>E1172*F1172</f>
        <v>0</v>
      </c>
    </row>
    <row r="1173" spans="1:7" s="21" customFormat="1" ht="16" thickBot="1">
      <c r="A1173" s="22"/>
      <c r="B1173" s="123"/>
      <c r="C1173" s="23" t="s">
        <v>1028</v>
      </c>
      <c r="D1173" s="43"/>
      <c r="E1173" s="59" t="str">
        <f>IF(SUM(E1174:E1176)&gt;0,1,"")</f>
        <v/>
      </c>
      <c r="F1173" s="60"/>
      <c r="G1173" s="61"/>
    </row>
    <row r="1174" spans="1:7" s="21" customFormat="1" ht="15.5">
      <c r="A1174" s="22"/>
      <c r="B1174" s="127">
        <v>63501.01</v>
      </c>
      <c r="C1174" s="159" t="s">
        <v>1411</v>
      </c>
      <c r="D1174" s="62" t="s">
        <v>147</v>
      </c>
      <c r="E1174" s="245"/>
      <c r="F1174" s="63"/>
      <c r="G1174" s="103">
        <f>E1174*F1174</f>
        <v>0</v>
      </c>
    </row>
    <row r="1175" spans="1:7" s="21" customFormat="1" ht="15.5">
      <c r="A1175" s="22"/>
      <c r="B1175" s="124">
        <v>63502.01</v>
      </c>
      <c r="C1175" s="156" t="s">
        <v>1412</v>
      </c>
      <c r="D1175" s="25" t="s">
        <v>147</v>
      </c>
      <c r="E1175" s="234"/>
      <c r="F1175" s="67"/>
      <c r="G1175" s="81">
        <f>E1175*F1175</f>
        <v>0</v>
      </c>
    </row>
    <row r="1176" spans="1:7" s="21" customFormat="1" ht="31.5" thickBot="1">
      <c r="A1176" s="22"/>
      <c r="B1176" s="125">
        <v>63503.01</v>
      </c>
      <c r="C1176" s="157" t="s">
        <v>1413</v>
      </c>
      <c r="D1176" s="104" t="s">
        <v>147</v>
      </c>
      <c r="E1176" s="194"/>
      <c r="F1176" s="105"/>
      <c r="G1176" s="106">
        <f>E1176*F1176</f>
        <v>0</v>
      </c>
    </row>
    <row r="1177" spans="1:7" s="21" customFormat="1" ht="16" thickBot="1">
      <c r="A1177" s="22"/>
      <c r="B1177" s="123"/>
      <c r="C1177" s="23" t="s">
        <v>1029</v>
      </c>
      <c r="D1177" s="43"/>
      <c r="E1177" s="59" t="str">
        <f>IF(SUM(E1178:E1180)&gt;0,1,"")</f>
        <v/>
      </c>
      <c r="F1177" s="60"/>
      <c r="G1177" s="61"/>
    </row>
    <row r="1178" spans="1:7" s="21" customFormat="1" ht="15.5">
      <c r="A1178" s="22"/>
      <c r="B1178" s="127">
        <v>63531.01</v>
      </c>
      <c r="C1178" s="159" t="s">
        <v>570</v>
      </c>
      <c r="D1178" s="62" t="s">
        <v>147</v>
      </c>
      <c r="E1178" s="245"/>
      <c r="F1178" s="63"/>
      <c r="G1178" s="103">
        <f>E1178*F1178</f>
        <v>0</v>
      </c>
    </row>
    <row r="1179" spans="1:7" s="21" customFormat="1" ht="15.5">
      <c r="A1179" s="22"/>
      <c r="B1179" s="124">
        <v>63532.01</v>
      </c>
      <c r="C1179" s="156" t="s">
        <v>571</v>
      </c>
      <c r="D1179" s="25" t="s">
        <v>147</v>
      </c>
      <c r="E1179" s="234"/>
      <c r="F1179" s="67"/>
      <c r="G1179" s="81">
        <f>E1179*F1179</f>
        <v>0</v>
      </c>
    </row>
    <row r="1180" spans="1:7" s="21" customFormat="1" ht="16" thickBot="1">
      <c r="A1180" s="22"/>
      <c r="B1180" s="125">
        <v>63533.01</v>
      </c>
      <c r="C1180" s="157" t="s">
        <v>572</v>
      </c>
      <c r="D1180" s="104" t="s">
        <v>147</v>
      </c>
      <c r="E1180" s="194"/>
      <c r="F1180" s="105"/>
      <c r="G1180" s="106">
        <f>E1180*F1180</f>
        <v>0</v>
      </c>
    </row>
    <row r="1181" spans="1:7" s="21" customFormat="1" ht="16" thickBot="1">
      <c r="A1181" s="22"/>
      <c r="B1181" s="123"/>
      <c r="C1181" s="23" t="s">
        <v>1030</v>
      </c>
      <c r="D1181" s="43"/>
      <c r="E1181" s="59" t="str">
        <f>IF(SUM(E1182:E1184)&gt;0,1,"")</f>
        <v/>
      </c>
      <c r="F1181" s="60"/>
      <c r="G1181" s="61"/>
    </row>
    <row r="1182" spans="1:7" s="21" customFormat="1" ht="31">
      <c r="A1182" s="22"/>
      <c r="B1182" s="127">
        <v>63591.01</v>
      </c>
      <c r="C1182" s="159" t="s">
        <v>1414</v>
      </c>
      <c r="D1182" s="62" t="s">
        <v>147</v>
      </c>
      <c r="E1182" s="245"/>
      <c r="F1182" s="63"/>
      <c r="G1182" s="103">
        <f>E1182*F1182</f>
        <v>0</v>
      </c>
    </row>
    <row r="1183" spans="1:7" s="21" customFormat="1" ht="15.5">
      <c r="A1183" s="22"/>
      <c r="B1183" s="124">
        <v>63592.01</v>
      </c>
      <c r="C1183" s="156" t="s">
        <v>249</v>
      </c>
      <c r="D1183" s="25" t="s">
        <v>147</v>
      </c>
      <c r="E1183" s="234"/>
      <c r="F1183" s="67"/>
      <c r="G1183" s="81">
        <f>E1183*F1183</f>
        <v>0</v>
      </c>
    </row>
    <row r="1184" spans="1:7" s="21" customFormat="1" ht="16" thickBot="1">
      <c r="A1184" s="22"/>
      <c r="B1184" s="125">
        <v>63593.01</v>
      </c>
      <c r="C1184" s="157" t="s">
        <v>1415</v>
      </c>
      <c r="D1184" s="104" t="s">
        <v>145</v>
      </c>
      <c r="E1184" s="194"/>
      <c r="F1184" s="105"/>
      <c r="G1184" s="106">
        <f>E1184*F1184</f>
        <v>0</v>
      </c>
    </row>
    <row r="1185" spans="1:7" s="21" customFormat="1" ht="16" thickBot="1">
      <c r="A1185" s="22"/>
      <c r="B1185" s="123"/>
      <c r="C1185" s="23" t="s">
        <v>1031</v>
      </c>
      <c r="D1185" s="43"/>
      <c r="E1185" s="59" t="str">
        <f>IF(SUM(E1186:E1213)&gt;0,1,"")</f>
        <v/>
      </c>
      <c r="F1185" s="60"/>
      <c r="G1185" s="61"/>
    </row>
    <row r="1186" spans="1:7" s="21" customFormat="1" ht="16" thickBot="1">
      <c r="A1186" s="22"/>
      <c r="B1186" s="123"/>
      <c r="C1186" s="23" t="s">
        <v>1032</v>
      </c>
      <c r="D1186" s="43"/>
      <c r="E1186" s="59" t="str">
        <f>IF(SUM(E1187:E1191)&gt;0,1,"")</f>
        <v/>
      </c>
      <c r="F1186" s="60"/>
      <c r="G1186" s="61"/>
    </row>
    <row r="1187" spans="1:7" s="21" customFormat="1" ht="15.5">
      <c r="A1187" s="22"/>
      <c r="B1187" s="127">
        <v>63801.01</v>
      </c>
      <c r="C1187" s="159" t="s">
        <v>578</v>
      </c>
      <c r="D1187" s="62" t="s">
        <v>147</v>
      </c>
      <c r="E1187" s="245"/>
      <c r="F1187" s="63"/>
      <c r="G1187" s="103">
        <f>E1187*F1187</f>
        <v>0</v>
      </c>
    </row>
    <row r="1188" spans="1:7" s="21" customFormat="1" ht="15.5">
      <c r="A1188" s="22"/>
      <c r="B1188" s="124">
        <v>63802.01</v>
      </c>
      <c r="C1188" s="156" t="s">
        <v>1416</v>
      </c>
      <c r="D1188" s="25" t="s">
        <v>147</v>
      </c>
      <c r="E1188" s="234"/>
      <c r="F1188" s="67"/>
      <c r="G1188" s="81">
        <f>E1188*F1188</f>
        <v>0</v>
      </c>
    </row>
    <row r="1189" spans="1:7" s="21" customFormat="1" ht="15.5">
      <c r="A1189" s="22"/>
      <c r="B1189" s="124">
        <v>63803.01</v>
      </c>
      <c r="C1189" s="156" t="s">
        <v>579</v>
      </c>
      <c r="D1189" s="25" t="s">
        <v>147</v>
      </c>
      <c r="E1189" s="234"/>
      <c r="F1189" s="67"/>
      <c r="G1189" s="81">
        <f>E1189*F1189</f>
        <v>0</v>
      </c>
    </row>
    <row r="1190" spans="1:7" s="21" customFormat="1" ht="15.5">
      <c r="A1190" s="22"/>
      <c r="B1190" s="124">
        <v>63804.01</v>
      </c>
      <c r="C1190" s="156" t="s">
        <v>1417</v>
      </c>
      <c r="D1190" s="25" t="s">
        <v>147</v>
      </c>
      <c r="E1190" s="234"/>
      <c r="F1190" s="67"/>
      <c r="G1190" s="81">
        <f>E1190*F1190</f>
        <v>0</v>
      </c>
    </row>
    <row r="1191" spans="1:7" s="21" customFormat="1" ht="16" thickBot="1">
      <c r="A1191" s="22"/>
      <c r="B1191" s="125">
        <v>63805.01</v>
      </c>
      <c r="C1191" s="157" t="s">
        <v>580</v>
      </c>
      <c r="D1191" s="104" t="s">
        <v>147</v>
      </c>
      <c r="E1191" s="194"/>
      <c r="F1191" s="105"/>
      <c r="G1191" s="106">
        <f>E1191*F1191</f>
        <v>0</v>
      </c>
    </row>
    <row r="1192" spans="1:7" s="21" customFormat="1" ht="16" thickBot="1">
      <c r="A1192" s="22"/>
      <c r="B1192" s="123"/>
      <c r="C1192" s="23" t="s">
        <v>1033</v>
      </c>
      <c r="D1192" s="43"/>
      <c r="E1192" s="59" t="str">
        <f>IF(SUM(E1193:E1198)&gt;0,1,"")</f>
        <v/>
      </c>
      <c r="F1192" s="60"/>
      <c r="G1192" s="61"/>
    </row>
    <row r="1193" spans="1:7" s="21" customFormat="1" ht="31">
      <c r="A1193" s="22"/>
      <c r="B1193" s="127">
        <v>63831.01</v>
      </c>
      <c r="C1193" s="159" t="s">
        <v>1418</v>
      </c>
      <c r="D1193" s="62" t="s">
        <v>147</v>
      </c>
      <c r="E1193" s="245"/>
      <c r="F1193" s="63"/>
      <c r="G1193" s="103">
        <f t="shared" ref="G1193:G1198" si="61">E1193*F1193</f>
        <v>0</v>
      </c>
    </row>
    <row r="1194" spans="1:7" s="21" customFormat="1" ht="31">
      <c r="A1194" s="22"/>
      <c r="B1194" s="124">
        <v>63832.01</v>
      </c>
      <c r="C1194" s="156" t="s">
        <v>1419</v>
      </c>
      <c r="D1194" s="25" t="s">
        <v>147</v>
      </c>
      <c r="E1194" s="234"/>
      <c r="F1194" s="67"/>
      <c r="G1194" s="81">
        <f t="shared" si="61"/>
        <v>0</v>
      </c>
    </row>
    <row r="1195" spans="1:7" s="21" customFormat="1" ht="31">
      <c r="A1195" s="22"/>
      <c r="B1195" s="124">
        <v>63833.01</v>
      </c>
      <c r="C1195" s="156" t="s">
        <v>1420</v>
      </c>
      <c r="D1195" s="25" t="s">
        <v>147</v>
      </c>
      <c r="E1195" s="234"/>
      <c r="F1195" s="67"/>
      <c r="G1195" s="81">
        <f t="shared" si="61"/>
        <v>0</v>
      </c>
    </row>
    <row r="1196" spans="1:7" s="21" customFormat="1" ht="46.5">
      <c r="A1196" s="22"/>
      <c r="B1196" s="124">
        <v>63834.01</v>
      </c>
      <c r="C1196" s="156" t="s">
        <v>1421</v>
      </c>
      <c r="D1196" s="25" t="s">
        <v>147</v>
      </c>
      <c r="E1196" s="234"/>
      <c r="F1196" s="67"/>
      <c r="G1196" s="81">
        <f t="shared" si="61"/>
        <v>0</v>
      </c>
    </row>
    <row r="1197" spans="1:7" s="21" customFormat="1" ht="46.5">
      <c r="A1197" s="22"/>
      <c r="B1197" s="124">
        <v>63835.01</v>
      </c>
      <c r="C1197" s="156" t="s">
        <v>1422</v>
      </c>
      <c r="D1197" s="25" t="s">
        <v>147</v>
      </c>
      <c r="E1197" s="234"/>
      <c r="F1197" s="67"/>
      <c r="G1197" s="81">
        <f t="shared" si="61"/>
        <v>0</v>
      </c>
    </row>
    <row r="1198" spans="1:7" s="21" customFormat="1" ht="62.5" thickBot="1">
      <c r="A1198" s="22"/>
      <c r="B1198" s="125">
        <v>63836.01</v>
      </c>
      <c r="C1198" s="157" t="s">
        <v>1423</v>
      </c>
      <c r="D1198" s="104" t="s">
        <v>147</v>
      </c>
      <c r="E1198" s="194"/>
      <c r="F1198" s="105"/>
      <c r="G1198" s="106">
        <f t="shared" si="61"/>
        <v>0</v>
      </c>
    </row>
    <row r="1199" spans="1:7" s="21" customFormat="1" ht="16" thickBot="1">
      <c r="A1199" s="22"/>
      <c r="B1199" s="123"/>
      <c r="C1199" s="23" t="s">
        <v>1034</v>
      </c>
      <c r="D1199" s="43"/>
      <c r="E1199" s="59" t="str">
        <f>IF(SUM(E1200:E1201)&gt;0,1,"")</f>
        <v/>
      </c>
      <c r="F1199" s="60"/>
      <c r="G1199" s="61"/>
    </row>
    <row r="1200" spans="1:7" s="21" customFormat="1" ht="15.5">
      <c r="A1200" s="22"/>
      <c r="B1200" s="127">
        <v>63861.01</v>
      </c>
      <c r="C1200" s="159" t="s">
        <v>581</v>
      </c>
      <c r="D1200" s="62" t="s">
        <v>147</v>
      </c>
      <c r="E1200" s="245"/>
      <c r="F1200" s="63"/>
      <c r="G1200" s="103">
        <f>E1200*F1200</f>
        <v>0</v>
      </c>
    </row>
    <row r="1201" spans="1:7" s="21" customFormat="1" ht="16" thickBot="1">
      <c r="A1201" s="22"/>
      <c r="B1201" s="125">
        <v>63862.01</v>
      </c>
      <c r="C1201" s="157" t="s">
        <v>582</v>
      </c>
      <c r="D1201" s="104" t="s">
        <v>147</v>
      </c>
      <c r="E1201" s="194"/>
      <c r="F1201" s="105"/>
      <c r="G1201" s="106">
        <f>E1201*F1201</f>
        <v>0</v>
      </c>
    </row>
    <row r="1202" spans="1:7" s="21" customFormat="1" ht="16" thickBot="1">
      <c r="A1202" s="22"/>
      <c r="B1202" s="123"/>
      <c r="C1202" s="23" t="s">
        <v>1035</v>
      </c>
      <c r="D1202" s="43"/>
      <c r="E1202" s="59" t="str">
        <f>IF(SUM(E1203:E1205)&gt;0,1,"")</f>
        <v/>
      </c>
      <c r="F1202" s="60"/>
      <c r="G1202" s="61"/>
    </row>
    <row r="1203" spans="1:7" s="21" customFormat="1" ht="15.5">
      <c r="A1203" s="22"/>
      <c r="B1203" s="127">
        <v>63891.01</v>
      </c>
      <c r="C1203" s="159" t="s">
        <v>583</v>
      </c>
      <c r="D1203" s="62" t="s">
        <v>147</v>
      </c>
      <c r="E1203" s="245"/>
      <c r="F1203" s="63"/>
      <c r="G1203" s="103">
        <f>E1203*F1203</f>
        <v>0</v>
      </c>
    </row>
    <row r="1204" spans="1:7" s="21" customFormat="1" ht="15.5">
      <c r="A1204" s="22"/>
      <c r="B1204" s="124">
        <v>63892.01</v>
      </c>
      <c r="C1204" s="156" t="s">
        <v>584</v>
      </c>
      <c r="D1204" s="25" t="s">
        <v>147</v>
      </c>
      <c r="E1204" s="234"/>
      <c r="F1204" s="67"/>
      <c r="G1204" s="81">
        <f>E1204*F1204</f>
        <v>0</v>
      </c>
    </row>
    <row r="1205" spans="1:7" s="21" customFormat="1" ht="16" thickBot="1">
      <c r="A1205" s="22"/>
      <c r="B1205" s="125">
        <v>63893.01</v>
      </c>
      <c r="C1205" s="157" t="s">
        <v>585</v>
      </c>
      <c r="D1205" s="104" t="s">
        <v>147</v>
      </c>
      <c r="E1205" s="194"/>
      <c r="F1205" s="105"/>
      <c r="G1205" s="106">
        <f>E1205*F1205</f>
        <v>0</v>
      </c>
    </row>
    <row r="1206" spans="1:7" s="21" customFormat="1" ht="16" thickBot="1">
      <c r="A1206" s="22"/>
      <c r="B1206" s="123"/>
      <c r="C1206" s="23" t="s">
        <v>1036</v>
      </c>
      <c r="D1206" s="43"/>
      <c r="E1206" s="59" t="str">
        <f>IF(SUM(E1207:E1209)&gt;0,1,"")</f>
        <v/>
      </c>
      <c r="F1206" s="60"/>
      <c r="G1206" s="61"/>
    </row>
    <row r="1207" spans="1:7" s="21" customFormat="1" ht="15.5">
      <c r="A1207" s="22"/>
      <c r="B1207" s="127">
        <v>63921.01</v>
      </c>
      <c r="C1207" s="159" t="s">
        <v>586</v>
      </c>
      <c r="D1207" s="62" t="s">
        <v>147</v>
      </c>
      <c r="E1207" s="245"/>
      <c r="F1207" s="63"/>
      <c r="G1207" s="103">
        <f>E1207*F1207</f>
        <v>0</v>
      </c>
    </row>
    <row r="1208" spans="1:7" s="21" customFormat="1" ht="15.5">
      <c r="A1208" s="22"/>
      <c r="B1208" s="124">
        <v>63922.01</v>
      </c>
      <c r="C1208" s="156" t="s">
        <v>587</v>
      </c>
      <c r="D1208" s="25" t="s">
        <v>147</v>
      </c>
      <c r="E1208" s="234"/>
      <c r="F1208" s="67"/>
      <c r="G1208" s="81">
        <f>E1208*F1208</f>
        <v>0</v>
      </c>
    </row>
    <row r="1209" spans="1:7" s="21" customFormat="1" ht="16" thickBot="1">
      <c r="A1209" s="22"/>
      <c r="B1209" s="125">
        <v>63923.01</v>
      </c>
      <c r="C1209" s="157" t="s">
        <v>588</v>
      </c>
      <c r="D1209" s="104" t="s">
        <v>147</v>
      </c>
      <c r="E1209" s="194"/>
      <c r="F1209" s="105"/>
      <c r="G1209" s="106">
        <f>E1209*F1209</f>
        <v>0</v>
      </c>
    </row>
    <row r="1210" spans="1:7" s="21" customFormat="1" ht="16" thickBot="1">
      <c r="A1210" s="22"/>
      <c r="B1210" s="123"/>
      <c r="C1210" s="23" t="s">
        <v>1037</v>
      </c>
      <c r="D1210" s="43"/>
      <c r="E1210" s="59" t="str">
        <f>IF(SUM(E1211:E1213)&gt;0,1,"")</f>
        <v/>
      </c>
      <c r="F1210" s="60"/>
      <c r="G1210" s="61"/>
    </row>
    <row r="1211" spans="1:7" s="21" customFormat="1" ht="15.5">
      <c r="A1211" s="22"/>
      <c r="B1211" s="127">
        <v>63991.01</v>
      </c>
      <c r="C1211" s="159" t="s">
        <v>589</v>
      </c>
      <c r="D1211" s="62" t="s">
        <v>147</v>
      </c>
      <c r="E1211" s="245"/>
      <c r="F1211" s="63"/>
      <c r="G1211" s="103">
        <f>E1211*F1211</f>
        <v>0</v>
      </c>
    </row>
    <row r="1212" spans="1:7" s="21" customFormat="1" ht="31">
      <c r="A1212" s="22"/>
      <c r="B1212" s="124">
        <v>63992.01</v>
      </c>
      <c r="C1212" s="156" t="s">
        <v>1424</v>
      </c>
      <c r="D1212" s="25" t="s">
        <v>147</v>
      </c>
      <c r="E1212" s="234"/>
      <c r="F1212" s="67"/>
      <c r="G1212" s="81">
        <f>E1212*F1212</f>
        <v>0</v>
      </c>
    </row>
    <row r="1213" spans="1:7" s="21" customFormat="1" ht="31.5" thickBot="1">
      <c r="A1213" s="22"/>
      <c r="B1213" s="125">
        <v>63993.01</v>
      </c>
      <c r="C1213" s="157" t="s">
        <v>1425</v>
      </c>
      <c r="D1213" s="104" t="s">
        <v>147</v>
      </c>
      <c r="E1213" s="194"/>
      <c r="F1213" s="105"/>
      <c r="G1213" s="106">
        <f>E1213*F1213</f>
        <v>0</v>
      </c>
    </row>
    <row r="1214" spans="1:7" s="21" customFormat="1" ht="16" thickBot="1">
      <c r="A1214" s="22"/>
      <c r="B1214" s="123"/>
      <c r="C1214" s="23" t="s">
        <v>1038</v>
      </c>
      <c r="D1214" s="43"/>
      <c r="E1214" s="59" t="str">
        <f>IF(SUM(E1215:E1233)&gt;0,1,"")</f>
        <v/>
      </c>
      <c r="F1214" s="60"/>
      <c r="G1214" s="61"/>
    </row>
    <row r="1215" spans="1:7" s="21" customFormat="1" ht="16" thickBot="1">
      <c r="A1215" s="22"/>
      <c r="B1215" s="123"/>
      <c r="C1215" s="23" t="s">
        <v>1039</v>
      </c>
      <c r="D1215" s="43"/>
      <c r="E1215" s="59" t="str">
        <f>IF(SUM(E1216:E1218)&gt;0,1,"")</f>
        <v/>
      </c>
      <c r="F1215" s="60"/>
      <c r="G1215" s="61"/>
    </row>
    <row r="1216" spans="1:7" s="21" customFormat="1" ht="15.5">
      <c r="A1216" s="22"/>
      <c r="B1216" s="127">
        <v>64001.01</v>
      </c>
      <c r="C1216" s="159" t="s">
        <v>1426</v>
      </c>
      <c r="D1216" s="62" t="s">
        <v>147</v>
      </c>
      <c r="E1216" s="245"/>
      <c r="F1216" s="63"/>
      <c r="G1216" s="103">
        <f>E1216*F1216</f>
        <v>0</v>
      </c>
    </row>
    <row r="1217" spans="1:7" s="21" customFormat="1" ht="15.5">
      <c r="A1217" s="22"/>
      <c r="B1217" s="124">
        <v>64002.01</v>
      </c>
      <c r="C1217" s="156" t="s">
        <v>1427</v>
      </c>
      <c r="D1217" s="25" t="s">
        <v>147</v>
      </c>
      <c r="E1217" s="234"/>
      <c r="F1217" s="67"/>
      <c r="G1217" s="81">
        <f>E1217*F1217</f>
        <v>0</v>
      </c>
    </row>
    <row r="1218" spans="1:7" s="21" customFormat="1" ht="16" thickBot="1">
      <c r="A1218" s="22"/>
      <c r="B1218" s="125">
        <v>64003.01</v>
      </c>
      <c r="C1218" s="157" t="s">
        <v>1428</v>
      </c>
      <c r="D1218" s="104" t="s">
        <v>147</v>
      </c>
      <c r="E1218" s="194"/>
      <c r="F1218" s="105"/>
      <c r="G1218" s="106">
        <f>E1218*F1218</f>
        <v>0</v>
      </c>
    </row>
    <row r="1219" spans="1:7" s="21" customFormat="1" ht="16" thickBot="1">
      <c r="A1219" s="22"/>
      <c r="B1219" s="123"/>
      <c r="C1219" s="23" t="s">
        <v>1040</v>
      </c>
      <c r="D1219" s="43"/>
      <c r="E1219" s="59" t="str">
        <f>IF(SUM(E1220:E1222)&gt;0,1,"")</f>
        <v/>
      </c>
      <c r="F1219" s="60"/>
      <c r="G1219" s="61"/>
    </row>
    <row r="1220" spans="1:7" s="21" customFormat="1" ht="15.5">
      <c r="A1220" s="22"/>
      <c r="B1220" s="127">
        <v>64021.01</v>
      </c>
      <c r="C1220" s="159" t="s">
        <v>1429</v>
      </c>
      <c r="D1220" s="62" t="s">
        <v>147</v>
      </c>
      <c r="E1220" s="245"/>
      <c r="F1220" s="63"/>
      <c r="G1220" s="103">
        <f>E1220*F1220</f>
        <v>0</v>
      </c>
    </row>
    <row r="1221" spans="1:7" s="21" customFormat="1" ht="15.5">
      <c r="A1221" s="22"/>
      <c r="B1221" s="124">
        <v>64022.01</v>
      </c>
      <c r="C1221" s="156" t="s">
        <v>1430</v>
      </c>
      <c r="D1221" s="25" t="s">
        <v>147</v>
      </c>
      <c r="E1221" s="234"/>
      <c r="F1221" s="67"/>
      <c r="G1221" s="81">
        <f>E1221*F1221</f>
        <v>0</v>
      </c>
    </row>
    <row r="1222" spans="1:7" s="21" customFormat="1" ht="16" thickBot="1">
      <c r="A1222" s="22"/>
      <c r="B1222" s="125">
        <v>64023.01</v>
      </c>
      <c r="C1222" s="157" t="s">
        <v>1431</v>
      </c>
      <c r="D1222" s="104" t="s">
        <v>147</v>
      </c>
      <c r="E1222" s="194"/>
      <c r="F1222" s="105"/>
      <c r="G1222" s="106">
        <f>E1222*F1222</f>
        <v>0</v>
      </c>
    </row>
    <row r="1223" spans="1:7" s="21" customFormat="1" ht="16" thickBot="1">
      <c r="A1223" s="22"/>
      <c r="B1223" s="123"/>
      <c r="C1223" s="23" t="s">
        <v>1041</v>
      </c>
      <c r="D1223" s="43"/>
      <c r="E1223" s="59" t="str">
        <f>IF(SUM(E1224:E1226)&gt;0,1,"")</f>
        <v/>
      </c>
      <c r="F1223" s="60"/>
      <c r="G1223" s="61"/>
    </row>
    <row r="1224" spans="1:7" s="21" customFormat="1" ht="31">
      <c r="A1224" s="22"/>
      <c r="B1224" s="127">
        <v>64041.01</v>
      </c>
      <c r="C1224" s="159" t="s">
        <v>1432</v>
      </c>
      <c r="D1224" s="62" t="s">
        <v>147</v>
      </c>
      <c r="E1224" s="245"/>
      <c r="F1224" s="63"/>
      <c r="G1224" s="103">
        <f>E1224*F1224</f>
        <v>0</v>
      </c>
    </row>
    <row r="1225" spans="1:7" s="21" customFormat="1" ht="31">
      <c r="A1225" s="22"/>
      <c r="B1225" s="124">
        <v>64042.01</v>
      </c>
      <c r="C1225" s="156" t="s">
        <v>1433</v>
      </c>
      <c r="D1225" s="25" t="s">
        <v>147</v>
      </c>
      <c r="E1225" s="234"/>
      <c r="F1225" s="67"/>
      <c r="G1225" s="81">
        <f>E1225*F1225</f>
        <v>0</v>
      </c>
    </row>
    <row r="1226" spans="1:7" s="21" customFormat="1" ht="31.5" thickBot="1">
      <c r="A1226" s="22"/>
      <c r="B1226" s="125">
        <v>64043.01</v>
      </c>
      <c r="C1226" s="157" t="s">
        <v>1434</v>
      </c>
      <c r="D1226" s="104" t="s">
        <v>147</v>
      </c>
      <c r="E1226" s="194"/>
      <c r="F1226" s="105"/>
      <c r="G1226" s="106">
        <f>E1226*F1226</f>
        <v>0</v>
      </c>
    </row>
    <row r="1227" spans="1:7" s="21" customFormat="1" ht="16" thickBot="1">
      <c r="A1227" s="22"/>
      <c r="B1227" s="123"/>
      <c r="C1227" s="23" t="s">
        <v>1042</v>
      </c>
      <c r="D1227" s="43"/>
      <c r="E1227" s="59" t="str">
        <f>IF(SUM(E1228:E1230)&gt;0,1,"")</f>
        <v/>
      </c>
      <c r="F1227" s="60"/>
      <c r="G1227" s="61"/>
    </row>
    <row r="1228" spans="1:7" s="21" customFormat="1" ht="15.5">
      <c r="A1228" s="22"/>
      <c r="B1228" s="127">
        <v>64061.01</v>
      </c>
      <c r="C1228" s="159" t="s">
        <v>1435</v>
      </c>
      <c r="D1228" s="62" t="s">
        <v>147</v>
      </c>
      <c r="E1228" s="245"/>
      <c r="F1228" s="63"/>
      <c r="G1228" s="103">
        <f>E1228*F1228</f>
        <v>0</v>
      </c>
    </row>
    <row r="1229" spans="1:7" s="21" customFormat="1" ht="15.5">
      <c r="A1229" s="22"/>
      <c r="B1229" s="124">
        <v>64062.01</v>
      </c>
      <c r="C1229" s="156" t="s">
        <v>1436</v>
      </c>
      <c r="D1229" s="25" t="s">
        <v>147</v>
      </c>
      <c r="E1229" s="234"/>
      <c r="F1229" s="67"/>
      <c r="G1229" s="81">
        <f>E1229*F1229</f>
        <v>0</v>
      </c>
    </row>
    <row r="1230" spans="1:7" s="21" customFormat="1" ht="16" thickBot="1">
      <c r="A1230" s="22"/>
      <c r="B1230" s="125">
        <v>64063.01</v>
      </c>
      <c r="C1230" s="157" t="s">
        <v>1437</v>
      </c>
      <c r="D1230" s="104" t="s">
        <v>147</v>
      </c>
      <c r="E1230" s="194"/>
      <c r="F1230" s="105"/>
      <c r="G1230" s="106">
        <f>E1230*F1230</f>
        <v>0</v>
      </c>
    </row>
    <row r="1231" spans="1:7" s="21" customFormat="1" ht="16" thickBot="1">
      <c r="A1231" s="22"/>
      <c r="B1231" s="123"/>
      <c r="C1231" s="23" t="s">
        <v>1043</v>
      </c>
      <c r="D1231" s="43"/>
      <c r="E1231" s="59" t="str">
        <f>IF(SUM(E1232:E1233)&gt;0,1,"")</f>
        <v/>
      </c>
      <c r="F1231" s="60"/>
      <c r="G1231" s="61"/>
    </row>
    <row r="1232" spans="1:7" s="21" customFormat="1" ht="31">
      <c r="A1232" s="22"/>
      <c r="B1232" s="127">
        <v>64091.01</v>
      </c>
      <c r="C1232" s="159" t="s">
        <v>1438</v>
      </c>
      <c r="D1232" s="62" t="s">
        <v>147</v>
      </c>
      <c r="E1232" s="245"/>
      <c r="F1232" s="63"/>
      <c r="G1232" s="103">
        <f>E1232*F1232</f>
        <v>0</v>
      </c>
    </row>
    <row r="1233" spans="1:7" s="21" customFormat="1" ht="16" thickBot="1">
      <c r="A1233" s="22"/>
      <c r="B1233" s="125">
        <v>64092.01</v>
      </c>
      <c r="C1233" s="157" t="s">
        <v>251</v>
      </c>
      <c r="D1233" s="104" t="s">
        <v>147</v>
      </c>
      <c r="E1233" s="194"/>
      <c r="F1233" s="105"/>
      <c r="G1233" s="106">
        <f>E1233*F1233</f>
        <v>0</v>
      </c>
    </row>
    <row r="1234" spans="1:7" s="21" customFormat="1" ht="16" thickBot="1">
      <c r="A1234" s="22"/>
      <c r="B1234" s="123"/>
      <c r="C1234" s="23" t="s">
        <v>1044</v>
      </c>
      <c r="D1234" s="43"/>
      <c r="E1234" s="59" t="str">
        <f>IF(SUM(E1235:E1245)&gt;0,1,"")</f>
        <v/>
      </c>
      <c r="F1234" s="60"/>
      <c r="G1234" s="61"/>
    </row>
    <row r="1235" spans="1:7" s="21" customFormat="1" ht="16" thickBot="1">
      <c r="A1235" s="22"/>
      <c r="B1235" s="123"/>
      <c r="C1235" s="23" t="s">
        <v>1044</v>
      </c>
      <c r="D1235" s="43"/>
      <c r="E1235" s="59" t="str">
        <f>IF(SUM(E1236:E1242)&gt;0,1,"")</f>
        <v/>
      </c>
      <c r="F1235" s="60"/>
      <c r="G1235" s="61"/>
    </row>
    <row r="1236" spans="1:7" s="21" customFormat="1" ht="31">
      <c r="A1236" s="22"/>
      <c r="B1236" s="127">
        <v>64101.01</v>
      </c>
      <c r="C1236" s="159" t="s">
        <v>590</v>
      </c>
      <c r="D1236" s="62" t="s">
        <v>147</v>
      </c>
      <c r="E1236" s="245"/>
      <c r="F1236" s="63"/>
      <c r="G1236" s="103">
        <f t="shared" ref="G1236:G1242" si="62">E1236*F1236</f>
        <v>0</v>
      </c>
    </row>
    <row r="1237" spans="1:7" s="21" customFormat="1" ht="31">
      <c r="A1237" s="22"/>
      <c r="B1237" s="124">
        <v>64102.01</v>
      </c>
      <c r="C1237" s="156" t="s">
        <v>591</v>
      </c>
      <c r="D1237" s="25" t="s">
        <v>147</v>
      </c>
      <c r="E1237" s="234"/>
      <c r="F1237" s="67"/>
      <c r="G1237" s="81">
        <f t="shared" si="62"/>
        <v>0</v>
      </c>
    </row>
    <row r="1238" spans="1:7" s="21" customFormat="1" ht="31">
      <c r="A1238" s="22"/>
      <c r="B1238" s="124">
        <v>64103.01</v>
      </c>
      <c r="C1238" s="156" t="s">
        <v>592</v>
      </c>
      <c r="D1238" s="25" t="s">
        <v>147</v>
      </c>
      <c r="E1238" s="234"/>
      <c r="F1238" s="67"/>
      <c r="G1238" s="81">
        <f t="shared" si="62"/>
        <v>0</v>
      </c>
    </row>
    <row r="1239" spans="1:7" s="21" customFormat="1" ht="31">
      <c r="A1239" s="22"/>
      <c r="B1239" s="124">
        <v>64104.01</v>
      </c>
      <c r="C1239" s="156" t="s">
        <v>1439</v>
      </c>
      <c r="D1239" s="25" t="s">
        <v>147</v>
      </c>
      <c r="E1239" s="234"/>
      <c r="F1239" s="67"/>
      <c r="G1239" s="81">
        <f t="shared" si="62"/>
        <v>0</v>
      </c>
    </row>
    <row r="1240" spans="1:7" s="21" customFormat="1" ht="46.5">
      <c r="A1240" s="22"/>
      <c r="B1240" s="124">
        <v>64105.01</v>
      </c>
      <c r="C1240" s="156" t="s">
        <v>1440</v>
      </c>
      <c r="D1240" s="25" t="s">
        <v>147</v>
      </c>
      <c r="E1240" s="234"/>
      <c r="F1240" s="67"/>
      <c r="G1240" s="81">
        <f t="shared" si="62"/>
        <v>0</v>
      </c>
    </row>
    <row r="1241" spans="1:7" s="21" customFormat="1" ht="31">
      <c r="A1241" s="22"/>
      <c r="B1241" s="124">
        <v>64106.01</v>
      </c>
      <c r="C1241" s="156" t="s">
        <v>1441</v>
      </c>
      <c r="D1241" s="25" t="s">
        <v>147</v>
      </c>
      <c r="E1241" s="234"/>
      <c r="F1241" s="67"/>
      <c r="G1241" s="81">
        <f t="shared" si="62"/>
        <v>0</v>
      </c>
    </row>
    <row r="1242" spans="1:7" s="21" customFormat="1" ht="31.5" thickBot="1">
      <c r="A1242" s="22"/>
      <c r="B1242" s="125">
        <v>64107.01</v>
      </c>
      <c r="C1242" s="157" t="s">
        <v>1442</v>
      </c>
      <c r="D1242" s="104" t="s">
        <v>147</v>
      </c>
      <c r="E1242" s="194"/>
      <c r="F1242" s="105"/>
      <c r="G1242" s="106">
        <f t="shared" si="62"/>
        <v>0</v>
      </c>
    </row>
    <row r="1243" spans="1:7" s="21" customFormat="1" ht="16" thickBot="1">
      <c r="A1243" s="22"/>
      <c r="B1243" s="123"/>
      <c r="C1243" s="23" t="s">
        <v>1045</v>
      </c>
      <c r="D1243" s="43"/>
      <c r="E1243" s="59" t="str">
        <f>IF(SUM(E1244:E1245)&gt;0,1,"")</f>
        <v/>
      </c>
      <c r="F1243" s="60"/>
      <c r="G1243" s="61"/>
    </row>
    <row r="1244" spans="1:7" s="21" customFormat="1" ht="15.5">
      <c r="A1244" s="22"/>
      <c r="B1244" s="127">
        <v>64191.01</v>
      </c>
      <c r="C1244" s="159" t="s">
        <v>593</v>
      </c>
      <c r="D1244" s="62" t="s">
        <v>147</v>
      </c>
      <c r="E1244" s="245"/>
      <c r="F1244" s="63"/>
      <c r="G1244" s="103">
        <f>E1244*F1244</f>
        <v>0</v>
      </c>
    </row>
    <row r="1245" spans="1:7" s="21" customFormat="1" ht="16" thickBot="1">
      <c r="A1245" s="22"/>
      <c r="B1245" s="125">
        <v>64192.01</v>
      </c>
      <c r="C1245" s="157" t="s">
        <v>594</v>
      </c>
      <c r="D1245" s="104" t="s">
        <v>147</v>
      </c>
      <c r="E1245" s="194"/>
      <c r="F1245" s="105"/>
      <c r="G1245" s="106">
        <f>E1245*F1245</f>
        <v>0</v>
      </c>
    </row>
    <row r="1246" spans="1:7" s="21" customFormat="1" ht="16" thickBot="1">
      <c r="A1246" s="22"/>
      <c r="B1246" s="123"/>
      <c r="C1246" s="23" t="s">
        <v>1046</v>
      </c>
      <c r="D1246" s="43"/>
      <c r="E1246" s="59">
        <f>IF(SUM(E1247:E1254)&gt;0,1,"")</f>
        <v>1</v>
      </c>
      <c r="F1246" s="60"/>
      <c r="G1246" s="61"/>
    </row>
    <row r="1247" spans="1:7" s="21" customFormat="1" ht="16" thickBot="1">
      <c r="A1247" s="22"/>
      <c r="B1247" s="123"/>
      <c r="C1247" s="23" t="s">
        <v>1047</v>
      </c>
      <c r="D1247" s="43"/>
      <c r="E1247" s="59">
        <f>IF(SUM(E1248:E1251)&gt;0,1,"")</f>
        <v>1</v>
      </c>
      <c r="F1247" s="60"/>
      <c r="G1247" s="61"/>
    </row>
    <row r="1248" spans="1:7" s="21" customFormat="1" ht="15.5">
      <c r="A1248" s="22"/>
      <c r="B1248" s="127">
        <v>64201.01</v>
      </c>
      <c r="C1248" s="159" t="s">
        <v>304</v>
      </c>
      <c r="D1248" s="62" t="s">
        <v>147</v>
      </c>
      <c r="E1248" s="245">
        <v>1</v>
      </c>
      <c r="F1248" s="63"/>
      <c r="G1248" s="103">
        <f>E1248*F1248</f>
        <v>0</v>
      </c>
    </row>
    <row r="1249" spans="1:7" s="21" customFormat="1" ht="31">
      <c r="A1249" s="22"/>
      <c r="B1249" s="124">
        <v>64202.01</v>
      </c>
      <c r="C1249" s="156" t="s">
        <v>595</v>
      </c>
      <c r="D1249" s="25" t="s">
        <v>145</v>
      </c>
      <c r="E1249" s="234"/>
      <c r="F1249" s="67"/>
      <c r="G1249" s="81">
        <f>E1249*F1249</f>
        <v>0</v>
      </c>
    </row>
    <row r="1250" spans="1:7" s="21" customFormat="1" ht="15.5">
      <c r="A1250" s="22"/>
      <c r="B1250" s="124">
        <v>64203.01</v>
      </c>
      <c r="C1250" s="156" t="s">
        <v>305</v>
      </c>
      <c r="D1250" s="25" t="s">
        <v>147</v>
      </c>
      <c r="E1250" s="234">
        <v>1</v>
      </c>
      <c r="F1250" s="67"/>
      <c r="G1250" s="81">
        <f>E1250*F1250</f>
        <v>0</v>
      </c>
    </row>
    <row r="1251" spans="1:7" s="21" customFormat="1" ht="31.5" thickBot="1">
      <c r="A1251" s="22"/>
      <c r="B1251" s="125">
        <v>64204.01</v>
      </c>
      <c r="C1251" s="157" t="s">
        <v>556</v>
      </c>
      <c r="D1251" s="104" t="s">
        <v>147</v>
      </c>
      <c r="E1251" s="194"/>
      <c r="F1251" s="105"/>
      <c r="G1251" s="106">
        <f>E1251*F1251</f>
        <v>0</v>
      </c>
    </row>
    <row r="1252" spans="1:7" s="21" customFormat="1" ht="16" thickBot="1">
      <c r="A1252" s="22"/>
      <c r="B1252" s="123"/>
      <c r="C1252" s="23" t="s">
        <v>1048</v>
      </c>
      <c r="D1252" s="43"/>
      <c r="E1252" s="59" t="str">
        <f>IF(SUM(E1253:E1254)&gt;0,1,"")</f>
        <v/>
      </c>
      <c r="F1252" s="60"/>
      <c r="G1252" s="61"/>
    </row>
    <row r="1253" spans="1:7" s="21" customFormat="1" ht="46.5">
      <c r="A1253" s="22"/>
      <c r="B1253" s="127">
        <v>64251.01</v>
      </c>
      <c r="C1253" s="159" t="s">
        <v>1443</v>
      </c>
      <c r="D1253" s="62" t="s">
        <v>147</v>
      </c>
      <c r="E1253" s="245"/>
      <c r="F1253" s="63"/>
      <c r="G1253" s="103">
        <f>E1253*F1253</f>
        <v>0</v>
      </c>
    </row>
    <row r="1254" spans="1:7" s="21" customFormat="1" ht="16" thickBot="1">
      <c r="A1254" s="22"/>
      <c r="B1254" s="125">
        <v>64252.01</v>
      </c>
      <c r="C1254" s="157" t="s">
        <v>243</v>
      </c>
      <c r="D1254" s="104" t="s">
        <v>147</v>
      </c>
      <c r="E1254" s="194"/>
      <c r="F1254" s="105"/>
      <c r="G1254" s="106">
        <f>E1254*F1254</f>
        <v>0</v>
      </c>
    </row>
    <row r="1255" spans="1:7" s="21" customFormat="1" ht="16" thickBot="1">
      <c r="A1255" s="22"/>
      <c r="B1255" s="123"/>
      <c r="C1255" s="23" t="s">
        <v>1049</v>
      </c>
      <c r="D1255" s="43"/>
      <c r="E1255" s="59" t="str">
        <f>IF(SUM(E1256:E1261)&gt;0,1,"")</f>
        <v/>
      </c>
      <c r="F1255" s="60"/>
      <c r="G1255" s="61"/>
    </row>
    <row r="1256" spans="1:7" s="21" customFormat="1" ht="31">
      <c r="A1256" s="22"/>
      <c r="B1256" s="127">
        <v>64301.01</v>
      </c>
      <c r="C1256" s="159" t="s">
        <v>1444</v>
      </c>
      <c r="D1256" s="62" t="s">
        <v>147</v>
      </c>
      <c r="E1256" s="245"/>
      <c r="F1256" s="63"/>
      <c r="G1256" s="103">
        <f t="shared" ref="G1256:G1261" si="63">E1256*F1256</f>
        <v>0</v>
      </c>
    </row>
    <row r="1257" spans="1:7" s="21" customFormat="1" ht="46.5">
      <c r="A1257" s="22"/>
      <c r="B1257" s="124">
        <v>64302.01</v>
      </c>
      <c r="C1257" s="156" t="s">
        <v>1445</v>
      </c>
      <c r="D1257" s="25" t="s">
        <v>147</v>
      </c>
      <c r="E1257" s="234"/>
      <c r="F1257" s="67"/>
      <c r="G1257" s="81">
        <f t="shared" si="63"/>
        <v>0</v>
      </c>
    </row>
    <row r="1258" spans="1:7" s="21" customFormat="1" ht="31">
      <c r="A1258" s="22"/>
      <c r="B1258" s="124">
        <v>64303.01</v>
      </c>
      <c r="C1258" s="156" t="s">
        <v>596</v>
      </c>
      <c r="D1258" s="25" t="s">
        <v>147</v>
      </c>
      <c r="E1258" s="234"/>
      <c r="F1258" s="67"/>
      <c r="G1258" s="81">
        <f t="shared" si="63"/>
        <v>0</v>
      </c>
    </row>
    <row r="1259" spans="1:7" s="21" customFormat="1" ht="31">
      <c r="A1259" s="22"/>
      <c r="B1259" s="124">
        <v>64304.01</v>
      </c>
      <c r="C1259" s="156" t="s">
        <v>597</v>
      </c>
      <c r="D1259" s="25" t="s">
        <v>147</v>
      </c>
      <c r="E1259" s="234"/>
      <c r="F1259" s="67"/>
      <c r="G1259" s="81">
        <f t="shared" si="63"/>
        <v>0</v>
      </c>
    </row>
    <row r="1260" spans="1:7" s="21" customFormat="1" ht="31">
      <c r="A1260" s="22"/>
      <c r="B1260" s="124">
        <v>64305.01</v>
      </c>
      <c r="C1260" s="156" t="s">
        <v>1446</v>
      </c>
      <c r="D1260" s="25" t="s">
        <v>147</v>
      </c>
      <c r="E1260" s="234"/>
      <c r="F1260" s="67"/>
      <c r="G1260" s="81">
        <f t="shared" si="63"/>
        <v>0</v>
      </c>
    </row>
    <row r="1261" spans="1:7" s="21" customFormat="1" ht="47" thickBot="1">
      <c r="A1261" s="22"/>
      <c r="B1261" s="125">
        <v>64306.01</v>
      </c>
      <c r="C1261" s="157" t="s">
        <v>1447</v>
      </c>
      <c r="D1261" s="104" t="s">
        <v>147</v>
      </c>
      <c r="E1261" s="194"/>
      <c r="F1261" s="105"/>
      <c r="G1261" s="106">
        <f t="shared" si="63"/>
        <v>0</v>
      </c>
    </row>
    <row r="1262" spans="1:7" s="21" customFormat="1" ht="16" thickBot="1">
      <c r="A1262" s="22"/>
      <c r="B1262" s="123"/>
      <c r="C1262" s="23" t="s">
        <v>1050</v>
      </c>
      <c r="D1262" s="43"/>
      <c r="E1262" s="59" t="str">
        <f>IF(SUM(E1263:E1269)&gt;0,1,"")</f>
        <v/>
      </c>
      <c r="F1262" s="60"/>
      <c r="G1262" s="61"/>
    </row>
    <row r="1263" spans="1:7" s="21" customFormat="1" ht="16" thickBot="1">
      <c r="A1263" s="22"/>
      <c r="B1263" s="123"/>
      <c r="C1263" s="23" t="s">
        <v>1051</v>
      </c>
      <c r="D1263" s="43"/>
      <c r="E1263" s="59" t="str">
        <f>IF(SUM(E1264:E1267)&gt;0,1,"")</f>
        <v/>
      </c>
      <c r="F1263" s="60"/>
      <c r="G1263" s="61"/>
    </row>
    <row r="1264" spans="1:7" s="21" customFormat="1" ht="15.5">
      <c r="A1264" s="22"/>
      <c r="B1264" s="127">
        <v>64601.01</v>
      </c>
      <c r="C1264" s="159" t="s">
        <v>1448</v>
      </c>
      <c r="D1264" s="62" t="s">
        <v>147</v>
      </c>
      <c r="E1264" s="245"/>
      <c r="F1264" s="63"/>
      <c r="G1264" s="103">
        <f>E1264*F1264</f>
        <v>0</v>
      </c>
    </row>
    <row r="1265" spans="1:7" s="21" customFormat="1" ht="31">
      <c r="A1265" s="22"/>
      <c r="B1265" s="124">
        <v>64602.01</v>
      </c>
      <c r="C1265" s="156" t="s">
        <v>1449</v>
      </c>
      <c r="D1265" s="25" t="s">
        <v>147</v>
      </c>
      <c r="E1265" s="234"/>
      <c r="F1265" s="67"/>
      <c r="G1265" s="81">
        <f>E1265*F1265</f>
        <v>0</v>
      </c>
    </row>
    <row r="1266" spans="1:7" s="21" customFormat="1" ht="15.5">
      <c r="A1266" s="22"/>
      <c r="B1266" s="124">
        <v>64603.01</v>
      </c>
      <c r="C1266" s="156" t="s">
        <v>1450</v>
      </c>
      <c r="D1266" s="25" t="s">
        <v>147</v>
      </c>
      <c r="E1266" s="234"/>
      <c r="F1266" s="67"/>
      <c r="G1266" s="81">
        <f>E1266*F1266</f>
        <v>0</v>
      </c>
    </row>
    <row r="1267" spans="1:7" s="21" customFormat="1" ht="31.5" thickBot="1">
      <c r="A1267" s="22"/>
      <c r="B1267" s="125">
        <v>64604.01</v>
      </c>
      <c r="C1267" s="157" t="s">
        <v>1451</v>
      </c>
      <c r="D1267" s="104" t="s">
        <v>147</v>
      </c>
      <c r="E1267" s="194"/>
      <c r="F1267" s="105"/>
      <c r="G1267" s="106">
        <f>E1267*F1267</f>
        <v>0</v>
      </c>
    </row>
    <row r="1268" spans="1:7" s="21" customFormat="1" ht="16" thickBot="1">
      <c r="A1268" s="22"/>
      <c r="B1268" s="123"/>
      <c r="C1268" s="23" t="s">
        <v>1052</v>
      </c>
      <c r="D1268" s="43"/>
      <c r="E1268" s="59" t="str">
        <f>IF(SUM(E1269)&gt;0,1,"")</f>
        <v/>
      </c>
      <c r="F1268" s="60"/>
      <c r="G1268" s="61"/>
    </row>
    <row r="1269" spans="1:7" s="21" customFormat="1" ht="16" thickBot="1">
      <c r="A1269" s="22"/>
      <c r="B1269" s="126">
        <v>64631.01</v>
      </c>
      <c r="C1269" s="158" t="s">
        <v>1452</v>
      </c>
      <c r="D1269" s="109" t="s">
        <v>147</v>
      </c>
      <c r="E1269" s="246"/>
      <c r="F1269" s="110"/>
      <c r="G1269" s="111">
        <f>E1269*F1269</f>
        <v>0</v>
      </c>
    </row>
    <row r="1270" spans="1:7" s="21" customFormat="1" ht="16" thickBot="1">
      <c r="A1270" s="22"/>
      <c r="B1270" s="123"/>
      <c r="C1270" s="23" t="s">
        <v>1053</v>
      </c>
      <c r="D1270" s="43"/>
      <c r="E1270" s="59" t="str">
        <f>IF(SUM(E1271:E1298)&gt;0,1,"")</f>
        <v/>
      </c>
      <c r="F1270" s="60"/>
      <c r="G1270" s="61"/>
    </row>
    <row r="1271" spans="1:7" s="21" customFormat="1" ht="16" thickBot="1">
      <c r="A1271" s="22"/>
      <c r="B1271" s="123"/>
      <c r="C1271" s="23" t="s">
        <v>1054</v>
      </c>
      <c r="D1271" s="43"/>
      <c r="E1271" s="59" t="str">
        <f>IF(SUM(E1272)&gt;0,1,"")</f>
        <v/>
      </c>
      <c r="F1271" s="60"/>
      <c r="G1271" s="61"/>
    </row>
    <row r="1272" spans="1:7" s="21" customFormat="1" ht="16" thickBot="1">
      <c r="A1272" s="22"/>
      <c r="B1272" s="126">
        <v>64691.01</v>
      </c>
      <c r="C1272" s="158" t="s">
        <v>598</v>
      </c>
      <c r="D1272" s="109" t="s">
        <v>147</v>
      </c>
      <c r="E1272" s="246"/>
      <c r="F1272" s="110"/>
      <c r="G1272" s="111">
        <f>E1272*F1272</f>
        <v>0</v>
      </c>
    </row>
    <row r="1273" spans="1:7" s="21" customFormat="1" ht="16" thickBot="1">
      <c r="A1273" s="22"/>
      <c r="B1273" s="123"/>
      <c r="C1273" s="23" t="s">
        <v>1055</v>
      </c>
      <c r="D1273" s="43"/>
      <c r="E1273" s="59" t="str">
        <f>IF(SUM(E1274:E1288)&gt;0,1,"")</f>
        <v/>
      </c>
      <c r="F1273" s="60"/>
      <c r="G1273" s="61"/>
    </row>
    <row r="1274" spans="1:7" s="21" customFormat="1" ht="46.5">
      <c r="A1274" s="22"/>
      <c r="B1274" s="127">
        <v>64701.01</v>
      </c>
      <c r="C1274" s="159" t="s">
        <v>1453</v>
      </c>
      <c r="D1274" s="62" t="s">
        <v>147</v>
      </c>
      <c r="E1274" s="245"/>
      <c r="F1274" s="63"/>
      <c r="G1274" s="103">
        <f t="shared" ref="G1274:G1288" si="64">E1274*F1274</f>
        <v>0</v>
      </c>
    </row>
    <row r="1275" spans="1:7" s="21" customFormat="1" ht="46.5">
      <c r="A1275" s="22"/>
      <c r="B1275" s="124">
        <v>64702.01</v>
      </c>
      <c r="C1275" s="156" t="s">
        <v>1454</v>
      </c>
      <c r="D1275" s="25" t="s">
        <v>147</v>
      </c>
      <c r="E1275" s="234"/>
      <c r="F1275" s="67"/>
      <c r="G1275" s="81">
        <f t="shared" si="64"/>
        <v>0</v>
      </c>
    </row>
    <row r="1276" spans="1:7" s="21" customFormat="1" ht="46.5">
      <c r="A1276" s="22"/>
      <c r="B1276" s="124">
        <v>64703.01</v>
      </c>
      <c r="C1276" s="156" t="s">
        <v>1455</v>
      </c>
      <c r="D1276" s="25" t="s">
        <v>147</v>
      </c>
      <c r="E1276" s="234"/>
      <c r="F1276" s="67"/>
      <c r="G1276" s="81">
        <f t="shared" si="64"/>
        <v>0</v>
      </c>
    </row>
    <row r="1277" spans="1:7" s="21" customFormat="1" ht="62">
      <c r="A1277" s="22"/>
      <c r="B1277" s="124">
        <v>64704.01</v>
      </c>
      <c r="C1277" s="156" t="s">
        <v>599</v>
      </c>
      <c r="D1277" s="25" t="s">
        <v>147</v>
      </c>
      <c r="E1277" s="234"/>
      <c r="F1277" s="67"/>
      <c r="G1277" s="81">
        <f t="shared" si="64"/>
        <v>0</v>
      </c>
    </row>
    <row r="1278" spans="1:7" s="21" customFormat="1" ht="62">
      <c r="A1278" s="22"/>
      <c r="B1278" s="124">
        <v>64705.01</v>
      </c>
      <c r="C1278" s="156" t="s">
        <v>600</v>
      </c>
      <c r="D1278" s="25" t="s">
        <v>147</v>
      </c>
      <c r="E1278" s="234"/>
      <c r="F1278" s="67"/>
      <c r="G1278" s="81">
        <f t="shared" si="64"/>
        <v>0</v>
      </c>
    </row>
    <row r="1279" spans="1:7" s="21" customFormat="1" ht="62">
      <c r="A1279" s="22"/>
      <c r="B1279" s="124">
        <v>64706.01</v>
      </c>
      <c r="C1279" s="156" t="s">
        <v>601</v>
      </c>
      <c r="D1279" s="25" t="s">
        <v>147</v>
      </c>
      <c r="E1279" s="234"/>
      <c r="F1279" s="67"/>
      <c r="G1279" s="81">
        <f t="shared" si="64"/>
        <v>0</v>
      </c>
    </row>
    <row r="1280" spans="1:7" s="21" customFormat="1" ht="15.5">
      <c r="A1280" s="22"/>
      <c r="B1280" s="124">
        <v>64707.01</v>
      </c>
      <c r="C1280" s="156" t="s">
        <v>602</v>
      </c>
      <c r="D1280" s="25" t="s">
        <v>147</v>
      </c>
      <c r="E1280" s="234"/>
      <c r="F1280" s="67"/>
      <c r="G1280" s="81">
        <f t="shared" si="64"/>
        <v>0</v>
      </c>
    </row>
    <row r="1281" spans="1:7" s="21" customFormat="1" ht="31">
      <c r="A1281" s="22"/>
      <c r="B1281" s="124">
        <v>64708.01</v>
      </c>
      <c r="C1281" s="156" t="s">
        <v>603</v>
      </c>
      <c r="D1281" s="25" t="s">
        <v>147</v>
      </c>
      <c r="E1281" s="234"/>
      <c r="F1281" s="67"/>
      <c r="G1281" s="81">
        <f t="shared" si="64"/>
        <v>0</v>
      </c>
    </row>
    <row r="1282" spans="1:7" s="21" customFormat="1" ht="31">
      <c r="A1282" s="22"/>
      <c r="B1282" s="124">
        <v>64709.01</v>
      </c>
      <c r="C1282" s="156" t="s">
        <v>604</v>
      </c>
      <c r="D1282" s="25" t="s">
        <v>147</v>
      </c>
      <c r="E1282" s="234"/>
      <c r="F1282" s="67"/>
      <c r="G1282" s="81">
        <f t="shared" si="64"/>
        <v>0</v>
      </c>
    </row>
    <row r="1283" spans="1:7" s="21" customFormat="1" ht="31">
      <c r="A1283" s="22"/>
      <c r="B1283" s="124">
        <v>64710.01</v>
      </c>
      <c r="C1283" s="156" t="s">
        <v>1456</v>
      </c>
      <c r="D1283" s="25" t="s">
        <v>147</v>
      </c>
      <c r="E1283" s="234"/>
      <c r="F1283" s="67"/>
      <c r="G1283" s="81">
        <f t="shared" si="64"/>
        <v>0</v>
      </c>
    </row>
    <row r="1284" spans="1:7" s="21" customFormat="1" ht="31">
      <c r="A1284" s="22"/>
      <c r="B1284" s="124">
        <v>64711.01</v>
      </c>
      <c r="C1284" s="156" t="s">
        <v>1457</v>
      </c>
      <c r="D1284" s="25" t="s">
        <v>147</v>
      </c>
      <c r="E1284" s="234"/>
      <c r="F1284" s="67"/>
      <c r="G1284" s="81">
        <f t="shared" si="64"/>
        <v>0</v>
      </c>
    </row>
    <row r="1285" spans="1:7" s="21" customFormat="1" ht="31">
      <c r="A1285" s="22"/>
      <c r="B1285" s="124">
        <v>64712.01</v>
      </c>
      <c r="C1285" s="156" t="s">
        <v>1458</v>
      </c>
      <c r="D1285" s="25" t="s">
        <v>147</v>
      </c>
      <c r="E1285" s="234"/>
      <c r="F1285" s="67"/>
      <c r="G1285" s="81">
        <f t="shared" si="64"/>
        <v>0</v>
      </c>
    </row>
    <row r="1286" spans="1:7" s="21" customFormat="1" ht="46.5">
      <c r="A1286" s="22"/>
      <c r="B1286" s="124">
        <v>64713.01</v>
      </c>
      <c r="C1286" s="156" t="s">
        <v>605</v>
      </c>
      <c r="D1286" s="25" t="s">
        <v>147</v>
      </c>
      <c r="E1286" s="234"/>
      <c r="F1286" s="67"/>
      <c r="G1286" s="81">
        <f t="shared" si="64"/>
        <v>0</v>
      </c>
    </row>
    <row r="1287" spans="1:7" s="21" customFormat="1" ht="46.5">
      <c r="A1287" s="22"/>
      <c r="B1287" s="124">
        <v>64714.01</v>
      </c>
      <c r="C1287" s="156" t="s">
        <v>606</v>
      </c>
      <c r="D1287" s="25" t="s">
        <v>147</v>
      </c>
      <c r="E1287" s="234"/>
      <c r="F1287" s="67"/>
      <c r="G1287" s="81">
        <f t="shared" si="64"/>
        <v>0</v>
      </c>
    </row>
    <row r="1288" spans="1:7" s="21" customFormat="1" ht="47" thickBot="1">
      <c r="A1288" s="22"/>
      <c r="B1288" s="125">
        <v>64715.01</v>
      </c>
      <c r="C1288" s="157" t="s">
        <v>607</v>
      </c>
      <c r="D1288" s="104" t="s">
        <v>147</v>
      </c>
      <c r="E1288" s="194"/>
      <c r="F1288" s="105"/>
      <c r="G1288" s="106">
        <f t="shared" si="64"/>
        <v>0</v>
      </c>
    </row>
    <row r="1289" spans="1:7" s="21" customFormat="1" ht="16" thickBot="1">
      <c r="A1289" s="22"/>
      <c r="B1289" s="123"/>
      <c r="C1289" s="23" t="s">
        <v>1056</v>
      </c>
      <c r="D1289" s="43"/>
      <c r="E1289" s="59" t="str">
        <f>IF(SUM(E1290:E1295)&gt;0,1,"")</f>
        <v/>
      </c>
      <c r="F1289" s="60"/>
      <c r="G1289" s="61"/>
    </row>
    <row r="1290" spans="1:7" s="21" customFormat="1" ht="46.5">
      <c r="A1290" s="22"/>
      <c r="B1290" s="127">
        <v>64751.01</v>
      </c>
      <c r="C1290" s="159" t="s">
        <v>608</v>
      </c>
      <c r="D1290" s="62" t="s">
        <v>147</v>
      </c>
      <c r="E1290" s="245"/>
      <c r="F1290" s="63"/>
      <c r="G1290" s="103">
        <f t="shared" ref="G1290:G1295" si="65">E1290*F1290</f>
        <v>0</v>
      </c>
    </row>
    <row r="1291" spans="1:7" s="21" customFormat="1" ht="46.5">
      <c r="A1291" s="22"/>
      <c r="B1291" s="124">
        <v>64752.01</v>
      </c>
      <c r="C1291" s="156" t="s">
        <v>609</v>
      </c>
      <c r="D1291" s="25" t="s">
        <v>147</v>
      </c>
      <c r="E1291" s="234"/>
      <c r="F1291" s="67"/>
      <c r="G1291" s="81">
        <f t="shared" si="65"/>
        <v>0</v>
      </c>
    </row>
    <row r="1292" spans="1:7" s="21" customFormat="1" ht="46.5">
      <c r="A1292" s="22"/>
      <c r="B1292" s="124">
        <v>64753.01</v>
      </c>
      <c r="C1292" s="156" t="s">
        <v>610</v>
      </c>
      <c r="D1292" s="25" t="s">
        <v>147</v>
      </c>
      <c r="E1292" s="234"/>
      <c r="F1292" s="67"/>
      <c r="G1292" s="81">
        <f t="shared" si="65"/>
        <v>0</v>
      </c>
    </row>
    <row r="1293" spans="1:7" s="21" customFormat="1" ht="46.5">
      <c r="A1293" s="22"/>
      <c r="B1293" s="124">
        <v>64754.01</v>
      </c>
      <c r="C1293" s="156" t="s">
        <v>611</v>
      </c>
      <c r="D1293" s="25" t="s">
        <v>147</v>
      </c>
      <c r="E1293" s="234"/>
      <c r="F1293" s="67"/>
      <c r="G1293" s="81">
        <f t="shared" si="65"/>
        <v>0</v>
      </c>
    </row>
    <row r="1294" spans="1:7" s="21" customFormat="1" ht="46.5">
      <c r="A1294" s="22"/>
      <c r="B1294" s="124">
        <v>64755.01</v>
      </c>
      <c r="C1294" s="156" t="s">
        <v>612</v>
      </c>
      <c r="D1294" s="25" t="s">
        <v>147</v>
      </c>
      <c r="E1294" s="234"/>
      <c r="F1294" s="67"/>
      <c r="G1294" s="81">
        <f t="shared" si="65"/>
        <v>0</v>
      </c>
    </row>
    <row r="1295" spans="1:7" s="21" customFormat="1" ht="47" thickBot="1">
      <c r="A1295" s="22"/>
      <c r="B1295" s="125">
        <v>64756.01</v>
      </c>
      <c r="C1295" s="157" t="s">
        <v>613</v>
      </c>
      <c r="D1295" s="104" t="s">
        <v>147</v>
      </c>
      <c r="E1295" s="194"/>
      <c r="F1295" s="105"/>
      <c r="G1295" s="106">
        <f t="shared" si="65"/>
        <v>0</v>
      </c>
    </row>
    <row r="1296" spans="1:7" s="21" customFormat="1" ht="31.5" thickBot="1">
      <c r="A1296" s="22"/>
      <c r="B1296" s="123"/>
      <c r="C1296" s="23" t="s">
        <v>1057</v>
      </c>
      <c r="D1296" s="43"/>
      <c r="E1296" s="59" t="str">
        <f>IF(SUM(E1297:E1298)&gt;0,1,"")</f>
        <v/>
      </c>
      <c r="F1296" s="60"/>
      <c r="G1296" s="61"/>
    </row>
    <row r="1297" spans="1:7" s="21" customFormat="1" ht="15.5">
      <c r="A1297" s="22"/>
      <c r="B1297" s="127">
        <v>64791.01</v>
      </c>
      <c r="C1297" s="159" t="s">
        <v>614</v>
      </c>
      <c r="D1297" s="62" t="s">
        <v>147</v>
      </c>
      <c r="E1297" s="245"/>
      <c r="F1297" s="63"/>
      <c r="G1297" s="103">
        <f>E1297*F1297</f>
        <v>0</v>
      </c>
    </row>
    <row r="1298" spans="1:7" s="21" customFormat="1" ht="16" thickBot="1">
      <c r="A1298" s="22"/>
      <c r="B1298" s="125">
        <v>64792.01</v>
      </c>
      <c r="C1298" s="157" t="s">
        <v>615</v>
      </c>
      <c r="D1298" s="104" t="s">
        <v>147</v>
      </c>
      <c r="E1298" s="194"/>
      <c r="F1298" s="105"/>
      <c r="G1298" s="106">
        <f>E1298*F1298</f>
        <v>0</v>
      </c>
    </row>
    <row r="1299" spans="1:7" s="21" customFormat="1" ht="16" thickBot="1">
      <c r="A1299" s="22"/>
      <c r="B1299" s="123"/>
      <c r="C1299" s="23" t="s">
        <v>1058</v>
      </c>
      <c r="D1299" s="43"/>
      <c r="E1299" s="59" t="str">
        <f>IF(SUM(E1300:E1324)&gt;0,1,"")</f>
        <v/>
      </c>
      <c r="F1299" s="60"/>
      <c r="G1299" s="61"/>
    </row>
    <row r="1300" spans="1:7" s="21" customFormat="1" ht="16" thickBot="1">
      <c r="A1300" s="22"/>
      <c r="B1300" s="123"/>
      <c r="C1300" s="23" t="s">
        <v>1059</v>
      </c>
      <c r="D1300" s="43"/>
      <c r="E1300" s="59" t="str">
        <f>IF(SUM(E1301:E1306)&gt;0,1,"")</f>
        <v/>
      </c>
      <c r="F1300" s="60"/>
      <c r="G1300" s="61"/>
    </row>
    <row r="1301" spans="1:7" s="21" customFormat="1" ht="31">
      <c r="A1301" s="22"/>
      <c r="B1301" s="127">
        <v>64801.01</v>
      </c>
      <c r="C1301" s="159" t="s">
        <v>1616</v>
      </c>
      <c r="D1301" s="62" t="s">
        <v>146</v>
      </c>
      <c r="E1301" s="245"/>
      <c r="F1301" s="63"/>
      <c r="G1301" s="103">
        <f t="shared" ref="G1301:G1306" si="66">E1301*F1301</f>
        <v>0</v>
      </c>
    </row>
    <row r="1302" spans="1:7" s="21" customFormat="1" ht="31">
      <c r="A1302" s="22"/>
      <c r="B1302" s="124">
        <v>64802.01</v>
      </c>
      <c r="C1302" s="156" t="s">
        <v>1617</v>
      </c>
      <c r="D1302" s="25" t="s">
        <v>146</v>
      </c>
      <c r="E1302" s="234"/>
      <c r="F1302" s="67"/>
      <c r="G1302" s="81">
        <f t="shared" si="66"/>
        <v>0</v>
      </c>
    </row>
    <row r="1303" spans="1:7" s="21" customFormat="1" ht="31">
      <c r="A1303" s="22"/>
      <c r="B1303" s="124">
        <v>64803.01</v>
      </c>
      <c r="C1303" s="156" t="s">
        <v>1618</v>
      </c>
      <c r="D1303" s="25" t="s">
        <v>146</v>
      </c>
      <c r="E1303" s="234"/>
      <c r="F1303" s="67"/>
      <c r="G1303" s="81">
        <f t="shared" si="66"/>
        <v>0</v>
      </c>
    </row>
    <row r="1304" spans="1:7" s="21" customFormat="1" ht="31">
      <c r="A1304" s="22"/>
      <c r="B1304" s="124">
        <v>64804.01</v>
      </c>
      <c r="C1304" s="156" t="s">
        <v>1619</v>
      </c>
      <c r="D1304" s="25" t="s">
        <v>146</v>
      </c>
      <c r="E1304" s="234"/>
      <c r="F1304" s="67"/>
      <c r="G1304" s="81">
        <f t="shared" si="66"/>
        <v>0</v>
      </c>
    </row>
    <row r="1305" spans="1:7" s="21" customFormat="1" ht="31">
      <c r="A1305" s="22"/>
      <c r="B1305" s="124">
        <v>64805.01</v>
      </c>
      <c r="C1305" s="156" t="s">
        <v>1620</v>
      </c>
      <c r="D1305" s="25" t="s">
        <v>146</v>
      </c>
      <c r="E1305" s="234"/>
      <c r="F1305" s="67"/>
      <c r="G1305" s="81">
        <f t="shared" si="66"/>
        <v>0</v>
      </c>
    </row>
    <row r="1306" spans="1:7" s="21" customFormat="1" ht="31.5" thickBot="1">
      <c r="A1306" s="22"/>
      <c r="B1306" s="125">
        <v>64806.01</v>
      </c>
      <c r="C1306" s="157" t="s">
        <v>1621</v>
      </c>
      <c r="D1306" s="104" t="s">
        <v>146</v>
      </c>
      <c r="E1306" s="194"/>
      <c r="F1306" s="105"/>
      <c r="G1306" s="106">
        <f t="shared" si="66"/>
        <v>0</v>
      </c>
    </row>
    <row r="1307" spans="1:7" s="21" customFormat="1" ht="16" thickBot="1">
      <c r="A1307" s="22"/>
      <c r="B1307" s="123"/>
      <c r="C1307" s="23" t="s">
        <v>1060</v>
      </c>
      <c r="D1307" s="43"/>
      <c r="E1307" s="59" t="str">
        <f>IF(SUM(E1308:E1313)&gt;0,1,"")</f>
        <v/>
      </c>
      <c r="F1307" s="60"/>
      <c r="G1307" s="61"/>
    </row>
    <row r="1308" spans="1:7" s="21" customFormat="1" ht="31">
      <c r="A1308" s="22"/>
      <c r="B1308" s="127">
        <v>64831.01</v>
      </c>
      <c r="C1308" s="159" t="s">
        <v>1459</v>
      </c>
      <c r="D1308" s="62" t="s">
        <v>147</v>
      </c>
      <c r="E1308" s="245"/>
      <c r="F1308" s="63"/>
      <c r="G1308" s="103">
        <f t="shared" ref="G1308:G1313" si="67">E1308*F1308</f>
        <v>0</v>
      </c>
    </row>
    <row r="1309" spans="1:7" s="21" customFormat="1" ht="31">
      <c r="A1309" s="22"/>
      <c r="B1309" s="124">
        <v>64832.01</v>
      </c>
      <c r="C1309" s="156" t="s">
        <v>1460</v>
      </c>
      <c r="D1309" s="25" t="s">
        <v>147</v>
      </c>
      <c r="E1309" s="234"/>
      <c r="F1309" s="67"/>
      <c r="G1309" s="81">
        <f t="shared" si="67"/>
        <v>0</v>
      </c>
    </row>
    <row r="1310" spans="1:7" s="21" customFormat="1" ht="31">
      <c r="A1310" s="22"/>
      <c r="B1310" s="124">
        <v>64833.01</v>
      </c>
      <c r="C1310" s="156" t="s">
        <v>1461</v>
      </c>
      <c r="D1310" s="25" t="s">
        <v>147</v>
      </c>
      <c r="E1310" s="234"/>
      <c r="F1310" s="67"/>
      <c r="G1310" s="81">
        <f t="shared" si="67"/>
        <v>0</v>
      </c>
    </row>
    <row r="1311" spans="1:7" s="21" customFormat="1" ht="46.5">
      <c r="A1311" s="22"/>
      <c r="B1311" s="124">
        <v>64834.01</v>
      </c>
      <c r="C1311" s="156" t="s">
        <v>1462</v>
      </c>
      <c r="D1311" s="25" t="s">
        <v>147</v>
      </c>
      <c r="E1311" s="234"/>
      <c r="F1311" s="67"/>
      <c r="G1311" s="81">
        <f t="shared" si="67"/>
        <v>0</v>
      </c>
    </row>
    <row r="1312" spans="1:7" s="21" customFormat="1" ht="46.5">
      <c r="A1312" s="22"/>
      <c r="B1312" s="124">
        <v>64835.01</v>
      </c>
      <c r="C1312" s="156" t="s">
        <v>1463</v>
      </c>
      <c r="D1312" s="25" t="s">
        <v>147</v>
      </c>
      <c r="E1312" s="234"/>
      <c r="F1312" s="67"/>
      <c r="G1312" s="81">
        <f t="shared" si="67"/>
        <v>0</v>
      </c>
    </row>
    <row r="1313" spans="1:7" s="21" customFormat="1" ht="47" thickBot="1">
      <c r="A1313" s="22"/>
      <c r="B1313" s="125">
        <v>64836.01</v>
      </c>
      <c r="C1313" s="157" t="s">
        <v>1464</v>
      </c>
      <c r="D1313" s="104" t="s">
        <v>147</v>
      </c>
      <c r="E1313" s="194"/>
      <c r="F1313" s="105"/>
      <c r="G1313" s="106">
        <f t="shared" si="67"/>
        <v>0</v>
      </c>
    </row>
    <row r="1314" spans="1:7" s="21" customFormat="1" ht="16" thickBot="1">
      <c r="A1314" s="22"/>
      <c r="B1314" s="123"/>
      <c r="C1314" s="23" t="s">
        <v>1061</v>
      </c>
      <c r="D1314" s="43"/>
      <c r="E1314" s="59" t="str">
        <f>IF(SUM(E1315:E1317)&gt;0,1,"")</f>
        <v/>
      </c>
      <c r="F1314" s="60"/>
      <c r="G1314" s="61"/>
    </row>
    <row r="1315" spans="1:7" s="21" customFormat="1" ht="31">
      <c r="A1315" s="22"/>
      <c r="B1315" s="127">
        <v>64861.01</v>
      </c>
      <c r="C1315" s="159" t="s">
        <v>1465</v>
      </c>
      <c r="D1315" s="62" t="s">
        <v>147</v>
      </c>
      <c r="E1315" s="245"/>
      <c r="F1315" s="63"/>
      <c r="G1315" s="103">
        <f>E1315*F1315</f>
        <v>0</v>
      </c>
    </row>
    <row r="1316" spans="1:7" s="21" customFormat="1" ht="31">
      <c r="A1316" s="22"/>
      <c r="B1316" s="124">
        <v>64862.01</v>
      </c>
      <c r="C1316" s="156" t="s">
        <v>1466</v>
      </c>
      <c r="D1316" s="25" t="s">
        <v>147</v>
      </c>
      <c r="E1316" s="234"/>
      <c r="F1316" s="67"/>
      <c r="G1316" s="81">
        <f>E1316*F1316</f>
        <v>0</v>
      </c>
    </row>
    <row r="1317" spans="1:7" s="21" customFormat="1" ht="47" thickBot="1">
      <c r="A1317" s="22"/>
      <c r="B1317" s="125">
        <v>64863.01</v>
      </c>
      <c r="C1317" s="157" t="s">
        <v>1467</v>
      </c>
      <c r="D1317" s="104" t="s">
        <v>147</v>
      </c>
      <c r="E1317" s="194"/>
      <c r="F1317" s="105"/>
      <c r="G1317" s="106">
        <f>E1317*F1317</f>
        <v>0</v>
      </c>
    </row>
    <row r="1318" spans="1:7" s="21" customFormat="1" ht="16" thickBot="1">
      <c r="A1318" s="22"/>
      <c r="B1318" s="123"/>
      <c r="C1318" s="23" t="s">
        <v>1062</v>
      </c>
      <c r="D1318" s="43"/>
      <c r="E1318" s="59" t="str">
        <f>IF(SUM(E1319:E1322)&gt;0,1,"")</f>
        <v/>
      </c>
      <c r="F1318" s="60"/>
      <c r="G1318" s="61"/>
    </row>
    <row r="1319" spans="1:7" s="21" customFormat="1" ht="31">
      <c r="A1319" s="22"/>
      <c r="B1319" s="127">
        <v>64891.01</v>
      </c>
      <c r="C1319" s="159" t="s">
        <v>1468</v>
      </c>
      <c r="D1319" s="62" t="s">
        <v>147</v>
      </c>
      <c r="E1319" s="245"/>
      <c r="F1319" s="63"/>
      <c r="G1319" s="103">
        <f>E1319*F1319</f>
        <v>0</v>
      </c>
    </row>
    <row r="1320" spans="1:7" s="21" customFormat="1" ht="31">
      <c r="A1320" s="22"/>
      <c r="B1320" s="124">
        <v>64892.01</v>
      </c>
      <c r="C1320" s="156" t="s">
        <v>1469</v>
      </c>
      <c r="D1320" s="25" t="s">
        <v>147</v>
      </c>
      <c r="E1320" s="234"/>
      <c r="F1320" s="67"/>
      <c r="G1320" s="81">
        <f>E1320*F1320</f>
        <v>0</v>
      </c>
    </row>
    <row r="1321" spans="1:7" s="21" customFormat="1" ht="46.5">
      <c r="A1321" s="22"/>
      <c r="B1321" s="124">
        <v>64893.01</v>
      </c>
      <c r="C1321" s="156" t="s">
        <v>1470</v>
      </c>
      <c r="D1321" s="25" t="s">
        <v>147</v>
      </c>
      <c r="E1321" s="234"/>
      <c r="F1321" s="67"/>
      <c r="G1321" s="81">
        <f>E1321*F1321</f>
        <v>0</v>
      </c>
    </row>
    <row r="1322" spans="1:7" s="21" customFormat="1" ht="31.5" thickBot="1">
      <c r="A1322" s="22"/>
      <c r="B1322" s="125">
        <v>64894.01</v>
      </c>
      <c r="C1322" s="157" t="s">
        <v>1471</v>
      </c>
      <c r="D1322" s="104" t="s">
        <v>147</v>
      </c>
      <c r="E1322" s="194"/>
      <c r="F1322" s="105"/>
      <c r="G1322" s="106">
        <f>E1322*F1322</f>
        <v>0</v>
      </c>
    </row>
    <row r="1323" spans="1:7" s="21" customFormat="1" ht="31.5" thickBot="1">
      <c r="A1323" s="22"/>
      <c r="B1323" s="123"/>
      <c r="C1323" s="23" t="s">
        <v>1063</v>
      </c>
      <c r="D1323" s="43"/>
      <c r="E1323" s="59" t="str">
        <f>IF(SUM(E1324)&gt;0,1,"")</f>
        <v/>
      </c>
      <c r="F1323" s="60"/>
      <c r="G1323" s="61"/>
    </row>
    <row r="1324" spans="1:7" s="21" customFormat="1" ht="31.5" thickBot="1">
      <c r="A1324" s="22"/>
      <c r="B1324" s="126">
        <v>64991.01</v>
      </c>
      <c r="C1324" s="158" t="s">
        <v>250</v>
      </c>
      <c r="D1324" s="109" t="s">
        <v>147</v>
      </c>
      <c r="E1324" s="246"/>
      <c r="F1324" s="110"/>
      <c r="G1324" s="111">
        <f>E1324*F1324</f>
        <v>0</v>
      </c>
    </row>
    <row r="1325" spans="1:7" s="21" customFormat="1" ht="16" thickBot="1">
      <c r="A1325" s="22"/>
      <c r="B1325" s="123"/>
      <c r="C1325" s="23" t="s">
        <v>1064</v>
      </c>
      <c r="D1325" s="43"/>
      <c r="E1325" s="59" t="str">
        <f>IF(SUM(E1326:E1334)&gt;0,1,"")</f>
        <v/>
      </c>
      <c r="F1325" s="60"/>
      <c r="G1325" s="61"/>
    </row>
    <row r="1326" spans="1:7" s="21" customFormat="1" ht="16" thickBot="1">
      <c r="A1326" s="22"/>
      <c r="B1326" s="123"/>
      <c r="C1326" s="23" t="s">
        <v>1065</v>
      </c>
      <c r="D1326" s="43"/>
      <c r="E1326" s="59" t="str">
        <f>IF(SUM(E1327:E1331)&gt;0,1,"")</f>
        <v/>
      </c>
      <c r="F1326" s="60"/>
      <c r="G1326" s="61"/>
    </row>
    <row r="1327" spans="1:7" s="21" customFormat="1" ht="15.5">
      <c r="A1327" s="22"/>
      <c r="B1327" s="127">
        <v>66001.009999999995</v>
      </c>
      <c r="C1327" s="159" t="s">
        <v>235</v>
      </c>
      <c r="D1327" s="62" t="s">
        <v>147</v>
      </c>
      <c r="E1327" s="245"/>
      <c r="F1327" s="63"/>
      <c r="G1327" s="103">
        <f>E1327*F1327</f>
        <v>0</v>
      </c>
    </row>
    <row r="1328" spans="1:7" s="21" customFormat="1" ht="46.5">
      <c r="A1328" s="22"/>
      <c r="B1328" s="124">
        <v>66002.009999999995</v>
      </c>
      <c r="C1328" s="156" t="s">
        <v>1472</v>
      </c>
      <c r="D1328" s="25" t="s">
        <v>147</v>
      </c>
      <c r="E1328" s="234"/>
      <c r="F1328" s="67"/>
      <c r="G1328" s="81">
        <f>E1328*F1328</f>
        <v>0</v>
      </c>
    </row>
    <row r="1329" spans="1:7" s="21" customFormat="1" ht="46.5">
      <c r="A1329" s="22"/>
      <c r="B1329" s="124">
        <v>66003.009999999995</v>
      </c>
      <c r="C1329" s="156" t="s">
        <v>1473</v>
      </c>
      <c r="D1329" s="25" t="s">
        <v>147</v>
      </c>
      <c r="E1329" s="234"/>
      <c r="F1329" s="67"/>
      <c r="G1329" s="81">
        <f>E1329*F1329</f>
        <v>0</v>
      </c>
    </row>
    <row r="1330" spans="1:7" s="21" customFormat="1" ht="46.5">
      <c r="A1330" s="22"/>
      <c r="B1330" s="124">
        <v>66004.009999999995</v>
      </c>
      <c r="C1330" s="156" t="s">
        <v>1474</v>
      </c>
      <c r="D1330" s="25" t="s">
        <v>147</v>
      </c>
      <c r="E1330" s="234"/>
      <c r="F1330" s="67"/>
      <c r="G1330" s="81">
        <f>E1330*F1330</f>
        <v>0</v>
      </c>
    </row>
    <row r="1331" spans="1:7" s="21" customFormat="1" ht="47" thickBot="1">
      <c r="A1331" s="22"/>
      <c r="B1331" s="125">
        <v>66005.009999999995</v>
      </c>
      <c r="C1331" s="157" t="s">
        <v>616</v>
      </c>
      <c r="D1331" s="104" t="s">
        <v>233</v>
      </c>
      <c r="E1331" s="194"/>
      <c r="F1331" s="105"/>
      <c r="G1331" s="106">
        <f>E1331*F1331</f>
        <v>0</v>
      </c>
    </row>
    <row r="1332" spans="1:7" s="21" customFormat="1" ht="16" thickBot="1">
      <c r="A1332" s="22"/>
      <c r="B1332" s="123"/>
      <c r="C1332" s="23" t="s">
        <v>1066</v>
      </c>
      <c r="D1332" s="43"/>
      <c r="E1332" s="59" t="str">
        <f>IF(SUM(E1333:E1334)&gt;0,1,"")</f>
        <v/>
      </c>
      <c r="F1332" s="60"/>
      <c r="G1332" s="61"/>
    </row>
    <row r="1333" spans="1:7" s="21" customFormat="1" ht="31">
      <c r="A1333" s="22"/>
      <c r="B1333" s="136">
        <v>66091.009999999995</v>
      </c>
      <c r="C1333" s="159" t="s">
        <v>617</v>
      </c>
      <c r="D1333" s="62" t="s">
        <v>147</v>
      </c>
      <c r="E1333" s="245"/>
      <c r="F1333" s="63"/>
      <c r="G1333" s="103">
        <f>E1333*F1333</f>
        <v>0</v>
      </c>
    </row>
    <row r="1334" spans="1:7" s="21" customFormat="1" ht="16" thickBot="1">
      <c r="A1334" s="22"/>
      <c r="B1334" s="135">
        <v>66092.009999999995</v>
      </c>
      <c r="C1334" s="157" t="s">
        <v>618</v>
      </c>
      <c r="D1334" s="104" t="s">
        <v>147</v>
      </c>
      <c r="E1334" s="194"/>
      <c r="F1334" s="105"/>
      <c r="G1334" s="106">
        <f>E1334*F1334</f>
        <v>0</v>
      </c>
    </row>
    <row r="1335" spans="1:7" s="21" customFormat="1" ht="16" thickBot="1">
      <c r="A1335" s="22"/>
      <c r="B1335" s="123"/>
      <c r="C1335" s="23" t="s">
        <v>1067</v>
      </c>
      <c r="D1335" s="43"/>
      <c r="E1335" s="59" t="str">
        <f>IF(SUM(E1336:E1338)&gt;0,1,"")</f>
        <v/>
      </c>
      <c r="F1335" s="60"/>
      <c r="G1335" s="61"/>
    </row>
    <row r="1336" spans="1:7" s="21" customFormat="1" ht="15.5">
      <c r="A1336" s="22"/>
      <c r="B1336" s="136">
        <v>66601.009999999995</v>
      </c>
      <c r="C1336" s="159" t="s">
        <v>619</v>
      </c>
      <c r="D1336" s="62" t="s">
        <v>147</v>
      </c>
      <c r="E1336" s="245"/>
      <c r="F1336" s="63"/>
      <c r="G1336" s="103">
        <f>E1336*F1336</f>
        <v>0</v>
      </c>
    </row>
    <row r="1337" spans="1:7" s="21" customFormat="1" ht="15.5">
      <c r="A1337" s="22"/>
      <c r="B1337" s="134">
        <v>66602.009999999995</v>
      </c>
      <c r="C1337" s="156" t="s">
        <v>620</v>
      </c>
      <c r="D1337" s="25" t="s">
        <v>147</v>
      </c>
      <c r="E1337" s="234"/>
      <c r="F1337" s="67"/>
      <c r="G1337" s="81">
        <f>E1337*F1337</f>
        <v>0</v>
      </c>
    </row>
    <row r="1338" spans="1:7" s="21" customFormat="1" ht="16" thickBot="1">
      <c r="A1338" s="22"/>
      <c r="B1338" s="135">
        <v>66603.009999999995</v>
      </c>
      <c r="C1338" s="157" t="s">
        <v>621</v>
      </c>
      <c r="D1338" s="104" t="s">
        <v>147</v>
      </c>
      <c r="E1338" s="194"/>
      <c r="F1338" s="105"/>
      <c r="G1338" s="106">
        <f>E1338*F1338</f>
        <v>0</v>
      </c>
    </row>
    <row r="1339" spans="1:7" s="21" customFormat="1" ht="16" thickBot="1">
      <c r="A1339" s="22"/>
      <c r="B1339" s="123"/>
      <c r="C1339" s="23" t="s">
        <v>1068</v>
      </c>
      <c r="D1339" s="43"/>
      <c r="E1339" s="59">
        <f>IF(SUM(E1340:E1358)&gt;0,1,"")</f>
        <v>1</v>
      </c>
      <c r="F1339" s="60"/>
      <c r="G1339" s="61"/>
    </row>
    <row r="1340" spans="1:7" s="21" customFormat="1" ht="16" thickBot="1">
      <c r="A1340" s="22"/>
      <c r="B1340" s="123"/>
      <c r="C1340" s="23" t="s">
        <v>1068</v>
      </c>
      <c r="D1340" s="43"/>
      <c r="E1340" s="59">
        <f>IF(SUM(E1341:E1355)&gt;0,1,"")</f>
        <v>1</v>
      </c>
      <c r="F1340" s="60"/>
      <c r="G1340" s="61"/>
    </row>
    <row r="1341" spans="1:7" s="21" customFormat="1" ht="31.5" thickBot="1">
      <c r="A1341" s="22"/>
      <c r="B1341" s="136">
        <v>67101.009999999995</v>
      </c>
      <c r="C1341" s="159" t="s">
        <v>1752</v>
      </c>
      <c r="D1341" s="62" t="s">
        <v>146</v>
      </c>
      <c r="E1341" s="245">
        <v>648</v>
      </c>
      <c r="F1341" s="294"/>
      <c r="G1341" s="103">
        <f>E1341*F1341</f>
        <v>0</v>
      </c>
    </row>
    <row r="1342" spans="1:7" s="21" customFormat="1" ht="31.5" thickBot="1">
      <c r="A1342" s="22"/>
      <c r="B1342" s="136">
        <v>67101.02</v>
      </c>
      <c r="C1342" s="159" t="s">
        <v>1925</v>
      </c>
      <c r="D1342" s="24" t="s">
        <v>146</v>
      </c>
      <c r="E1342" s="247">
        <v>146</v>
      </c>
      <c r="F1342" s="295"/>
      <c r="G1342" s="117"/>
    </row>
    <row r="1343" spans="1:7" s="21" customFormat="1" ht="31">
      <c r="A1343" s="22"/>
      <c r="B1343" s="136">
        <v>67101.03</v>
      </c>
      <c r="C1343" s="159" t="s">
        <v>1926</v>
      </c>
      <c r="D1343" s="24" t="s">
        <v>146</v>
      </c>
      <c r="E1343" s="247">
        <v>8</v>
      </c>
      <c r="F1343" s="295"/>
      <c r="G1343" s="117"/>
    </row>
    <row r="1344" spans="1:7" s="21" customFormat="1" ht="31">
      <c r="A1344" s="22"/>
      <c r="B1344" s="134">
        <v>67102.009999999995</v>
      </c>
      <c r="C1344" s="156" t="s">
        <v>1475</v>
      </c>
      <c r="D1344" s="25" t="s">
        <v>146</v>
      </c>
      <c r="E1344" s="234"/>
      <c r="F1344" s="67"/>
      <c r="G1344" s="81">
        <f t="shared" ref="G1344:G1353" si="68">E1344*F1344</f>
        <v>0</v>
      </c>
    </row>
    <row r="1345" spans="1:7" s="21" customFormat="1" ht="31">
      <c r="A1345" s="22"/>
      <c r="B1345" s="134">
        <v>67103.009999999995</v>
      </c>
      <c r="C1345" s="156" t="s">
        <v>1476</v>
      </c>
      <c r="D1345" s="25" t="s">
        <v>146</v>
      </c>
      <c r="E1345" s="234"/>
      <c r="F1345" s="67"/>
      <c r="G1345" s="81">
        <f t="shared" si="68"/>
        <v>0</v>
      </c>
    </row>
    <row r="1346" spans="1:7" s="21" customFormat="1" ht="31">
      <c r="A1346" s="22"/>
      <c r="B1346" s="134">
        <v>67104.009999999995</v>
      </c>
      <c r="C1346" s="156" t="s">
        <v>1477</v>
      </c>
      <c r="D1346" s="25" t="s">
        <v>146</v>
      </c>
      <c r="E1346" s="234"/>
      <c r="F1346" s="67"/>
      <c r="G1346" s="81">
        <f t="shared" si="68"/>
        <v>0</v>
      </c>
    </row>
    <row r="1347" spans="1:7" s="21" customFormat="1" ht="15.5">
      <c r="A1347" s="22"/>
      <c r="B1347" s="134">
        <v>67105.009999999995</v>
      </c>
      <c r="C1347" s="156" t="s">
        <v>1753</v>
      </c>
      <c r="D1347" s="25" t="s">
        <v>147</v>
      </c>
      <c r="E1347" s="234"/>
      <c r="F1347" s="67"/>
      <c r="G1347" s="81">
        <f t="shared" si="68"/>
        <v>0</v>
      </c>
    </row>
    <row r="1348" spans="1:7" s="21" customFormat="1" ht="15.5">
      <c r="A1348" s="22"/>
      <c r="B1348" s="134">
        <v>67106.009999999995</v>
      </c>
      <c r="C1348" s="156" t="s">
        <v>622</v>
      </c>
      <c r="D1348" s="25" t="s">
        <v>147</v>
      </c>
      <c r="E1348" s="234"/>
      <c r="F1348" s="67"/>
      <c r="G1348" s="81">
        <f t="shared" si="68"/>
        <v>0</v>
      </c>
    </row>
    <row r="1349" spans="1:7" s="21" customFormat="1" ht="15.5">
      <c r="A1349" s="22"/>
      <c r="B1349" s="134">
        <v>67107.009999999995</v>
      </c>
      <c r="C1349" s="156" t="s">
        <v>1478</v>
      </c>
      <c r="D1349" s="25" t="s">
        <v>147</v>
      </c>
      <c r="E1349" s="234"/>
      <c r="F1349" s="67"/>
      <c r="G1349" s="81">
        <f t="shared" si="68"/>
        <v>0</v>
      </c>
    </row>
    <row r="1350" spans="1:7" s="21" customFormat="1" ht="15.5">
      <c r="A1350" s="22"/>
      <c r="B1350" s="134">
        <v>67108.009999999995</v>
      </c>
      <c r="C1350" s="156" t="s">
        <v>623</v>
      </c>
      <c r="D1350" s="25" t="s">
        <v>147</v>
      </c>
      <c r="E1350" s="234"/>
      <c r="F1350" s="67"/>
      <c r="G1350" s="81">
        <f t="shared" si="68"/>
        <v>0</v>
      </c>
    </row>
    <row r="1351" spans="1:7" s="21" customFormat="1" ht="31">
      <c r="A1351" s="22"/>
      <c r="B1351" s="134">
        <v>67109.009999999995</v>
      </c>
      <c r="C1351" s="156" t="s">
        <v>1842</v>
      </c>
      <c r="D1351" s="25" t="s">
        <v>146</v>
      </c>
      <c r="E1351" s="234">
        <f>E1341+E1342+E1343</f>
        <v>802</v>
      </c>
      <c r="F1351" s="67"/>
      <c r="G1351" s="81">
        <f t="shared" si="68"/>
        <v>0</v>
      </c>
    </row>
    <row r="1352" spans="1:7" s="21" customFormat="1" ht="15.5">
      <c r="A1352" s="22"/>
      <c r="B1352" s="134">
        <v>67110.009999999995</v>
      </c>
      <c r="C1352" s="156" t="s">
        <v>1479</v>
      </c>
      <c r="D1352" s="25" t="s">
        <v>146</v>
      </c>
      <c r="E1352" s="234"/>
      <c r="F1352" s="67"/>
      <c r="G1352" s="81">
        <f t="shared" si="68"/>
        <v>0</v>
      </c>
    </row>
    <row r="1353" spans="1:7" s="21" customFormat="1" ht="15.5">
      <c r="A1353" s="22"/>
      <c r="B1353" s="134">
        <v>67111.009999999995</v>
      </c>
      <c r="C1353" s="156" t="s">
        <v>1480</v>
      </c>
      <c r="D1353" s="25" t="s">
        <v>146</v>
      </c>
      <c r="E1353" s="234"/>
      <c r="F1353" s="67"/>
      <c r="G1353" s="81">
        <f t="shared" si="68"/>
        <v>0</v>
      </c>
    </row>
    <row r="1354" spans="1:7" s="21" customFormat="1" ht="15.5">
      <c r="A1354" s="22"/>
      <c r="B1354" s="134">
        <v>67112.009999999995</v>
      </c>
      <c r="C1354" s="156" t="s">
        <v>1754</v>
      </c>
      <c r="D1354" s="25" t="s">
        <v>146</v>
      </c>
      <c r="E1354" s="234"/>
      <c r="F1354" s="67"/>
      <c r="G1354" s="81">
        <f>E1351*F1354</f>
        <v>0</v>
      </c>
    </row>
    <row r="1355" spans="1:7" s="21" customFormat="1" ht="16" thickBot="1">
      <c r="A1355" s="22"/>
      <c r="B1355" s="135">
        <v>67113.009999999995</v>
      </c>
      <c r="C1355" s="157" t="s">
        <v>1482</v>
      </c>
      <c r="D1355" s="104" t="s">
        <v>146</v>
      </c>
      <c r="E1355" s="194"/>
      <c r="F1355" s="105"/>
      <c r="G1355" s="106">
        <f>E1355*F1355</f>
        <v>0</v>
      </c>
    </row>
    <row r="1356" spans="1:7" s="21" customFormat="1" ht="16" thickBot="1">
      <c r="A1356" s="22"/>
      <c r="B1356" s="123"/>
      <c r="C1356" s="23" t="s">
        <v>1069</v>
      </c>
      <c r="D1356" s="43"/>
      <c r="E1356" s="59" t="str">
        <f>IF(SUM(E1357:E1358)&gt;0,1,"")</f>
        <v/>
      </c>
      <c r="F1356" s="60"/>
      <c r="G1356" s="61"/>
    </row>
    <row r="1357" spans="1:7" s="21" customFormat="1" ht="15.5">
      <c r="A1357" s="22"/>
      <c r="B1357" s="136">
        <v>67191.009999999995</v>
      </c>
      <c r="C1357" s="159" t="s">
        <v>96</v>
      </c>
      <c r="D1357" s="62" t="s">
        <v>146</v>
      </c>
      <c r="E1357" s="245"/>
      <c r="F1357" s="63"/>
      <c r="G1357" s="103">
        <f>E1357*F1357</f>
        <v>0</v>
      </c>
    </row>
    <row r="1358" spans="1:7" s="21" customFormat="1" ht="16" thickBot="1">
      <c r="A1358" s="22"/>
      <c r="B1358" s="135">
        <v>67192.009999999995</v>
      </c>
      <c r="C1358" s="157" t="s">
        <v>144</v>
      </c>
      <c r="D1358" s="104" t="s">
        <v>146</v>
      </c>
      <c r="E1358" s="194"/>
      <c r="F1358" s="105"/>
      <c r="G1358" s="106">
        <f>E1358*F1358</f>
        <v>0</v>
      </c>
    </row>
    <row r="1359" spans="1:7" s="21" customFormat="1" ht="31.5" thickBot="1">
      <c r="A1359" s="22"/>
      <c r="B1359" s="123"/>
      <c r="C1359" s="23" t="s">
        <v>1070</v>
      </c>
      <c r="D1359" s="43"/>
      <c r="E1359" s="59" t="str">
        <f>IF(SUM(E1360:E1371)&gt;0,1,"")</f>
        <v/>
      </c>
      <c r="F1359" s="60"/>
      <c r="G1359" s="61"/>
    </row>
    <row r="1360" spans="1:7" s="21" customFormat="1" ht="16" thickBot="1">
      <c r="A1360" s="22"/>
      <c r="B1360" s="123"/>
      <c r="C1360" s="23" t="s">
        <v>1071</v>
      </c>
      <c r="D1360" s="43"/>
      <c r="E1360" s="59" t="str">
        <f>IF(SUM(E1361:E1368)&gt;0,1,"")</f>
        <v/>
      </c>
      <c r="F1360" s="60"/>
      <c r="G1360" s="61"/>
    </row>
    <row r="1361" spans="1:7" s="21" customFormat="1" ht="31">
      <c r="A1361" s="22"/>
      <c r="B1361" s="136">
        <v>67201.009999999995</v>
      </c>
      <c r="C1361" s="159" t="s">
        <v>1483</v>
      </c>
      <c r="D1361" s="62" t="s">
        <v>146</v>
      </c>
      <c r="E1361" s="245"/>
      <c r="F1361" s="63"/>
      <c r="G1361" s="103">
        <f t="shared" ref="G1361:G1368" si="69">E1361*F1361</f>
        <v>0</v>
      </c>
    </row>
    <row r="1362" spans="1:7" s="21" customFormat="1" ht="31">
      <c r="A1362" s="22"/>
      <c r="B1362" s="134">
        <v>67202.009999999995</v>
      </c>
      <c r="C1362" s="156" t="s">
        <v>1484</v>
      </c>
      <c r="D1362" s="25" t="s">
        <v>146</v>
      </c>
      <c r="E1362" s="234"/>
      <c r="F1362" s="67"/>
      <c r="G1362" s="81">
        <f t="shared" si="69"/>
        <v>0</v>
      </c>
    </row>
    <row r="1363" spans="1:7" s="21" customFormat="1" ht="15.5">
      <c r="A1363" s="22"/>
      <c r="B1363" s="134">
        <v>67203.009999999995</v>
      </c>
      <c r="C1363" s="156" t="s">
        <v>1485</v>
      </c>
      <c r="D1363" s="25" t="s">
        <v>147</v>
      </c>
      <c r="E1363" s="234"/>
      <c r="F1363" s="67"/>
      <c r="G1363" s="81">
        <f t="shared" si="69"/>
        <v>0</v>
      </c>
    </row>
    <row r="1364" spans="1:7" s="21" customFormat="1" ht="15.5">
      <c r="A1364" s="22"/>
      <c r="B1364" s="134">
        <v>67204.009999999995</v>
      </c>
      <c r="C1364" s="156" t="s">
        <v>1486</v>
      </c>
      <c r="D1364" s="25" t="s">
        <v>146</v>
      </c>
      <c r="E1364" s="234"/>
      <c r="F1364" s="67"/>
      <c r="G1364" s="81">
        <f t="shared" si="69"/>
        <v>0</v>
      </c>
    </row>
    <row r="1365" spans="1:7" s="21" customFormat="1" ht="15.5">
      <c r="A1365" s="22"/>
      <c r="B1365" s="134">
        <v>67205.009999999995</v>
      </c>
      <c r="C1365" s="156" t="s">
        <v>1481</v>
      </c>
      <c r="D1365" s="25" t="s">
        <v>146</v>
      </c>
      <c r="E1365" s="234"/>
      <c r="F1365" s="67"/>
      <c r="G1365" s="81">
        <f t="shared" si="69"/>
        <v>0</v>
      </c>
    </row>
    <row r="1366" spans="1:7" s="21" customFormat="1" ht="31">
      <c r="A1366" s="22"/>
      <c r="B1366" s="134">
        <v>67206.009999999995</v>
      </c>
      <c r="C1366" s="156" t="s">
        <v>1487</v>
      </c>
      <c r="D1366" s="25" t="s">
        <v>147</v>
      </c>
      <c r="E1366" s="234"/>
      <c r="F1366" s="67"/>
      <c r="G1366" s="81">
        <f t="shared" si="69"/>
        <v>0</v>
      </c>
    </row>
    <row r="1367" spans="1:7" s="21" customFormat="1" ht="46.5">
      <c r="A1367" s="22"/>
      <c r="B1367" s="134">
        <v>67207.009999999995</v>
      </c>
      <c r="C1367" s="156" t="s">
        <v>1488</v>
      </c>
      <c r="D1367" s="25" t="s">
        <v>147</v>
      </c>
      <c r="E1367" s="234"/>
      <c r="F1367" s="67"/>
      <c r="G1367" s="81">
        <f t="shared" si="69"/>
        <v>0</v>
      </c>
    </row>
    <row r="1368" spans="1:7" s="21" customFormat="1" ht="31.5" thickBot="1">
      <c r="A1368" s="22"/>
      <c r="B1368" s="135">
        <v>67208.009999999995</v>
      </c>
      <c r="C1368" s="157" t="s">
        <v>1489</v>
      </c>
      <c r="D1368" s="104" t="s">
        <v>147</v>
      </c>
      <c r="E1368" s="194"/>
      <c r="F1368" s="105"/>
      <c r="G1368" s="106">
        <f t="shared" si="69"/>
        <v>0</v>
      </c>
    </row>
    <row r="1369" spans="1:7" s="21" customFormat="1" ht="16" thickBot="1">
      <c r="A1369" s="22"/>
      <c r="B1369" s="123"/>
      <c r="C1369" s="23" t="s">
        <v>1072</v>
      </c>
      <c r="D1369" s="43"/>
      <c r="E1369" s="59" t="str">
        <f>IF(SUM(E1370:E1371)&gt;0,1,"")</f>
        <v/>
      </c>
      <c r="F1369" s="60"/>
      <c r="G1369" s="61"/>
    </row>
    <row r="1370" spans="1:7" s="21" customFormat="1" ht="15.5">
      <c r="A1370" s="22"/>
      <c r="B1370" s="136">
        <v>67291.009999999995</v>
      </c>
      <c r="C1370" s="159" t="s">
        <v>624</v>
      </c>
      <c r="D1370" s="62" t="s">
        <v>147</v>
      </c>
      <c r="E1370" s="245"/>
      <c r="F1370" s="63"/>
      <c r="G1370" s="103">
        <f>E1370*F1370</f>
        <v>0</v>
      </c>
    </row>
    <row r="1371" spans="1:7" s="21" customFormat="1" ht="16" thickBot="1">
      <c r="A1371" s="22"/>
      <c r="B1371" s="135">
        <v>67292.009999999995</v>
      </c>
      <c r="C1371" s="157" t="s">
        <v>625</v>
      </c>
      <c r="D1371" s="104" t="s">
        <v>146</v>
      </c>
      <c r="E1371" s="194"/>
      <c r="F1371" s="105"/>
      <c r="G1371" s="106">
        <f>E1371*F1371</f>
        <v>0</v>
      </c>
    </row>
    <row r="1372" spans="1:7" s="21" customFormat="1" ht="16" thickBot="1">
      <c r="A1372" s="22"/>
      <c r="B1372" s="123"/>
      <c r="C1372" s="23" t="s">
        <v>1073</v>
      </c>
      <c r="D1372" s="43"/>
      <c r="E1372" s="59" t="str">
        <f>IF(SUM(E1373:E1376)&gt;0,1,"")</f>
        <v/>
      </c>
      <c r="F1372" s="60"/>
      <c r="G1372" s="61"/>
    </row>
    <row r="1373" spans="1:7" s="21" customFormat="1" ht="16" thickBot="1">
      <c r="A1373" s="22"/>
      <c r="B1373" s="123"/>
      <c r="C1373" s="23" t="s">
        <v>1074</v>
      </c>
      <c r="D1373" s="43"/>
      <c r="E1373" s="59" t="str">
        <f>IF(SUM(E1374:E1376)&gt;0,1,"")</f>
        <v/>
      </c>
      <c r="F1373" s="60"/>
      <c r="G1373" s="61"/>
    </row>
    <row r="1374" spans="1:7" s="21" customFormat="1" ht="15.5">
      <c r="A1374" s="22"/>
      <c r="B1374" s="136">
        <v>67401.009999999995</v>
      </c>
      <c r="C1374" s="159" t="s">
        <v>626</v>
      </c>
      <c r="D1374" s="62" t="s">
        <v>147</v>
      </c>
      <c r="E1374" s="245"/>
      <c r="F1374" s="63"/>
      <c r="G1374" s="103">
        <f>E1374*F1374</f>
        <v>0</v>
      </c>
    </row>
    <row r="1375" spans="1:7" s="21" customFormat="1" ht="15.5">
      <c r="A1375" s="22"/>
      <c r="B1375" s="134">
        <v>67402.009999999995</v>
      </c>
      <c r="C1375" s="156" t="s">
        <v>627</v>
      </c>
      <c r="D1375" s="25" t="s">
        <v>147</v>
      </c>
      <c r="E1375" s="234"/>
      <c r="F1375" s="67"/>
      <c r="G1375" s="81">
        <f>E1375*F1375</f>
        <v>0</v>
      </c>
    </row>
    <row r="1376" spans="1:7" s="21" customFormat="1" ht="16" thickBot="1">
      <c r="A1376" s="22"/>
      <c r="B1376" s="135">
        <v>67403.009999999995</v>
      </c>
      <c r="C1376" s="157" t="s">
        <v>628</v>
      </c>
      <c r="D1376" s="104" t="s">
        <v>147</v>
      </c>
      <c r="E1376" s="194"/>
      <c r="F1376" s="105"/>
      <c r="G1376" s="106">
        <f>E1376*F1376</f>
        <v>0</v>
      </c>
    </row>
    <row r="1377" spans="1:7" s="21" customFormat="1" ht="16" thickBot="1">
      <c r="A1377" s="22"/>
      <c r="B1377" s="123"/>
      <c r="C1377" s="23" t="s">
        <v>1078</v>
      </c>
      <c r="D1377" s="43"/>
      <c r="E1377" s="59" t="str">
        <f>IF(SUM(E1378:E1401)&gt;0,1,"")</f>
        <v/>
      </c>
      <c r="F1377" s="60"/>
      <c r="G1377" s="61"/>
    </row>
    <row r="1378" spans="1:7" s="21" customFormat="1" ht="16" thickBot="1">
      <c r="A1378" s="22"/>
      <c r="B1378" s="123"/>
      <c r="C1378" s="23" t="s">
        <v>1075</v>
      </c>
      <c r="D1378" s="43"/>
      <c r="E1378" s="59" t="str">
        <f>IF(SUM(E1379:E1382)&gt;0,1,"")</f>
        <v/>
      </c>
      <c r="F1378" s="60"/>
      <c r="G1378" s="61"/>
    </row>
    <row r="1379" spans="1:7" s="21" customFormat="1" ht="93">
      <c r="A1379" s="22"/>
      <c r="B1379" s="136">
        <v>67501.009999999995</v>
      </c>
      <c r="C1379" s="159" t="s">
        <v>1490</v>
      </c>
      <c r="D1379" s="62" t="s">
        <v>147</v>
      </c>
      <c r="E1379" s="245"/>
      <c r="F1379" s="63"/>
      <c r="G1379" s="103">
        <f>E1379*F1379</f>
        <v>0</v>
      </c>
    </row>
    <row r="1380" spans="1:7" s="21" customFormat="1" ht="77.5">
      <c r="A1380" s="22"/>
      <c r="B1380" s="134">
        <v>67502.009999999995</v>
      </c>
      <c r="C1380" s="156" t="s">
        <v>1491</v>
      </c>
      <c r="D1380" s="25" t="s">
        <v>147</v>
      </c>
      <c r="E1380" s="234"/>
      <c r="F1380" s="67"/>
      <c r="G1380" s="81">
        <f>E1380*F1380</f>
        <v>0</v>
      </c>
    </row>
    <row r="1381" spans="1:7" s="21" customFormat="1" ht="46.5">
      <c r="A1381" s="22"/>
      <c r="B1381" s="134">
        <v>67503.009999999995</v>
      </c>
      <c r="C1381" s="156" t="s">
        <v>1492</v>
      </c>
      <c r="D1381" s="25" t="s">
        <v>147</v>
      </c>
      <c r="E1381" s="234"/>
      <c r="F1381" s="67"/>
      <c r="G1381" s="81">
        <f>E1381*F1381</f>
        <v>0</v>
      </c>
    </row>
    <row r="1382" spans="1:7" s="21" customFormat="1" ht="47" thickBot="1">
      <c r="A1382" s="22"/>
      <c r="B1382" s="135">
        <v>67504.009999999995</v>
      </c>
      <c r="C1382" s="157" t="s">
        <v>629</v>
      </c>
      <c r="D1382" s="104" t="s">
        <v>147</v>
      </c>
      <c r="E1382" s="194"/>
      <c r="F1382" s="105"/>
      <c r="G1382" s="106">
        <f>E1382*F1382</f>
        <v>0</v>
      </c>
    </row>
    <row r="1383" spans="1:7" s="21" customFormat="1" ht="16" thickBot="1">
      <c r="A1383" s="22"/>
      <c r="B1383" s="123"/>
      <c r="C1383" s="23" t="s">
        <v>1076</v>
      </c>
      <c r="D1383" s="43"/>
      <c r="E1383" s="59" t="str">
        <f>IF(SUM(E1384)&gt;0,1,"")</f>
        <v/>
      </c>
      <c r="F1383" s="60"/>
      <c r="G1383" s="61"/>
    </row>
    <row r="1384" spans="1:7" s="21" customFormat="1" ht="62.5" thickBot="1">
      <c r="A1384" s="22"/>
      <c r="B1384" s="137">
        <v>67521.009999999995</v>
      </c>
      <c r="C1384" s="158" t="s">
        <v>1493</v>
      </c>
      <c r="D1384" s="109" t="s">
        <v>147</v>
      </c>
      <c r="E1384" s="246"/>
      <c r="F1384" s="110"/>
      <c r="G1384" s="111">
        <f>E1384*F1384</f>
        <v>0</v>
      </c>
    </row>
    <row r="1385" spans="1:7" s="21" customFormat="1" ht="16" thickBot="1">
      <c r="A1385" s="22"/>
      <c r="B1385" s="123"/>
      <c r="C1385" s="23" t="s">
        <v>1077</v>
      </c>
      <c r="D1385" s="43"/>
      <c r="E1385" s="59" t="str">
        <f>IF(SUM(E1386)&gt;0,1,"")</f>
        <v/>
      </c>
      <c r="F1385" s="60"/>
      <c r="G1385" s="61"/>
    </row>
    <row r="1386" spans="1:7" s="21" customFormat="1" ht="31.5" thickBot="1">
      <c r="A1386" s="22"/>
      <c r="B1386" s="137">
        <v>67531.009999999995</v>
      </c>
      <c r="C1386" s="158" t="s">
        <v>630</v>
      </c>
      <c r="D1386" s="109" t="s">
        <v>147</v>
      </c>
      <c r="E1386" s="246"/>
      <c r="F1386" s="110"/>
      <c r="G1386" s="111">
        <f>E1386*F1386</f>
        <v>0</v>
      </c>
    </row>
    <row r="1387" spans="1:7" s="21" customFormat="1" ht="31.5" thickBot="1">
      <c r="A1387" s="22"/>
      <c r="B1387" s="123"/>
      <c r="C1387" s="23" t="s">
        <v>1083</v>
      </c>
      <c r="D1387" s="43"/>
      <c r="E1387" s="59" t="str">
        <f>IF(SUM(E1388)&gt;0,1,"")</f>
        <v/>
      </c>
      <c r="F1387" s="60"/>
      <c r="G1387" s="61"/>
    </row>
    <row r="1388" spans="1:7" s="21" customFormat="1" ht="31.5" thickBot="1">
      <c r="A1388" s="22"/>
      <c r="B1388" s="137">
        <v>67541.009999999995</v>
      </c>
      <c r="C1388" s="158" t="s">
        <v>1494</v>
      </c>
      <c r="D1388" s="109" t="s">
        <v>147</v>
      </c>
      <c r="E1388" s="246"/>
      <c r="F1388" s="110"/>
      <c r="G1388" s="111">
        <f>E1388*F1388</f>
        <v>0</v>
      </c>
    </row>
    <row r="1389" spans="1:7" s="21" customFormat="1" ht="16" thickBot="1">
      <c r="A1389" s="22"/>
      <c r="B1389" s="151"/>
      <c r="C1389" s="112" t="s">
        <v>1082</v>
      </c>
      <c r="D1389" s="113"/>
      <c r="E1389" s="114" t="str">
        <f>IF(SUM(E1390)&gt;0,1,"")</f>
        <v/>
      </c>
      <c r="F1389" s="115"/>
      <c r="G1389" s="116"/>
    </row>
    <row r="1390" spans="1:7" s="21" customFormat="1" ht="31.5" thickBot="1">
      <c r="A1390" s="22"/>
      <c r="B1390" s="137">
        <v>67551.009999999995</v>
      </c>
      <c r="C1390" s="158" t="s">
        <v>1495</v>
      </c>
      <c r="D1390" s="109" t="s">
        <v>147</v>
      </c>
      <c r="E1390" s="246"/>
      <c r="F1390" s="110"/>
      <c r="G1390" s="111">
        <f>E1390*F1390</f>
        <v>0</v>
      </c>
    </row>
    <row r="1391" spans="1:7" s="21" customFormat="1" ht="16" thickBot="1">
      <c r="A1391" s="22"/>
      <c r="B1391" s="151"/>
      <c r="C1391" s="112" t="s">
        <v>1081</v>
      </c>
      <c r="D1391" s="113"/>
      <c r="E1391" s="114" t="str">
        <f>IF(SUM(E1392)&gt;0,1,"")</f>
        <v/>
      </c>
      <c r="F1391" s="115"/>
      <c r="G1391" s="116"/>
    </row>
    <row r="1392" spans="1:7" s="21" customFormat="1" ht="47" thickBot="1">
      <c r="A1392" s="22"/>
      <c r="B1392" s="137">
        <v>67561.009999999995</v>
      </c>
      <c r="C1392" s="158" t="s">
        <v>1496</v>
      </c>
      <c r="D1392" s="109" t="s">
        <v>147</v>
      </c>
      <c r="E1392" s="246"/>
      <c r="F1392" s="110"/>
      <c r="G1392" s="111">
        <f>E1392*F1392</f>
        <v>0</v>
      </c>
    </row>
    <row r="1393" spans="1:7" s="21" customFormat="1" ht="16" thickBot="1">
      <c r="A1393" s="22"/>
      <c r="B1393" s="151"/>
      <c r="C1393" s="112" t="s">
        <v>1080</v>
      </c>
      <c r="D1393" s="113"/>
      <c r="E1393" s="114" t="str">
        <f>IF(SUM(E1394)&gt;0,1,"")</f>
        <v/>
      </c>
      <c r="F1393" s="115"/>
      <c r="G1393" s="116"/>
    </row>
    <row r="1394" spans="1:7" s="21" customFormat="1" ht="47" thickBot="1">
      <c r="A1394" s="22"/>
      <c r="B1394" s="126">
        <v>67571.009999999995</v>
      </c>
      <c r="C1394" s="158" t="s">
        <v>1497</v>
      </c>
      <c r="D1394" s="109" t="s">
        <v>147</v>
      </c>
      <c r="E1394" s="246"/>
      <c r="F1394" s="110"/>
      <c r="G1394" s="111">
        <f>E1394*F1394</f>
        <v>0</v>
      </c>
    </row>
    <row r="1395" spans="1:7" s="21" customFormat="1" ht="16" thickBot="1">
      <c r="A1395" s="22"/>
      <c r="B1395" s="151"/>
      <c r="C1395" s="112" t="s">
        <v>1079</v>
      </c>
      <c r="D1395" s="113"/>
      <c r="E1395" s="114" t="str">
        <f>IF(SUM(E1396:E1401)&gt;0,1,"")</f>
        <v/>
      </c>
      <c r="F1395" s="115"/>
      <c r="G1395" s="116"/>
    </row>
    <row r="1396" spans="1:7" s="21" customFormat="1" ht="62">
      <c r="A1396" s="22"/>
      <c r="B1396" s="136">
        <v>67701.009999999995</v>
      </c>
      <c r="C1396" s="159" t="s">
        <v>1498</v>
      </c>
      <c r="D1396" s="62" t="s">
        <v>147</v>
      </c>
      <c r="E1396" s="245"/>
      <c r="F1396" s="63"/>
      <c r="G1396" s="103">
        <f t="shared" ref="G1396:G1401" si="70">E1396*F1396</f>
        <v>0</v>
      </c>
    </row>
    <row r="1397" spans="1:7" s="21" customFormat="1" ht="46.5">
      <c r="A1397" s="22"/>
      <c r="B1397" s="134">
        <v>67702.009999999995</v>
      </c>
      <c r="C1397" s="156" t="s">
        <v>1499</v>
      </c>
      <c r="D1397" s="25" t="s">
        <v>147</v>
      </c>
      <c r="E1397" s="234"/>
      <c r="F1397" s="67"/>
      <c r="G1397" s="81">
        <f t="shared" si="70"/>
        <v>0</v>
      </c>
    </row>
    <row r="1398" spans="1:7" s="21" customFormat="1" ht="31">
      <c r="A1398" s="22"/>
      <c r="B1398" s="134">
        <v>67703.009999999995</v>
      </c>
      <c r="C1398" s="156" t="s">
        <v>234</v>
      </c>
      <c r="D1398" s="25" t="s">
        <v>147</v>
      </c>
      <c r="E1398" s="234"/>
      <c r="F1398" s="67"/>
      <c r="G1398" s="81">
        <f t="shared" si="70"/>
        <v>0</v>
      </c>
    </row>
    <row r="1399" spans="1:7" s="21" customFormat="1" ht="31">
      <c r="A1399" s="22"/>
      <c r="B1399" s="134">
        <v>67704.009999999995</v>
      </c>
      <c r="C1399" s="156" t="s">
        <v>1500</v>
      </c>
      <c r="D1399" s="25" t="s">
        <v>147</v>
      </c>
      <c r="E1399" s="234"/>
      <c r="F1399" s="67"/>
      <c r="G1399" s="81">
        <f t="shared" si="70"/>
        <v>0</v>
      </c>
    </row>
    <row r="1400" spans="1:7" s="21" customFormat="1" ht="31">
      <c r="A1400" s="22"/>
      <c r="B1400" s="134">
        <v>67705.009999999995</v>
      </c>
      <c r="C1400" s="156" t="s">
        <v>1495</v>
      </c>
      <c r="D1400" s="25" t="s">
        <v>147</v>
      </c>
      <c r="E1400" s="234"/>
      <c r="F1400" s="67"/>
      <c r="G1400" s="81">
        <f t="shared" si="70"/>
        <v>0</v>
      </c>
    </row>
    <row r="1401" spans="1:7" s="21" customFormat="1" ht="47" thickBot="1">
      <c r="A1401" s="22"/>
      <c r="B1401" s="135">
        <v>67706.009999999995</v>
      </c>
      <c r="C1401" s="157" t="s">
        <v>1501</v>
      </c>
      <c r="D1401" s="104" t="s">
        <v>147</v>
      </c>
      <c r="E1401" s="194"/>
      <c r="F1401" s="105"/>
      <c r="G1401" s="106">
        <f t="shared" si="70"/>
        <v>0</v>
      </c>
    </row>
    <row r="1402" spans="1:7" s="21" customFormat="1" ht="16" thickBot="1">
      <c r="A1402" s="22"/>
      <c r="B1402" s="151"/>
      <c r="C1402" s="112" t="s">
        <v>1084</v>
      </c>
      <c r="D1402" s="113"/>
      <c r="E1402" s="114">
        <f>IF(SUM(E1403:E1422)&gt;0,1,"")</f>
        <v>1</v>
      </c>
      <c r="F1402" s="115"/>
      <c r="G1402" s="116"/>
    </row>
    <row r="1403" spans="1:7" s="21" customFormat="1" ht="15.5">
      <c r="A1403" s="22"/>
      <c r="B1403" s="136">
        <v>70301.009999999995</v>
      </c>
      <c r="C1403" s="159" t="s">
        <v>1502</v>
      </c>
      <c r="D1403" s="62" t="s">
        <v>148</v>
      </c>
      <c r="E1403" s="245"/>
      <c r="F1403" s="63"/>
      <c r="G1403" s="103">
        <f t="shared" ref="G1403:G1422" si="71">E1403*F1403</f>
        <v>0</v>
      </c>
    </row>
    <row r="1404" spans="1:7" s="21" customFormat="1" ht="15.5">
      <c r="A1404" s="22"/>
      <c r="B1404" s="134">
        <v>70302.009999999995</v>
      </c>
      <c r="C1404" s="156" t="s">
        <v>1503</v>
      </c>
      <c r="D1404" s="25" t="s">
        <v>148</v>
      </c>
      <c r="E1404" s="234"/>
      <c r="F1404" s="67"/>
      <c r="G1404" s="81">
        <f t="shared" si="71"/>
        <v>0</v>
      </c>
    </row>
    <row r="1405" spans="1:7" s="21" customFormat="1" ht="31">
      <c r="A1405" s="22"/>
      <c r="B1405" s="134">
        <v>70303.009999999995</v>
      </c>
      <c r="C1405" s="156" t="s">
        <v>1504</v>
      </c>
      <c r="D1405" s="25" t="s">
        <v>148</v>
      </c>
      <c r="E1405" s="234"/>
      <c r="F1405" s="67"/>
      <c r="G1405" s="81">
        <f t="shared" si="71"/>
        <v>0</v>
      </c>
    </row>
    <row r="1406" spans="1:7" s="21" customFormat="1" ht="15.5">
      <c r="A1406" s="22"/>
      <c r="B1406" s="124">
        <v>70304.009999999995</v>
      </c>
      <c r="C1406" s="156" t="s">
        <v>1727</v>
      </c>
      <c r="D1406" s="25" t="s">
        <v>148</v>
      </c>
      <c r="E1406" s="234">
        <v>176</v>
      </c>
      <c r="F1406" s="67"/>
      <c r="G1406" s="81">
        <f t="shared" si="71"/>
        <v>0</v>
      </c>
    </row>
    <row r="1407" spans="1:7" s="21" customFormat="1" ht="15.5">
      <c r="A1407" s="22"/>
      <c r="B1407" s="124">
        <v>70305.009999999995</v>
      </c>
      <c r="C1407" s="156" t="s">
        <v>1505</v>
      </c>
      <c r="D1407" s="25" t="s">
        <v>147</v>
      </c>
      <c r="E1407" s="234"/>
      <c r="F1407" s="67"/>
      <c r="G1407" s="81">
        <f t="shared" si="71"/>
        <v>0</v>
      </c>
    </row>
    <row r="1408" spans="1:7" s="21" customFormat="1" ht="31">
      <c r="A1408" s="22"/>
      <c r="B1408" s="124">
        <v>70306.009999999995</v>
      </c>
      <c r="C1408" s="156" t="s">
        <v>1789</v>
      </c>
      <c r="D1408" s="25" t="s">
        <v>148</v>
      </c>
      <c r="E1408" s="234">
        <v>38</v>
      </c>
      <c r="F1408" s="67"/>
      <c r="G1408" s="81">
        <f t="shared" si="71"/>
        <v>0</v>
      </c>
    </row>
    <row r="1409" spans="1:7" s="21" customFormat="1" ht="31">
      <c r="A1409" s="22"/>
      <c r="B1409" s="124">
        <v>70306.02</v>
      </c>
      <c r="C1409" s="156" t="s">
        <v>1790</v>
      </c>
      <c r="D1409" s="25" t="s">
        <v>148</v>
      </c>
      <c r="E1409" s="234">
        <v>30</v>
      </c>
      <c r="F1409" s="67"/>
      <c r="G1409" s="81">
        <f t="shared" si="71"/>
        <v>0</v>
      </c>
    </row>
    <row r="1410" spans="1:7" s="21" customFormat="1" ht="15.5">
      <c r="A1410" s="22"/>
      <c r="B1410" s="124">
        <v>70307.009999999995</v>
      </c>
      <c r="C1410" s="156" t="s">
        <v>1506</v>
      </c>
      <c r="D1410" s="25" t="s">
        <v>148</v>
      </c>
      <c r="E1410" s="234"/>
      <c r="F1410" s="67"/>
      <c r="G1410" s="81">
        <f t="shared" si="71"/>
        <v>0</v>
      </c>
    </row>
    <row r="1411" spans="1:7" s="21" customFormat="1" ht="31">
      <c r="A1411" s="22"/>
      <c r="B1411" s="124">
        <v>70308.009999999995</v>
      </c>
      <c r="C1411" s="156" t="s">
        <v>1954</v>
      </c>
      <c r="D1411" s="25" t="s">
        <v>148</v>
      </c>
      <c r="E1411" s="234">
        <v>22</v>
      </c>
      <c r="F1411" s="67"/>
      <c r="G1411" s="81">
        <f t="shared" si="71"/>
        <v>0</v>
      </c>
    </row>
    <row r="1412" spans="1:7" s="21" customFormat="1" ht="31">
      <c r="A1412" s="22"/>
      <c r="B1412" s="124">
        <v>70308.02</v>
      </c>
      <c r="C1412" s="156" t="s">
        <v>1786</v>
      </c>
      <c r="D1412" s="25" t="s">
        <v>148</v>
      </c>
      <c r="E1412" s="234">
        <v>3</v>
      </c>
      <c r="F1412" s="67"/>
      <c r="G1412" s="81">
        <f t="shared" si="71"/>
        <v>0</v>
      </c>
    </row>
    <row r="1413" spans="1:7" s="21" customFormat="1" ht="31">
      <c r="A1413" s="22"/>
      <c r="B1413" s="124">
        <v>70308.02</v>
      </c>
      <c r="C1413" s="156" t="s">
        <v>1787</v>
      </c>
      <c r="D1413" s="25" t="s">
        <v>148</v>
      </c>
      <c r="E1413" s="234">
        <v>3</v>
      </c>
      <c r="F1413" s="67"/>
      <c r="G1413" s="81">
        <f t="shared" si="71"/>
        <v>0</v>
      </c>
    </row>
    <row r="1414" spans="1:7" s="21" customFormat="1" ht="31">
      <c r="A1414" s="22"/>
      <c r="B1414" s="134">
        <v>70309.009999999995</v>
      </c>
      <c r="C1414" s="156" t="s">
        <v>1955</v>
      </c>
      <c r="D1414" s="25" t="s">
        <v>148</v>
      </c>
      <c r="E1414" s="234">
        <v>8</v>
      </c>
      <c r="F1414" s="67"/>
      <c r="G1414" s="81">
        <f t="shared" si="71"/>
        <v>0</v>
      </c>
    </row>
    <row r="1415" spans="1:7" s="21" customFormat="1" ht="31">
      <c r="A1415" s="22"/>
      <c r="B1415" s="134">
        <v>70309.02</v>
      </c>
      <c r="C1415" s="156" t="s">
        <v>1956</v>
      </c>
      <c r="D1415" s="25" t="s">
        <v>148</v>
      </c>
      <c r="E1415" s="234">
        <v>43</v>
      </c>
      <c r="F1415" s="67"/>
      <c r="G1415" s="81">
        <f t="shared" si="71"/>
        <v>0</v>
      </c>
    </row>
    <row r="1416" spans="1:7" s="21" customFormat="1" ht="31">
      <c r="A1416" s="22"/>
      <c r="B1416" s="134">
        <v>70309.03</v>
      </c>
      <c r="C1416" s="156" t="s">
        <v>1957</v>
      </c>
      <c r="D1416" s="25" t="s">
        <v>148</v>
      </c>
      <c r="E1416" s="234">
        <v>47</v>
      </c>
      <c r="F1416" s="67"/>
      <c r="G1416" s="81">
        <f t="shared" si="71"/>
        <v>0</v>
      </c>
    </row>
    <row r="1417" spans="1:7" s="21" customFormat="1" ht="15.5">
      <c r="A1417" s="22"/>
      <c r="B1417" s="134">
        <v>70310.009999999995</v>
      </c>
      <c r="C1417" s="156" t="s">
        <v>1507</v>
      </c>
      <c r="D1417" s="25" t="s">
        <v>147</v>
      </c>
      <c r="E1417" s="234"/>
      <c r="F1417" s="67"/>
      <c r="G1417" s="81">
        <f t="shared" si="71"/>
        <v>0</v>
      </c>
    </row>
    <row r="1418" spans="1:7" s="21" customFormat="1" ht="15.5">
      <c r="A1418" s="22"/>
      <c r="B1418" s="134">
        <v>70311.009999999995</v>
      </c>
      <c r="C1418" s="156" t="s">
        <v>253</v>
      </c>
      <c r="D1418" s="25" t="s">
        <v>149</v>
      </c>
      <c r="E1418" s="234">
        <v>66</v>
      </c>
      <c r="F1418" s="67"/>
      <c r="G1418" s="81">
        <f t="shared" si="71"/>
        <v>0</v>
      </c>
    </row>
    <row r="1419" spans="1:7" s="21" customFormat="1" ht="31">
      <c r="A1419" s="22"/>
      <c r="B1419" s="124">
        <v>70312.009999999995</v>
      </c>
      <c r="C1419" s="156" t="s">
        <v>1508</v>
      </c>
      <c r="D1419" s="25" t="s">
        <v>147</v>
      </c>
      <c r="E1419" s="234"/>
      <c r="F1419" s="67"/>
      <c r="G1419" s="81">
        <f t="shared" si="71"/>
        <v>0</v>
      </c>
    </row>
    <row r="1420" spans="1:7" s="21" customFormat="1" ht="31">
      <c r="A1420" s="22"/>
      <c r="B1420" s="124">
        <v>70313.009999999995</v>
      </c>
      <c r="C1420" s="156" t="s">
        <v>1509</v>
      </c>
      <c r="D1420" s="25" t="s">
        <v>147</v>
      </c>
      <c r="E1420" s="234"/>
      <c r="F1420" s="67"/>
      <c r="G1420" s="81">
        <f t="shared" si="71"/>
        <v>0</v>
      </c>
    </row>
    <row r="1421" spans="1:7" s="21" customFormat="1" ht="31">
      <c r="A1421" s="22"/>
      <c r="B1421" s="124">
        <v>70314.009999999995</v>
      </c>
      <c r="C1421" s="156" t="s">
        <v>1510</v>
      </c>
      <c r="D1421" s="25" t="s">
        <v>147</v>
      </c>
      <c r="E1421" s="234"/>
      <c r="F1421" s="67"/>
      <c r="G1421" s="81">
        <f t="shared" si="71"/>
        <v>0</v>
      </c>
    </row>
    <row r="1422" spans="1:7" s="21" customFormat="1" ht="31.5" thickBot="1">
      <c r="A1422" s="22"/>
      <c r="B1422" s="125">
        <v>70315.009999999995</v>
      </c>
      <c r="C1422" s="157" t="s">
        <v>1511</v>
      </c>
      <c r="D1422" s="104" t="s">
        <v>147</v>
      </c>
      <c r="E1422" s="194"/>
      <c r="F1422" s="105"/>
      <c r="G1422" s="106">
        <f t="shared" si="71"/>
        <v>0</v>
      </c>
    </row>
    <row r="1423" spans="1:7" s="21" customFormat="1" ht="16" thickBot="1">
      <c r="A1423" s="22"/>
      <c r="B1423" s="151"/>
      <c r="C1423" s="112" t="s">
        <v>1085</v>
      </c>
      <c r="D1423" s="113"/>
      <c r="E1423" s="114">
        <f>IF(SUM(E1424:E1481)&gt;0,1,"")</f>
        <v>1</v>
      </c>
      <c r="F1423" s="115"/>
      <c r="G1423" s="116"/>
    </row>
    <row r="1424" spans="1:7" s="21" customFormat="1" ht="15.5">
      <c r="A1424" s="22"/>
      <c r="B1424" s="225">
        <v>70401.009999999995</v>
      </c>
      <c r="C1424" s="226" t="s">
        <v>1876</v>
      </c>
      <c r="D1424" s="227" t="s">
        <v>146</v>
      </c>
      <c r="E1424" s="319">
        <v>209</v>
      </c>
      <c r="F1424" s="228"/>
      <c r="G1424" s="229">
        <f t="shared" ref="G1424:G1432" si="72">E1424*F1424</f>
        <v>0</v>
      </c>
    </row>
    <row r="1425" spans="1:7" s="21" customFormat="1" ht="31">
      <c r="A1425" s="22"/>
      <c r="B1425" s="124" t="s">
        <v>1927</v>
      </c>
      <c r="C1425" s="187" t="s">
        <v>2152</v>
      </c>
      <c r="D1425" s="188" t="s">
        <v>146</v>
      </c>
      <c r="E1425" s="320">
        <v>28</v>
      </c>
      <c r="F1425" s="189"/>
      <c r="G1425" s="190">
        <f t="shared" si="72"/>
        <v>0</v>
      </c>
    </row>
    <row r="1426" spans="1:7" s="21" customFormat="1" ht="15.5">
      <c r="A1426" s="22"/>
      <c r="B1426" s="124">
        <v>70401.03</v>
      </c>
      <c r="C1426" s="187" t="s">
        <v>1928</v>
      </c>
      <c r="D1426" s="188" t="s">
        <v>146</v>
      </c>
      <c r="E1426" s="320">
        <v>38</v>
      </c>
      <c r="F1426" s="189"/>
      <c r="G1426" s="190">
        <f t="shared" si="72"/>
        <v>0</v>
      </c>
    </row>
    <row r="1427" spans="1:7" s="21" customFormat="1" ht="31">
      <c r="A1427" s="22"/>
      <c r="B1427" s="124" t="s">
        <v>1942</v>
      </c>
      <c r="C1427" s="187" t="s">
        <v>2153</v>
      </c>
      <c r="D1427" s="188" t="s">
        <v>146</v>
      </c>
      <c r="E1427" s="249">
        <v>4</v>
      </c>
      <c r="F1427" s="189"/>
      <c r="G1427" s="190">
        <f t="shared" si="72"/>
        <v>0</v>
      </c>
    </row>
    <row r="1428" spans="1:7" s="21" customFormat="1" ht="15.5">
      <c r="A1428" s="22"/>
      <c r="B1428" s="124">
        <v>70401.05</v>
      </c>
      <c r="C1428" s="187" t="s">
        <v>1929</v>
      </c>
      <c r="D1428" s="188" t="s">
        <v>146</v>
      </c>
      <c r="E1428" s="320">
        <v>36</v>
      </c>
      <c r="F1428" s="189"/>
      <c r="G1428" s="190">
        <f t="shared" si="72"/>
        <v>0</v>
      </c>
    </row>
    <row r="1429" spans="1:7" s="231" customFormat="1" ht="15.5">
      <c r="A1429" s="230"/>
      <c r="B1429" s="124">
        <v>70401.06</v>
      </c>
      <c r="C1429" s="187" t="s">
        <v>1877</v>
      </c>
      <c r="D1429" s="188" t="s">
        <v>146</v>
      </c>
      <c r="E1429" s="320">
        <v>197</v>
      </c>
      <c r="F1429" s="189"/>
      <c r="G1429" s="190">
        <f t="shared" si="72"/>
        <v>0</v>
      </c>
    </row>
    <row r="1430" spans="1:7" s="231" customFormat="1" ht="31">
      <c r="A1430" s="230"/>
      <c r="B1430" s="124" t="s">
        <v>1943</v>
      </c>
      <c r="C1430" s="187" t="s">
        <v>2154</v>
      </c>
      <c r="D1430" s="188" t="s">
        <v>146</v>
      </c>
      <c r="E1430" s="320">
        <v>110</v>
      </c>
      <c r="F1430" s="189"/>
      <c r="G1430" s="190">
        <f t="shared" si="72"/>
        <v>0</v>
      </c>
    </row>
    <row r="1431" spans="1:7" s="21" customFormat="1" ht="31">
      <c r="A1431" s="22"/>
      <c r="B1431" s="124">
        <v>70401.08</v>
      </c>
      <c r="C1431" s="187" t="s">
        <v>1878</v>
      </c>
      <c r="D1431" s="188" t="s">
        <v>146</v>
      </c>
      <c r="E1431" s="320">
        <v>78</v>
      </c>
      <c r="F1431" s="189"/>
      <c r="G1431" s="190">
        <f t="shared" si="72"/>
        <v>0</v>
      </c>
    </row>
    <row r="1432" spans="1:7" s="21" customFormat="1" ht="31">
      <c r="A1432" s="22"/>
      <c r="B1432" s="124" t="s">
        <v>1944</v>
      </c>
      <c r="C1432" s="187" t="s">
        <v>2155</v>
      </c>
      <c r="D1432" s="188" t="s">
        <v>146</v>
      </c>
      <c r="E1432" s="249">
        <v>8</v>
      </c>
      <c r="F1432" s="189"/>
      <c r="G1432" s="190">
        <f t="shared" si="72"/>
        <v>0</v>
      </c>
    </row>
    <row r="1433" spans="1:7" s="21" customFormat="1" ht="15.5">
      <c r="A1433" s="22"/>
      <c r="B1433" s="124">
        <v>70402.009999999995</v>
      </c>
      <c r="C1433" s="187" t="s">
        <v>125</v>
      </c>
      <c r="D1433" s="188"/>
      <c r="E1433" s="249"/>
      <c r="F1433" s="189"/>
      <c r="G1433" s="190"/>
    </row>
    <row r="1434" spans="1:7" s="21" customFormat="1" ht="15.5">
      <c r="A1434" s="22"/>
      <c r="B1434" s="124">
        <v>70403.009999999995</v>
      </c>
      <c r="C1434" s="187" t="s">
        <v>1879</v>
      </c>
      <c r="D1434" s="188" t="s">
        <v>147</v>
      </c>
      <c r="E1434" s="249">
        <v>14</v>
      </c>
      <c r="F1434" s="189"/>
      <c r="G1434" s="190">
        <f t="shared" ref="G1434:G1452" si="73">E1434*F1434</f>
        <v>0</v>
      </c>
    </row>
    <row r="1435" spans="1:7" s="21" customFormat="1" ht="15.5">
      <c r="A1435" s="22"/>
      <c r="B1435" s="124">
        <v>70403.02</v>
      </c>
      <c r="C1435" s="187" t="s">
        <v>1930</v>
      </c>
      <c r="D1435" s="188" t="s">
        <v>147</v>
      </c>
      <c r="E1435" s="249">
        <v>2</v>
      </c>
      <c r="F1435" s="189"/>
      <c r="G1435" s="190">
        <f t="shared" si="73"/>
        <v>0</v>
      </c>
    </row>
    <row r="1436" spans="1:7" s="21" customFormat="1" ht="15.5">
      <c r="A1436" s="22"/>
      <c r="B1436" s="124">
        <v>70403.03</v>
      </c>
      <c r="C1436" s="187" t="s">
        <v>1931</v>
      </c>
      <c r="D1436" s="188" t="s">
        <v>147</v>
      </c>
      <c r="E1436" s="249">
        <v>18</v>
      </c>
      <c r="F1436" s="189"/>
      <c r="G1436" s="190">
        <f t="shared" si="73"/>
        <v>0</v>
      </c>
    </row>
    <row r="1437" spans="1:7" s="21" customFormat="1" ht="15.5">
      <c r="A1437" s="22"/>
      <c r="B1437" s="124">
        <v>70403.05</v>
      </c>
      <c r="C1437" s="187" t="s">
        <v>1880</v>
      </c>
      <c r="D1437" s="188" t="s">
        <v>147</v>
      </c>
      <c r="E1437" s="249">
        <v>37</v>
      </c>
      <c r="F1437" s="189"/>
      <c r="G1437" s="190">
        <f t="shared" si="73"/>
        <v>0</v>
      </c>
    </row>
    <row r="1438" spans="1:7" s="21" customFormat="1" ht="31">
      <c r="A1438" s="22"/>
      <c r="B1438" s="124">
        <v>70403.06</v>
      </c>
      <c r="C1438" s="187" t="s">
        <v>1881</v>
      </c>
      <c r="D1438" s="188" t="s">
        <v>147</v>
      </c>
      <c r="E1438" s="249">
        <v>4</v>
      </c>
      <c r="F1438" s="189"/>
      <c r="G1438" s="190">
        <f t="shared" si="73"/>
        <v>0</v>
      </c>
    </row>
    <row r="1439" spans="1:7" s="21" customFormat="1" ht="15.5">
      <c r="A1439" s="22"/>
      <c r="B1439" s="124">
        <v>70404.009999999995</v>
      </c>
      <c r="C1439" s="187" t="s">
        <v>1882</v>
      </c>
      <c r="D1439" s="188" t="s">
        <v>146</v>
      </c>
      <c r="E1439" s="320">
        <v>72</v>
      </c>
      <c r="F1439" s="189"/>
      <c r="G1439" s="190">
        <f t="shared" si="73"/>
        <v>0</v>
      </c>
    </row>
    <row r="1440" spans="1:7" s="21" customFormat="1" ht="31">
      <c r="A1440" s="22"/>
      <c r="B1440" s="124" t="s">
        <v>1824</v>
      </c>
      <c r="C1440" s="187" t="s">
        <v>2156</v>
      </c>
      <c r="D1440" s="188" t="s">
        <v>146</v>
      </c>
      <c r="E1440" s="320">
        <v>28</v>
      </c>
      <c r="F1440" s="189"/>
      <c r="G1440" s="190">
        <f t="shared" si="73"/>
        <v>0</v>
      </c>
    </row>
    <row r="1441" spans="1:7" s="21" customFormat="1" ht="15.5">
      <c r="A1441" s="22"/>
      <c r="B1441" s="124">
        <v>70404.03</v>
      </c>
      <c r="C1441" s="187" t="s">
        <v>1932</v>
      </c>
      <c r="D1441" s="188" t="s">
        <v>146</v>
      </c>
      <c r="E1441" s="249">
        <v>36</v>
      </c>
      <c r="F1441" s="189"/>
      <c r="G1441" s="190">
        <f t="shared" si="73"/>
        <v>0</v>
      </c>
    </row>
    <row r="1442" spans="1:7" s="21" customFormat="1" ht="31">
      <c r="A1442" s="22"/>
      <c r="B1442" s="124" t="s">
        <v>1998</v>
      </c>
      <c r="C1442" s="187" t="s">
        <v>2157</v>
      </c>
      <c r="D1442" s="188" t="s">
        <v>146</v>
      </c>
      <c r="E1442" s="249">
        <v>4</v>
      </c>
      <c r="F1442" s="189"/>
      <c r="G1442" s="190">
        <f t="shared" si="73"/>
        <v>0</v>
      </c>
    </row>
    <row r="1443" spans="1:7" s="21" customFormat="1" ht="15.5">
      <c r="A1443" s="22"/>
      <c r="B1443" s="124">
        <v>70404.05</v>
      </c>
      <c r="C1443" s="187" t="s">
        <v>1933</v>
      </c>
      <c r="D1443" s="188" t="s">
        <v>146</v>
      </c>
      <c r="E1443" s="320">
        <v>36</v>
      </c>
      <c r="F1443" s="189"/>
      <c r="G1443" s="190">
        <f t="shared" si="73"/>
        <v>0</v>
      </c>
    </row>
    <row r="1444" spans="1:7" s="21" customFormat="1" ht="15.5">
      <c r="A1444" s="22"/>
      <c r="B1444" s="124">
        <v>70404.06</v>
      </c>
      <c r="C1444" s="187" t="s">
        <v>1883</v>
      </c>
      <c r="D1444" s="188" t="s">
        <v>146</v>
      </c>
      <c r="E1444" s="320">
        <v>191</v>
      </c>
      <c r="F1444" s="189"/>
      <c r="G1444" s="190">
        <f t="shared" si="73"/>
        <v>0</v>
      </c>
    </row>
    <row r="1445" spans="1:7" s="21" customFormat="1" ht="31">
      <c r="A1445" s="22"/>
      <c r="B1445" s="124" t="s">
        <v>1823</v>
      </c>
      <c r="C1445" s="187" t="s">
        <v>2158</v>
      </c>
      <c r="D1445" s="188" t="s">
        <v>146</v>
      </c>
      <c r="E1445" s="320">
        <v>110</v>
      </c>
      <c r="F1445" s="189"/>
      <c r="G1445" s="190">
        <f t="shared" si="73"/>
        <v>0</v>
      </c>
    </row>
    <row r="1446" spans="1:7" s="21" customFormat="1" ht="15.5">
      <c r="A1446" s="22"/>
      <c r="B1446" s="124">
        <v>70404.08</v>
      </c>
      <c r="C1446" s="187" t="s">
        <v>1884</v>
      </c>
      <c r="D1446" s="188" t="s">
        <v>146</v>
      </c>
      <c r="E1446" s="320">
        <v>78</v>
      </c>
      <c r="F1446" s="189"/>
      <c r="G1446" s="190">
        <f t="shared" si="73"/>
        <v>0</v>
      </c>
    </row>
    <row r="1447" spans="1:7" s="21" customFormat="1" ht="31">
      <c r="A1447" s="22"/>
      <c r="B1447" s="124" t="s">
        <v>1825</v>
      </c>
      <c r="C1447" s="187" t="s">
        <v>2159</v>
      </c>
      <c r="D1447" s="188" t="s">
        <v>146</v>
      </c>
      <c r="E1447" s="249">
        <v>8</v>
      </c>
      <c r="F1447" s="189"/>
      <c r="G1447" s="190">
        <f t="shared" si="73"/>
        <v>0</v>
      </c>
    </row>
    <row r="1448" spans="1:7" s="21" customFormat="1" ht="31">
      <c r="A1448" s="22"/>
      <c r="B1448" s="124" t="s">
        <v>771</v>
      </c>
      <c r="C1448" s="187" t="s">
        <v>2208</v>
      </c>
      <c r="D1448" s="188" t="s">
        <v>147</v>
      </c>
      <c r="E1448" s="249">
        <v>7</v>
      </c>
      <c r="F1448" s="189"/>
      <c r="G1448" s="190">
        <f t="shared" si="73"/>
        <v>0</v>
      </c>
    </row>
    <row r="1449" spans="1:7" s="21" customFormat="1" ht="31">
      <c r="A1449" s="22"/>
      <c r="B1449" s="124" t="s">
        <v>2205</v>
      </c>
      <c r="C1449" s="187" t="s">
        <v>2209</v>
      </c>
      <c r="D1449" s="188" t="s">
        <v>147</v>
      </c>
      <c r="E1449" s="249">
        <v>1</v>
      </c>
      <c r="F1449" s="189"/>
      <c r="G1449" s="190">
        <f t="shared" si="73"/>
        <v>0</v>
      </c>
    </row>
    <row r="1450" spans="1:7" s="21" customFormat="1" ht="31">
      <c r="A1450" s="22"/>
      <c r="B1450" s="124" t="s">
        <v>2206</v>
      </c>
      <c r="C1450" s="187" t="s">
        <v>2210</v>
      </c>
      <c r="D1450" s="188" t="s">
        <v>147</v>
      </c>
      <c r="E1450" s="249">
        <v>28</v>
      </c>
      <c r="F1450" s="189"/>
      <c r="G1450" s="190">
        <f t="shared" si="73"/>
        <v>0</v>
      </c>
    </row>
    <row r="1451" spans="1:7" s="21" customFormat="1" ht="31">
      <c r="A1451" s="22"/>
      <c r="B1451" s="124" t="s">
        <v>2207</v>
      </c>
      <c r="C1451" s="187" t="s">
        <v>2211</v>
      </c>
      <c r="D1451" s="188" t="s">
        <v>147</v>
      </c>
      <c r="E1451" s="249">
        <v>2</v>
      </c>
      <c r="F1451" s="189"/>
      <c r="G1451" s="190">
        <f t="shared" si="73"/>
        <v>0</v>
      </c>
    </row>
    <row r="1452" spans="1:7" s="21" customFormat="1" ht="15.5">
      <c r="A1452" s="22"/>
      <c r="B1452" s="124">
        <v>70409.009999999995</v>
      </c>
      <c r="C1452" s="187" t="s">
        <v>1885</v>
      </c>
      <c r="D1452" s="188" t="s">
        <v>148</v>
      </c>
      <c r="E1452" s="321">
        <v>119.5</v>
      </c>
      <c r="F1452" s="189"/>
      <c r="G1452" s="190">
        <f t="shared" si="73"/>
        <v>0</v>
      </c>
    </row>
    <row r="1453" spans="1:7" s="21" customFormat="1" ht="31">
      <c r="A1453" s="22"/>
      <c r="B1453" s="124" t="s">
        <v>1827</v>
      </c>
      <c r="C1453" s="187" t="s">
        <v>2160</v>
      </c>
      <c r="D1453" s="188" t="s">
        <v>148</v>
      </c>
      <c r="E1453" s="321">
        <v>49.5</v>
      </c>
      <c r="F1453" s="189"/>
      <c r="G1453" s="190">
        <f t="shared" ref="G1453:G1482" si="74">E1453*F1453</f>
        <v>0</v>
      </c>
    </row>
    <row r="1454" spans="1:7" s="21" customFormat="1" ht="15.5">
      <c r="A1454" s="22"/>
      <c r="B1454" s="124">
        <v>70409.03</v>
      </c>
      <c r="C1454" s="187" t="s">
        <v>1934</v>
      </c>
      <c r="D1454" s="188" t="s">
        <v>148</v>
      </c>
      <c r="E1454" s="321">
        <v>22.599999999999998</v>
      </c>
      <c r="F1454" s="189"/>
      <c r="G1454" s="190">
        <f t="shared" si="74"/>
        <v>0</v>
      </c>
    </row>
    <row r="1455" spans="1:7" s="21" customFormat="1" ht="31">
      <c r="A1455" s="22"/>
      <c r="B1455" s="124" t="s">
        <v>1999</v>
      </c>
      <c r="C1455" s="187" t="s">
        <v>2161</v>
      </c>
      <c r="D1455" s="188" t="s">
        <v>148</v>
      </c>
      <c r="E1455" s="321">
        <v>2.6</v>
      </c>
      <c r="F1455" s="189"/>
      <c r="G1455" s="190">
        <f t="shared" si="74"/>
        <v>0</v>
      </c>
    </row>
    <row r="1456" spans="1:7" s="21" customFormat="1" ht="15.5">
      <c r="A1456" s="22"/>
      <c r="B1456" s="124">
        <v>70409.05</v>
      </c>
      <c r="C1456" s="187" t="s">
        <v>1935</v>
      </c>
      <c r="D1456" s="188" t="s">
        <v>148</v>
      </c>
      <c r="E1456" s="321">
        <v>8.1</v>
      </c>
      <c r="F1456" s="189"/>
      <c r="G1456" s="190">
        <f t="shared" si="74"/>
        <v>0</v>
      </c>
    </row>
    <row r="1457" spans="1:7" s="21" customFormat="1" ht="15.5">
      <c r="A1457" s="22"/>
      <c r="B1457" s="124">
        <v>70409.06</v>
      </c>
      <c r="C1457" s="187" t="s">
        <v>1886</v>
      </c>
      <c r="D1457" s="188" t="s">
        <v>148</v>
      </c>
      <c r="E1457" s="321">
        <v>50.899999999999984</v>
      </c>
      <c r="F1457" s="189"/>
      <c r="G1457" s="190">
        <f t="shared" si="74"/>
        <v>0</v>
      </c>
    </row>
    <row r="1458" spans="1:7" s="21" customFormat="1" ht="31">
      <c r="A1458" s="22"/>
      <c r="B1458" s="124" t="s">
        <v>1826</v>
      </c>
      <c r="C1458" s="187" t="s">
        <v>2162</v>
      </c>
      <c r="D1458" s="188" t="s">
        <v>148</v>
      </c>
      <c r="E1458" s="321">
        <v>31.2</v>
      </c>
      <c r="F1458" s="189"/>
      <c r="G1458" s="190">
        <f t="shared" si="74"/>
        <v>0</v>
      </c>
    </row>
    <row r="1459" spans="1:7" s="21" customFormat="1" ht="15.5">
      <c r="A1459" s="22"/>
      <c r="B1459" s="124">
        <v>70409.08</v>
      </c>
      <c r="C1459" s="187" t="s">
        <v>1887</v>
      </c>
      <c r="D1459" s="188" t="s">
        <v>148</v>
      </c>
      <c r="E1459" s="321">
        <v>12.200000000000001</v>
      </c>
      <c r="F1459" s="189"/>
      <c r="G1459" s="190">
        <f t="shared" si="74"/>
        <v>0</v>
      </c>
    </row>
    <row r="1460" spans="1:7" s="21" customFormat="1" ht="31">
      <c r="A1460" s="22"/>
      <c r="B1460" s="124" t="s">
        <v>1828</v>
      </c>
      <c r="C1460" s="187" t="s">
        <v>2163</v>
      </c>
      <c r="D1460" s="188" t="s">
        <v>148</v>
      </c>
      <c r="E1460" s="321">
        <v>1.3</v>
      </c>
      <c r="F1460" s="189"/>
      <c r="G1460" s="190">
        <f t="shared" si="74"/>
        <v>0</v>
      </c>
    </row>
    <row r="1461" spans="1:7" s="21" customFormat="1" ht="15.5">
      <c r="A1461" s="22"/>
      <c r="B1461" s="124">
        <v>70410.009999999995</v>
      </c>
      <c r="C1461" s="187" t="s">
        <v>1888</v>
      </c>
      <c r="D1461" s="188" t="s">
        <v>148</v>
      </c>
      <c r="E1461" s="321">
        <v>106.30000000000001</v>
      </c>
      <c r="F1461" s="189"/>
      <c r="G1461" s="190">
        <f t="shared" si="74"/>
        <v>0</v>
      </c>
    </row>
    <row r="1462" spans="1:7" s="21" customFormat="1" ht="15.5">
      <c r="A1462" s="22"/>
      <c r="B1462" s="124">
        <v>70410.02</v>
      </c>
      <c r="C1462" s="187" t="s">
        <v>1936</v>
      </c>
      <c r="D1462" s="188" t="s">
        <v>148</v>
      </c>
      <c r="E1462" s="321">
        <v>4.8</v>
      </c>
      <c r="F1462" s="189"/>
      <c r="G1462" s="190">
        <f t="shared" si="74"/>
        <v>0</v>
      </c>
    </row>
    <row r="1463" spans="1:7" s="21" customFormat="1" ht="15.5">
      <c r="A1463" s="22"/>
      <c r="B1463" s="124">
        <v>70410.03</v>
      </c>
      <c r="C1463" s="187" t="s">
        <v>1937</v>
      </c>
      <c r="D1463" s="188" t="s">
        <v>148</v>
      </c>
      <c r="E1463" s="321">
        <v>27</v>
      </c>
      <c r="F1463" s="189"/>
      <c r="G1463" s="190">
        <f t="shared" si="74"/>
        <v>0</v>
      </c>
    </row>
    <row r="1464" spans="1:7" s="21" customFormat="1" ht="15.5">
      <c r="A1464" s="22"/>
      <c r="B1464" s="124">
        <v>70410.05</v>
      </c>
      <c r="C1464" s="187" t="s">
        <v>1889</v>
      </c>
      <c r="D1464" s="188" t="s">
        <v>148</v>
      </c>
      <c r="E1464" s="322">
        <v>29.799999999999979</v>
      </c>
      <c r="F1464" s="202"/>
      <c r="G1464" s="190">
        <f t="shared" si="74"/>
        <v>0</v>
      </c>
    </row>
    <row r="1465" spans="1:7" s="21" customFormat="1" ht="15.5">
      <c r="A1465" s="22"/>
      <c r="B1465" s="124">
        <v>70410.06</v>
      </c>
      <c r="C1465" s="187" t="s">
        <v>1890</v>
      </c>
      <c r="D1465" s="188" t="s">
        <v>148</v>
      </c>
      <c r="E1465" s="322">
        <v>0.8</v>
      </c>
      <c r="F1465" s="202"/>
      <c r="G1465" s="190">
        <f t="shared" si="74"/>
        <v>0</v>
      </c>
    </row>
    <row r="1466" spans="1:7" s="21" customFormat="1" ht="15.5">
      <c r="A1466" s="22"/>
      <c r="B1466" s="124">
        <v>70411.009999999995</v>
      </c>
      <c r="C1466" s="187" t="s">
        <v>477</v>
      </c>
      <c r="D1466" s="188" t="s">
        <v>148</v>
      </c>
      <c r="E1466" s="258"/>
      <c r="F1466" s="202"/>
      <c r="G1466" s="190">
        <f t="shared" si="74"/>
        <v>0</v>
      </c>
    </row>
    <row r="1467" spans="1:7" s="21" customFormat="1" ht="15.5">
      <c r="A1467" s="22"/>
      <c r="B1467" s="124">
        <v>70412.009999999995</v>
      </c>
      <c r="C1467" s="187" t="s">
        <v>1891</v>
      </c>
      <c r="D1467" s="188" t="s">
        <v>147</v>
      </c>
      <c r="E1467" s="258">
        <v>14</v>
      </c>
      <c r="F1467" s="202"/>
      <c r="G1467" s="190">
        <f t="shared" si="74"/>
        <v>0</v>
      </c>
    </row>
    <row r="1468" spans="1:7" s="21" customFormat="1" ht="15.5">
      <c r="A1468" s="22"/>
      <c r="B1468" s="124">
        <v>70412.02</v>
      </c>
      <c r="C1468" s="187" t="s">
        <v>1938</v>
      </c>
      <c r="D1468" s="188" t="s">
        <v>147</v>
      </c>
      <c r="E1468" s="258">
        <v>2</v>
      </c>
      <c r="F1468" s="202"/>
      <c r="G1468" s="190">
        <f t="shared" si="74"/>
        <v>0</v>
      </c>
    </row>
    <row r="1469" spans="1:7" s="21" customFormat="1" ht="15.5">
      <c r="A1469" s="22"/>
      <c r="B1469" s="124">
        <v>70412.03</v>
      </c>
      <c r="C1469" s="187" t="s">
        <v>1939</v>
      </c>
      <c r="D1469" s="188" t="s">
        <v>147</v>
      </c>
      <c r="E1469" s="258">
        <v>18</v>
      </c>
      <c r="F1469" s="202"/>
      <c r="G1469" s="190">
        <f t="shared" si="74"/>
        <v>0</v>
      </c>
    </row>
    <row r="1470" spans="1:7" s="21" customFormat="1" ht="15.5">
      <c r="A1470" s="22"/>
      <c r="B1470" s="124">
        <v>70412.039999999994</v>
      </c>
      <c r="C1470" s="187" t="s">
        <v>1892</v>
      </c>
      <c r="D1470" s="188" t="s">
        <v>147</v>
      </c>
      <c r="E1470" s="258">
        <v>37</v>
      </c>
      <c r="F1470" s="202"/>
      <c r="G1470" s="190">
        <f t="shared" si="74"/>
        <v>0</v>
      </c>
    </row>
    <row r="1471" spans="1:7" s="21" customFormat="1" ht="15.5">
      <c r="A1471" s="22"/>
      <c r="B1471" s="124">
        <v>70412.05</v>
      </c>
      <c r="C1471" s="187" t="s">
        <v>1893</v>
      </c>
      <c r="D1471" s="188" t="s">
        <v>147</v>
      </c>
      <c r="E1471" s="258">
        <v>4</v>
      </c>
      <c r="F1471" s="202"/>
      <c r="G1471" s="190">
        <f t="shared" si="74"/>
        <v>0</v>
      </c>
    </row>
    <row r="1472" spans="1:7" s="21" customFormat="1" ht="31">
      <c r="A1472" s="22"/>
      <c r="B1472" s="124">
        <v>70413.009999999995</v>
      </c>
      <c r="C1472" s="187" t="s">
        <v>1940</v>
      </c>
      <c r="D1472" s="188" t="s">
        <v>148</v>
      </c>
      <c r="E1472" s="322">
        <v>27.8</v>
      </c>
      <c r="F1472" s="202"/>
      <c r="G1472" s="190">
        <f t="shared" si="74"/>
        <v>0</v>
      </c>
    </row>
    <row r="1473" spans="1:7" s="21" customFormat="1" ht="31">
      <c r="A1473" s="22"/>
      <c r="B1473" s="124" t="s">
        <v>1945</v>
      </c>
      <c r="C1473" s="187" t="s">
        <v>2164</v>
      </c>
      <c r="D1473" s="188" t="s">
        <v>148</v>
      </c>
      <c r="E1473" s="322">
        <v>2.6</v>
      </c>
      <c r="F1473" s="202"/>
      <c r="G1473" s="190">
        <f t="shared" si="74"/>
        <v>0</v>
      </c>
    </row>
    <row r="1474" spans="1:7" s="21" customFormat="1" ht="31">
      <c r="A1474" s="22"/>
      <c r="B1474" s="124">
        <v>70413.03</v>
      </c>
      <c r="C1474" s="187" t="s">
        <v>1941</v>
      </c>
      <c r="D1474" s="188" t="s">
        <v>148</v>
      </c>
      <c r="E1474" s="322">
        <v>33.29999999999999</v>
      </c>
      <c r="F1474" s="202"/>
      <c r="G1474" s="190">
        <f t="shared" si="74"/>
        <v>0</v>
      </c>
    </row>
    <row r="1475" spans="1:7" s="21" customFormat="1" ht="31">
      <c r="A1475" s="22"/>
      <c r="B1475" s="124">
        <v>70413.039999999994</v>
      </c>
      <c r="C1475" s="187" t="s">
        <v>1894</v>
      </c>
      <c r="D1475" s="188" t="s">
        <v>148</v>
      </c>
      <c r="E1475" s="322">
        <v>79.399999999999991</v>
      </c>
      <c r="F1475" s="202"/>
      <c r="G1475" s="190">
        <f t="shared" si="74"/>
        <v>0</v>
      </c>
    </row>
    <row r="1476" spans="1:7" s="21" customFormat="1" ht="31">
      <c r="A1476" s="22"/>
      <c r="B1476" s="124" t="s">
        <v>1830</v>
      </c>
      <c r="C1476" s="187" t="s">
        <v>2165</v>
      </c>
      <c r="D1476" s="188" t="s">
        <v>148</v>
      </c>
      <c r="E1476" s="322">
        <v>31.2</v>
      </c>
      <c r="F1476" s="202"/>
      <c r="G1476" s="190">
        <f t="shared" si="74"/>
        <v>0</v>
      </c>
    </row>
    <row r="1477" spans="1:7" s="21" customFormat="1" ht="15.5">
      <c r="A1477" s="22"/>
      <c r="B1477" s="124">
        <v>70413.06</v>
      </c>
      <c r="C1477" s="187" t="s">
        <v>1895</v>
      </c>
      <c r="D1477" s="188" t="s">
        <v>148</v>
      </c>
      <c r="E1477" s="322">
        <v>13</v>
      </c>
      <c r="F1477" s="202"/>
      <c r="G1477" s="190">
        <f t="shared" si="74"/>
        <v>0</v>
      </c>
    </row>
    <row r="1478" spans="1:7" s="21" customFormat="1" ht="31">
      <c r="A1478" s="22"/>
      <c r="B1478" s="124" t="s">
        <v>1831</v>
      </c>
      <c r="C1478" s="187" t="s">
        <v>2166</v>
      </c>
      <c r="D1478" s="188" t="s">
        <v>148</v>
      </c>
      <c r="E1478" s="322">
        <v>1.3</v>
      </c>
      <c r="F1478" s="202"/>
      <c r="G1478" s="190">
        <f t="shared" si="74"/>
        <v>0</v>
      </c>
    </row>
    <row r="1479" spans="1:7" s="21" customFormat="1" ht="15.5">
      <c r="A1479" s="22"/>
      <c r="B1479" s="124">
        <v>70414.009999999995</v>
      </c>
      <c r="C1479" s="187" t="s">
        <v>1832</v>
      </c>
      <c r="D1479" s="188" t="s">
        <v>148</v>
      </c>
      <c r="E1479" s="322">
        <v>462.90000000000003</v>
      </c>
      <c r="F1479" s="202"/>
      <c r="G1479" s="190">
        <f t="shared" si="74"/>
        <v>0</v>
      </c>
    </row>
    <row r="1480" spans="1:7" s="21" customFormat="1" ht="31">
      <c r="A1480" s="22"/>
      <c r="B1480" s="124" t="s">
        <v>1829</v>
      </c>
      <c r="C1480" s="187" t="s">
        <v>2167</v>
      </c>
      <c r="D1480" s="188" t="s">
        <v>148</v>
      </c>
      <c r="E1480" s="322">
        <v>49.5</v>
      </c>
      <c r="F1480" s="202"/>
      <c r="G1480" s="190">
        <f t="shared" si="74"/>
        <v>0</v>
      </c>
    </row>
    <row r="1481" spans="1:7" s="21" customFormat="1" ht="15.5">
      <c r="A1481" s="22"/>
      <c r="B1481" s="124">
        <v>70415.009999999995</v>
      </c>
      <c r="C1481" s="187" t="s">
        <v>478</v>
      </c>
      <c r="D1481" s="188" t="s">
        <v>149</v>
      </c>
      <c r="E1481" s="322">
        <v>155.56999999999991</v>
      </c>
      <c r="F1481" s="202"/>
      <c r="G1481" s="190">
        <f t="shared" si="74"/>
        <v>0</v>
      </c>
    </row>
    <row r="1482" spans="1:7" s="21" customFormat="1" ht="16" thickBot="1">
      <c r="A1482" s="22"/>
      <c r="B1482" s="232" t="s">
        <v>1908</v>
      </c>
      <c r="C1482" s="308" t="s">
        <v>2168</v>
      </c>
      <c r="D1482" s="192" t="s">
        <v>149</v>
      </c>
      <c r="E1482" s="323">
        <v>22.299999999999994</v>
      </c>
      <c r="F1482" s="193"/>
      <c r="G1482" s="233">
        <f t="shared" si="74"/>
        <v>0</v>
      </c>
    </row>
    <row r="1483" spans="1:7" s="21" customFormat="1" ht="16" thickBot="1">
      <c r="A1483" s="22"/>
      <c r="B1483" s="123"/>
      <c r="C1483" s="23" t="s">
        <v>1086</v>
      </c>
      <c r="D1483" s="43"/>
      <c r="E1483" s="59" t="str">
        <f>IF(SUM(E1484:E1494)&gt;0,1,"")</f>
        <v/>
      </c>
      <c r="F1483" s="60"/>
      <c r="G1483" s="61"/>
    </row>
    <row r="1484" spans="1:7" s="21" customFormat="1" ht="31.5" thickBot="1">
      <c r="A1484" s="22"/>
      <c r="B1484" s="151"/>
      <c r="C1484" s="112" t="s">
        <v>1087</v>
      </c>
      <c r="D1484" s="113"/>
      <c r="E1484" s="114" t="str">
        <f>IF(SUM(E1485:E1494)&gt;0,1,"")</f>
        <v/>
      </c>
      <c r="F1484" s="115"/>
      <c r="G1484" s="116"/>
    </row>
    <row r="1485" spans="1:7" s="21" customFormat="1" ht="15.5">
      <c r="A1485" s="22"/>
      <c r="B1485" s="127">
        <v>70501.009999999995</v>
      </c>
      <c r="C1485" s="159" t="s">
        <v>125</v>
      </c>
      <c r="D1485" s="62" t="s">
        <v>147</v>
      </c>
      <c r="E1485" s="245"/>
      <c r="F1485" s="63"/>
      <c r="G1485" s="103">
        <f t="shared" ref="G1485:G1494" si="75">E1485*F1485</f>
        <v>0</v>
      </c>
    </row>
    <row r="1486" spans="1:7" s="21" customFormat="1" ht="15.5">
      <c r="A1486" s="22"/>
      <c r="B1486" s="124">
        <v>70502.009999999995</v>
      </c>
      <c r="C1486" s="156" t="s">
        <v>124</v>
      </c>
      <c r="D1486" s="25" t="s">
        <v>147</v>
      </c>
      <c r="E1486" s="234"/>
      <c r="F1486" s="67"/>
      <c r="G1486" s="81">
        <f t="shared" si="75"/>
        <v>0</v>
      </c>
    </row>
    <row r="1487" spans="1:7" s="21" customFormat="1" ht="15.5">
      <c r="A1487" s="22"/>
      <c r="B1487" s="124">
        <v>70503.009999999995</v>
      </c>
      <c r="C1487" s="156" t="s">
        <v>254</v>
      </c>
      <c r="D1487" s="25" t="s">
        <v>146</v>
      </c>
      <c r="E1487" s="234"/>
      <c r="F1487" s="67"/>
      <c r="G1487" s="81">
        <f t="shared" si="75"/>
        <v>0</v>
      </c>
    </row>
    <row r="1488" spans="1:7" s="21" customFormat="1" ht="15.5">
      <c r="A1488" s="22"/>
      <c r="B1488" s="134" t="s">
        <v>772</v>
      </c>
      <c r="C1488" s="156" t="s">
        <v>255</v>
      </c>
      <c r="D1488" s="25" t="s">
        <v>147</v>
      </c>
      <c r="E1488" s="234"/>
      <c r="F1488" s="67"/>
      <c r="G1488" s="81">
        <f t="shared" si="75"/>
        <v>0</v>
      </c>
    </row>
    <row r="1489" spans="1:7" s="21" customFormat="1" ht="15.5">
      <c r="A1489" s="22"/>
      <c r="B1489" s="134">
        <v>70508.009999999995</v>
      </c>
      <c r="C1489" s="156" t="s">
        <v>123</v>
      </c>
      <c r="D1489" s="25" t="s">
        <v>148</v>
      </c>
      <c r="E1489" s="234"/>
      <c r="F1489" s="67"/>
      <c r="G1489" s="81">
        <f t="shared" si="75"/>
        <v>0</v>
      </c>
    </row>
    <row r="1490" spans="1:7" s="21" customFormat="1" ht="15.5">
      <c r="A1490" s="22"/>
      <c r="B1490" s="134">
        <v>70509.009999999995</v>
      </c>
      <c r="C1490" s="156" t="s">
        <v>122</v>
      </c>
      <c r="D1490" s="25" t="s">
        <v>148</v>
      </c>
      <c r="E1490" s="234"/>
      <c r="F1490" s="67"/>
      <c r="G1490" s="81">
        <f t="shared" si="75"/>
        <v>0</v>
      </c>
    </row>
    <row r="1491" spans="1:7" s="21" customFormat="1" ht="15.5">
      <c r="A1491" s="22"/>
      <c r="B1491" s="124">
        <v>70510.009999999995</v>
      </c>
      <c r="C1491" s="156" t="s">
        <v>479</v>
      </c>
      <c r="D1491" s="25" t="s">
        <v>148</v>
      </c>
      <c r="E1491" s="234"/>
      <c r="F1491" s="67"/>
      <c r="G1491" s="81">
        <f t="shared" si="75"/>
        <v>0</v>
      </c>
    </row>
    <row r="1492" spans="1:7" s="21" customFormat="1" ht="15.5">
      <c r="A1492" s="22"/>
      <c r="B1492" s="134">
        <v>70511.009999999995</v>
      </c>
      <c r="C1492" s="156" t="s">
        <v>256</v>
      </c>
      <c r="D1492" s="25" t="s">
        <v>149</v>
      </c>
      <c r="E1492" s="234"/>
      <c r="F1492" s="67"/>
      <c r="G1492" s="81">
        <f t="shared" si="75"/>
        <v>0</v>
      </c>
    </row>
    <row r="1493" spans="1:7" s="21" customFormat="1" ht="15.5">
      <c r="A1493" s="22"/>
      <c r="B1493" s="134">
        <v>70512.009999999995</v>
      </c>
      <c r="C1493" s="156" t="s">
        <v>1512</v>
      </c>
      <c r="D1493" s="25" t="s">
        <v>148</v>
      </c>
      <c r="E1493" s="234"/>
      <c r="F1493" s="67"/>
      <c r="G1493" s="81">
        <f t="shared" si="75"/>
        <v>0</v>
      </c>
    </row>
    <row r="1494" spans="1:7" s="21" customFormat="1" ht="16" thickBot="1">
      <c r="A1494" s="22"/>
      <c r="B1494" s="135">
        <v>70513.009999999995</v>
      </c>
      <c r="C1494" s="157" t="s">
        <v>1513</v>
      </c>
      <c r="D1494" s="104" t="s">
        <v>148</v>
      </c>
      <c r="E1494" s="194"/>
      <c r="F1494" s="105"/>
      <c r="G1494" s="106">
        <f t="shared" si="75"/>
        <v>0</v>
      </c>
    </row>
    <row r="1495" spans="1:7" s="21" customFormat="1" ht="31.5" thickBot="1">
      <c r="A1495" s="22"/>
      <c r="B1495" s="151"/>
      <c r="C1495" s="112" t="s">
        <v>1088</v>
      </c>
      <c r="D1495" s="113"/>
      <c r="E1495" s="114" t="str">
        <f>IF(SUM(E1496:E1505)&gt;0,1,"")</f>
        <v/>
      </c>
      <c r="F1495" s="115"/>
      <c r="G1495" s="116"/>
    </row>
    <row r="1496" spans="1:7" s="21" customFormat="1" ht="15.5">
      <c r="A1496" s="22"/>
      <c r="B1496" s="134">
        <v>70601.009999999995</v>
      </c>
      <c r="C1496" s="274" t="s">
        <v>2044</v>
      </c>
      <c r="D1496" s="62" t="s">
        <v>146</v>
      </c>
      <c r="E1496" s="273"/>
      <c r="F1496" s="224"/>
      <c r="G1496" s="299">
        <f t="shared" ref="G1496:G1505" si="76">E1496*F1496</f>
        <v>0</v>
      </c>
    </row>
    <row r="1497" spans="1:7" s="21" customFormat="1" ht="15.5">
      <c r="A1497" s="22"/>
      <c r="B1497" s="134">
        <v>70602.009999999995</v>
      </c>
      <c r="C1497" s="275" t="s">
        <v>631</v>
      </c>
      <c r="D1497" s="25" t="s">
        <v>147</v>
      </c>
      <c r="E1497" s="272"/>
      <c r="F1497" s="189"/>
      <c r="G1497" s="190">
        <f t="shared" si="76"/>
        <v>0</v>
      </c>
    </row>
    <row r="1498" spans="1:7" s="21" customFormat="1" ht="15.5">
      <c r="A1498" s="22"/>
      <c r="B1498" s="134">
        <v>70603.009999999995</v>
      </c>
      <c r="C1498" s="275" t="s">
        <v>2039</v>
      </c>
      <c r="D1498" s="25" t="s">
        <v>147</v>
      </c>
      <c r="E1498" s="272"/>
      <c r="F1498" s="189"/>
      <c r="G1498" s="190">
        <f t="shared" si="76"/>
        <v>0</v>
      </c>
    </row>
    <row r="1499" spans="1:7" s="21" customFormat="1" ht="15.5">
      <c r="A1499" s="22"/>
      <c r="B1499" s="134">
        <v>70604.009999999995</v>
      </c>
      <c r="C1499" s="275" t="s">
        <v>2040</v>
      </c>
      <c r="D1499" s="25" t="s">
        <v>146</v>
      </c>
      <c r="E1499" s="272"/>
      <c r="F1499" s="189"/>
      <c r="G1499" s="190">
        <f t="shared" si="76"/>
        <v>0</v>
      </c>
    </row>
    <row r="1500" spans="1:7" s="21" customFormat="1" ht="15.5">
      <c r="A1500" s="22"/>
      <c r="B1500" s="134" t="s">
        <v>773</v>
      </c>
      <c r="C1500" s="275" t="s">
        <v>2041</v>
      </c>
      <c r="D1500" s="25" t="s">
        <v>147</v>
      </c>
      <c r="E1500" s="272"/>
      <c r="F1500" s="189"/>
      <c r="G1500" s="190">
        <f t="shared" si="76"/>
        <v>0</v>
      </c>
    </row>
    <row r="1501" spans="1:7" s="21" customFormat="1" ht="15.5">
      <c r="A1501" s="22"/>
      <c r="B1501" s="134">
        <v>70609.009999999995</v>
      </c>
      <c r="C1501" s="275" t="s">
        <v>2042</v>
      </c>
      <c r="D1501" s="25" t="s">
        <v>148</v>
      </c>
      <c r="E1501" s="272"/>
      <c r="F1501" s="189"/>
      <c r="G1501" s="190">
        <f t="shared" si="76"/>
        <v>0</v>
      </c>
    </row>
    <row r="1502" spans="1:7" s="21" customFormat="1" ht="15.5">
      <c r="A1502" s="22"/>
      <c r="B1502" s="134">
        <v>70610.009999999995</v>
      </c>
      <c r="C1502" s="275" t="s">
        <v>2043</v>
      </c>
      <c r="D1502" s="25" t="s">
        <v>147</v>
      </c>
      <c r="E1502" s="272"/>
      <c r="F1502" s="189"/>
      <c r="G1502" s="190">
        <f t="shared" si="76"/>
        <v>0</v>
      </c>
    </row>
    <row r="1503" spans="1:7" s="21" customFormat="1" ht="15.5">
      <c r="A1503" s="22"/>
      <c r="B1503" s="134">
        <v>70611.009999999995</v>
      </c>
      <c r="C1503" s="275" t="s">
        <v>2045</v>
      </c>
      <c r="D1503" s="25" t="s">
        <v>148</v>
      </c>
      <c r="E1503" s="272"/>
      <c r="F1503" s="189"/>
      <c r="G1503" s="190">
        <f t="shared" si="76"/>
        <v>0</v>
      </c>
    </row>
    <row r="1504" spans="1:7" s="21" customFormat="1" ht="15.5">
      <c r="A1504" s="22"/>
      <c r="B1504" s="134">
        <v>70612.009999999995</v>
      </c>
      <c r="C1504" s="275" t="s">
        <v>2046</v>
      </c>
      <c r="D1504" s="25" t="s">
        <v>148</v>
      </c>
      <c r="E1504" s="272"/>
      <c r="F1504" s="189"/>
      <c r="G1504" s="190">
        <f t="shared" si="76"/>
        <v>0</v>
      </c>
    </row>
    <row r="1505" spans="1:7" s="21" customFormat="1" ht="16" thickBot="1">
      <c r="A1505" s="22"/>
      <c r="B1505" s="134">
        <v>70613.009999999995</v>
      </c>
      <c r="C1505" s="276" t="s">
        <v>478</v>
      </c>
      <c r="D1505" s="104" t="s">
        <v>149</v>
      </c>
      <c r="E1505" s="272"/>
      <c r="F1505" s="189"/>
      <c r="G1505" s="190">
        <f t="shared" si="76"/>
        <v>0</v>
      </c>
    </row>
    <row r="1506" spans="1:7" s="21" customFormat="1" ht="16" thickBot="1">
      <c r="A1506" s="22"/>
      <c r="B1506" s="178"/>
      <c r="C1506" s="179" t="s">
        <v>1089</v>
      </c>
      <c r="D1506" s="180"/>
      <c r="E1506" s="181" t="str">
        <f>IF(SUM(E1507:E1517)&gt;0,1,"")</f>
        <v/>
      </c>
      <c r="F1506" s="182"/>
      <c r="G1506" s="183"/>
    </row>
    <row r="1507" spans="1:7" s="21" customFormat="1" ht="31">
      <c r="A1507" s="22"/>
      <c r="B1507" s="136">
        <v>70701.009999999995</v>
      </c>
      <c r="C1507" s="159" t="s">
        <v>1514</v>
      </c>
      <c r="D1507" s="62" t="s">
        <v>146</v>
      </c>
      <c r="E1507" s="245"/>
      <c r="F1507" s="63"/>
      <c r="G1507" s="103">
        <f t="shared" ref="G1507:G1517" si="77">E1507*F1507</f>
        <v>0</v>
      </c>
    </row>
    <row r="1508" spans="1:7" s="21" customFormat="1" ht="31">
      <c r="A1508" s="22"/>
      <c r="B1508" s="134">
        <v>70702.009999999995</v>
      </c>
      <c r="C1508" s="156" t="s">
        <v>1515</v>
      </c>
      <c r="D1508" s="25" t="s">
        <v>145</v>
      </c>
      <c r="E1508" s="234"/>
      <c r="F1508" s="67"/>
      <c r="G1508" s="81">
        <f t="shared" si="77"/>
        <v>0</v>
      </c>
    </row>
    <row r="1509" spans="1:7" s="21" customFormat="1" ht="31">
      <c r="A1509" s="22"/>
      <c r="B1509" s="134">
        <v>70703.009999999995</v>
      </c>
      <c r="C1509" s="156" t="s">
        <v>1516</v>
      </c>
      <c r="D1509" s="25" t="s">
        <v>147</v>
      </c>
      <c r="E1509" s="234"/>
      <c r="F1509" s="67"/>
      <c r="G1509" s="81">
        <f t="shared" si="77"/>
        <v>0</v>
      </c>
    </row>
    <row r="1510" spans="1:7" s="21" customFormat="1" ht="31">
      <c r="A1510" s="22"/>
      <c r="B1510" s="134" t="s">
        <v>774</v>
      </c>
      <c r="C1510" s="156" t="s">
        <v>1517</v>
      </c>
      <c r="D1510" s="25" t="s">
        <v>146</v>
      </c>
      <c r="E1510" s="234"/>
      <c r="F1510" s="67"/>
      <c r="G1510" s="81">
        <f t="shared" si="77"/>
        <v>0</v>
      </c>
    </row>
    <row r="1511" spans="1:7" s="21" customFormat="1" ht="15.5">
      <c r="A1511" s="22"/>
      <c r="B1511" s="124">
        <v>70708.009999999995</v>
      </c>
      <c r="C1511" s="156" t="s">
        <v>480</v>
      </c>
      <c r="D1511" s="25" t="s">
        <v>145</v>
      </c>
      <c r="E1511" s="234"/>
      <c r="F1511" s="67"/>
      <c r="G1511" s="81">
        <f t="shared" si="77"/>
        <v>0</v>
      </c>
    </row>
    <row r="1512" spans="1:7" s="21" customFormat="1" ht="15.5">
      <c r="A1512" s="22"/>
      <c r="B1512" s="134">
        <v>70709.009999999995</v>
      </c>
      <c r="C1512" s="156" t="s">
        <v>481</v>
      </c>
      <c r="D1512" s="25" t="s">
        <v>146</v>
      </c>
      <c r="E1512" s="234"/>
      <c r="F1512" s="67"/>
      <c r="G1512" s="81">
        <f t="shared" si="77"/>
        <v>0</v>
      </c>
    </row>
    <row r="1513" spans="1:7" s="21" customFormat="1" ht="15.5">
      <c r="A1513" s="22"/>
      <c r="B1513" s="124">
        <v>70710.009999999995</v>
      </c>
      <c r="C1513" s="156" t="s">
        <v>482</v>
      </c>
      <c r="D1513" s="25" t="s">
        <v>147</v>
      </c>
      <c r="E1513" s="234"/>
      <c r="F1513" s="67"/>
      <c r="G1513" s="81">
        <f t="shared" si="77"/>
        <v>0</v>
      </c>
    </row>
    <row r="1514" spans="1:7" s="21" customFormat="1" ht="31">
      <c r="A1514" s="22"/>
      <c r="B1514" s="124">
        <v>70711.009999999995</v>
      </c>
      <c r="C1514" s="156" t="s">
        <v>1518</v>
      </c>
      <c r="D1514" s="25" t="s">
        <v>147</v>
      </c>
      <c r="E1514" s="234"/>
      <c r="F1514" s="67"/>
      <c r="G1514" s="81">
        <f t="shared" si="77"/>
        <v>0</v>
      </c>
    </row>
    <row r="1515" spans="1:7" s="21" customFormat="1" ht="31">
      <c r="A1515" s="22"/>
      <c r="B1515" s="124" t="s">
        <v>775</v>
      </c>
      <c r="C1515" s="156" t="s">
        <v>1519</v>
      </c>
      <c r="D1515" s="25" t="s">
        <v>146</v>
      </c>
      <c r="E1515" s="234"/>
      <c r="F1515" s="67"/>
      <c r="G1515" s="81">
        <f t="shared" si="77"/>
        <v>0</v>
      </c>
    </row>
    <row r="1516" spans="1:7" s="21" customFormat="1" ht="31">
      <c r="A1516" s="22"/>
      <c r="B1516" s="124" t="s">
        <v>776</v>
      </c>
      <c r="C1516" s="156" t="s">
        <v>257</v>
      </c>
      <c r="D1516" s="25" t="s">
        <v>147</v>
      </c>
      <c r="E1516" s="234"/>
      <c r="F1516" s="67"/>
      <c r="G1516" s="81">
        <f t="shared" si="77"/>
        <v>0</v>
      </c>
    </row>
    <row r="1517" spans="1:7" s="21" customFormat="1" ht="16" thickBot="1">
      <c r="A1517" s="22"/>
      <c r="B1517" s="125">
        <v>70720.009999999995</v>
      </c>
      <c r="C1517" s="157" t="s">
        <v>483</v>
      </c>
      <c r="D1517" s="104" t="s">
        <v>147</v>
      </c>
      <c r="E1517" s="194"/>
      <c r="F1517" s="105"/>
      <c r="G1517" s="106">
        <f t="shared" si="77"/>
        <v>0</v>
      </c>
    </row>
    <row r="1518" spans="1:7" s="21" customFormat="1" ht="16" thickBot="1">
      <c r="A1518" s="22"/>
      <c r="B1518" s="151"/>
      <c r="C1518" s="112" t="s">
        <v>1090</v>
      </c>
      <c r="D1518" s="113"/>
      <c r="E1518" s="114" t="str">
        <f>IF(SUM(E1519:E1532)&gt;0,1,"")</f>
        <v/>
      </c>
      <c r="F1518" s="115"/>
      <c r="G1518" s="116"/>
    </row>
    <row r="1519" spans="1:7" s="21" customFormat="1" ht="15.5">
      <c r="A1519" s="22"/>
      <c r="B1519" s="127">
        <v>70801.009999999995</v>
      </c>
      <c r="C1519" s="159" t="s">
        <v>121</v>
      </c>
      <c r="D1519" s="62" t="s">
        <v>146</v>
      </c>
      <c r="E1519" s="245"/>
      <c r="F1519" s="63"/>
      <c r="G1519" s="103">
        <f t="shared" ref="G1519:G1532" si="78">E1519*F1519</f>
        <v>0</v>
      </c>
    </row>
    <row r="1520" spans="1:7" s="21" customFormat="1" ht="15.5">
      <c r="A1520" s="22"/>
      <c r="B1520" s="124">
        <v>70802.009999999995</v>
      </c>
      <c r="C1520" s="156" t="s">
        <v>120</v>
      </c>
      <c r="D1520" s="25" t="s">
        <v>147</v>
      </c>
      <c r="E1520" s="234"/>
      <c r="F1520" s="67"/>
      <c r="G1520" s="81">
        <f t="shared" si="78"/>
        <v>0</v>
      </c>
    </row>
    <row r="1521" spans="1:7" s="21" customFormat="1" ht="15.5">
      <c r="A1521" s="22"/>
      <c r="B1521" s="134" t="s">
        <v>777</v>
      </c>
      <c r="C1521" s="156" t="s">
        <v>119</v>
      </c>
      <c r="D1521" s="25" t="s">
        <v>146</v>
      </c>
      <c r="E1521" s="234"/>
      <c r="F1521" s="67"/>
      <c r="G1521" s="81">
        <f t="shared" si="78"/>
        <v>0</v>
      </c>
    </row>
    <row r="1522" spans="1:7" s="21" customFormat="1" ht="15.5">
      <c r="A1522" s="22"/>
      <c r="B1522" s="134">
        <v>70807.009999999995</v>
      </c>
      <c r="C1522" s="156" t="s">
        <v>118</v>
      </c>
      <c r="D1522" s="25" t="s">
        <v>145</v>
      </c>
      <c r="E1522" s="234"/>
      <c r="F1522" s="67"/>
      <c r="G1522" s="81">
        <f t="shared" si="78"/>
        <v>0</v>
      </c>
    </row>
    <row r="1523" spans="1:7" s="21" customFormat="1" ht="15.5">
      <c r="A1523" s="22"/>
      <c r="B1523" s="134">
        <v>70808.009999999995</v>
      </c>
      <c r="C1523" s="156" t="s">
        <v>117</v>
      </c>
      <c r="D1523" s="25" t="s">
        <v>146</v>
      </c>
      <c r="E1523" s="234"/>
      <c r="F1523" s="67"/>
      <c r="G1523" s="81">
        <f t="shared" si="78"/>
        <v>0</v>
      </c>
    </row>
    <row r="1524" spans="1:7" s="21" customFormat="1" ht="15.5">
      <c r="A1524" s="22"/>
      <c r="B1524" s="134">
        <v>70809.009999999995</v>
      </c>
      <c r="C1524" s="156" t="s">
        <v>116</v>
      </c>
      <c r="D1524" s="25" t="s">
        <v>145</v>
      </c>
      <c r="E1524" s="234"/>
      <c r="F1524" s="67"/>
      <c r="G1524" s="81">
        <f t="shared" si="78"/>
        <v>0</v>
      </c>
    </row>
    <row r="1525" spans="1:7" s="21" customFormat="1" ht="15.5">
      <c r="A1525" s="22"/>
      <c r="B1525" s="134">
        <v>70810.009999999995</v>
      </c>
      <c r="C1525" s="156" t="s">
        <v>115</v>
      </c>
      <c r="D1525" s="25" t="s">
        <v>146</v>
      </c>
      <c r="E1525" s="234"/>
      <c r="F1525" s="67"/>
      <c r="G1525" s="81">
        <f t="shared" si="78"/>
        <v>0</v>
      </c>
    </row>
    <row r="1526" spans="1:7" s="21" customFormat="1" ht="15.5">
      <c r="A1526" s="22"/>
      <c r="B1526" s="134">
        <v>70811.009999999995</v>
      </c>
      <c r="C1526" s="156" t="s">
        <v>114</v>
      </c>
      <c r="D1526" s="25" t="s">
        <v>145</v>
      </c>
      <c r="E1526" s="234"/>
      <c r="F1526" s="67"/>
      <c r="G1526" s="81">
        <f t="shared" si="78"/>
        <v>0</v>
      </c>
    </row>
    <row r="1527" spans="1:7" s="21" customFormat="1" ht="15.5">
      <c r="A1527" s="22"/>
      <c r="B1527" s="134">
        <v>70812.009999999995</v>
      </c>
      <c r="C1527" s="156" t="s">
        <v>113</v>
      </c>
      <c r="D1527" s="25" t="s">
        <v>146</v>
      </c>
      <c r="E1527" s="234"/>
      <c r="F1527" s="67"/>
      <c r="G1527" s="81">
        <f t="shared" si="78"/>
        <v>0</v>
      </c>
    </row>
    <row r="1528" spans="1:7" s="21" customFormat="1" ht="15.5">
      <c r="A1528" s="22"/>
      <c r="B1528" s="134" t="s">
        <v>778</v>
      </c>
      <c r="C1528" s="156" t="s">
        <v>258</v>
      </c>
      <c r="D1528" s="25" t="s">
        <v>147</v>
      </c>
      <c r="E1528" s="234"/>
      <c r="F1528" s="67"/>
      <c r="G1528" s="81">
        <f t="shared" si="78"/>
        <v>0</v>
      </c>
    </row>
    <row r="1529" spans="1:7" s="21" customFormat="1" ht="15.5">
      <c r="A1529" s="22"/>
      <c r="B1529" s="134">
        <v>70817.009999999995</v>
      </c>
      <c r="C1529" s="156" t="s">
        <v>112</v>
      </c>
      <c r="D1529" s="25" t="s">
        <v>147</v>
      </c>
      <c r="E1529" s="234"/>
      <c r="F1529" s="67"/>
      <c r="G1529" s="81">
        <f t="shared" si="78"/>
        <v>0</v>
      </c>
    </row>
    <row r="1530" spans="1:7" s="21" customFormat="1" ht="15.5">
      <c r="A1530" s="22"/>
      <c r="B1530" s="134" t="s">
        <v>779</v>
      </c>
      <c r="C1530" s="156" t="s">
        <v>259</v>
      </c>
      <c r="D1530" s="25" t="s">
        <v>147</v>
      </c>
      <c r="E1530" s="234"/>
      <c r="F1530" s="67"/>
      <c r="G1530" s="81">
        <f t="shared" si="78"/>
        <v>0</v>
      </c>
    </row>
    <row r="1531" spans="1:7" s="21" customFormat="1" ht="15.5">
      <c r="A1531" s="22"/>
      <c r="B1531" s="134">
        <v>70822.009999999995</v>
      </c>
      <c r="C1531" s="156" t="s">
        <v>483</v>
      </c>
      <c r="D1531" s="25" t="s">
        <v>147</v>
      </c>
      <c r="E1531" s="234"/>
      <c r="F1531" s="67"/>
      <c r="G1531" s="81">
        <f t="shared" si="78"/>
        <v>0</v>
      </c>
    </row>
    <row r="1532" spans="1:7" s="21" customFormat="1" ht="16" thickBot="1">
      <c r="A1532" s="22"/>
      <c r="B1532" s="125">
        <v>70823.009999999995</v>
      </c>
      <c r="C1532" s="157" t="s">
        <v>484</v>
      </c>
      <c r="D1532" s="104" t="s">
        <v>233</v>
      </c>
      <c r="E1532" s="194"/>
      <c r="F1532" s="105"/>
      <c r="G1532" s="106">
        <f t="shared" si="78"/>
        <v>0</v>
      </c>
    </row>
    <row r="1533" spans="1:7" s="21" customFormat="1" ht="16" thickBot="1">
      <c r="A1533" s="22"/>
      <c r="B1533" s="151"/>
      <c r="C1533" s="112" t="s">
        <v>1091</v>
      </c>
      <c r="D1533" s="113"/>
      <c r="E1533" s="114" t="str">
        <f>IF(SUM(E1534:E1536)&gt;0,1,"")</f>
        <v/>
      </c>
      <c r="F1533" s="115"/>
      <c r="G1533" s="116"/>
    </row>
    <row r="1534" spans="1:7" s="21" customFormat="1" ht="31">
      <c r="A1534" s="22"/>
      <c r="B1534" s="136">
        <v>71001.009999999995</v>
      </c>
      <c r="C1534" s="159" t="s">
        <v>485</v>
      </c>
      <c r="D1534" s="62" t="s">
        <v>145</v>
      </c>
      <c r="E1534" s="245"/>
      <c r="F1534" s="63"/>
      <c r="G1534" s="103">
        <f>E1534*F1534</f>
        <v>0</v>
      </c>
    </row>
    <row r="1535" spans="1:7" s="21" customFormat="1" ht="15.5">
      <c r="A1535" s="22"/>
      <c r="B1535" s="134">
        <v>71002.009999999995</v>
      </c>
      <c r="C1535" s="156" t="s">
        <v>260</v>
      </c>
      <c r="D1535" s="25" t="s">
        <v>147</v>
      </c>
      <c r="E1535" s="234"/>
      <c r="F1535" s="67"/>
      <c r="G1535" s="81">
        <f>E1535*F1535</f>
        <v>0</v>
      </c>
    </row>
    <row r="1536" spans="1:7" s="21" customFormat="1" ht="31.5" thickBot="1">
      <c r="A1536" s="22"/>
      <c r="B1536" s="125">
        <v>71003.009999999995</v>
      </c>
      <c r="C1536" s="157" t="s">
        <v>261</v>
      </c>
      <c r="D1536" s="104" t="s">
        <v>147</v>
      </c>
      <c r="E1536" s="194"/>
      <c r="F1536" s="105"/>
      <c r="G1536" s="106">
        <f>E1536*F1536</f>
        <v>0</v>
      </c>
    </row>
    <row r="1537" spans="1:7" s="21" customFormat="1" ht="31.5" thickBot="1">
      <c r="A1537" s="22"/>
      <c r="B1537" s="123"/>
      <c r="C1537" s="23" t="s">
        <v>1092</v>
      </c>
      <c r="D1537" s="43"/>
      <c r="E1537" s="59">
        <f>IF(SUM(E1538:E1563)&gt;0,1,"")</f>
        <v>1</v>
      </c>
      <c r="F1537" s="60"/>
      <c r="G1537" s="61"/>
    </row>
    <row r="1538" spans="1:7" s="21" customFormat="1" ht="31">
      <c r="A1538" s="22"/>
      <c r="B1538" s="141">
        <v>71701.009999999995</v>
      </c>
      <c r="C1538" s="167" t="s">
        <v>1759</v>
      </c>
      <c r="D1538" s="24" t="s">
        <v>147</v>
      </c>
      <c r="E1538" s="247">
        <v>16</v>
      </c>
      <c r="F1538" s="68"/>
      <c r="G1538" s="117">
        <f t="shared" ref="G1538:G1563" si="79">E1538*F1538</f>
        <v>0</v>
      </c>
    </row>
    <row r="1539" spans="1:7" s="21" customFormat="1" ht="31">
      <c r="A1539" s="22"/>
      <c r="B1539" s="134">
        <v>71701.02</v>
      </c>
      <c r="C1539" s="156" t="s">
        <v>1760</v>
      </c>
      <c r="D1539" s="25" t="s">
        <v>147</v>
      </c>
      <c r="E1539" s="234">
        <v>16</v>
      </c>
      <c r="F1539" s="67"/>
      <c r="G1539" s="81">
        <f t="shared" si="79"/>
        <v>0</v>
      </c>
    </row>
    <row r="1540" spans="1:7" s="21" customFormat="1" ht="31">
      <c r="A1540" s="22"/>
      <c r="B1540" s="134">
        <v>71701.03</v>
      </c>
      <c r="C1540" s="156" t="s">
        <v>1761</v>
      </c>
      <c r="D1540" s="25" t="s">
        <v>147</v>
      </c>
      <c r="E1540" s="234">
        <v>24</v>
      </c>
      <c r="F1540" s="67"/>
      <c r="G1540" s="81">
        <f t="shared" si="79"/>
        <v>0</v>
      </c>
    </row>
    <row r="1541" spans="1:7" s="21" customFormat="1" ht="31">
      <c r="A1541" s="22"/>
      <c r="B1541" s="134">
        <v>71701.039999999994</v>
      </c>
      <c r="C1541" s="156" t="s">
        <v>1762</v>
      </c>
      <c r="D1541" s="25" t="s">
        <v>147</v>
      </c>
      <c r="E1541" s="234">
        <v>16</v>
      </c>
      <c r="F1541" s="67"/>
      <c r="G1541" s="81">
        <f t="shared" si="79"/>
        <v>0</v>
      </c>
    </row>
    <row r="1542" spans="1:7" s="21" customFormat="1" ht="31">
      <c r="A1542" s="22"/>
      <c r="B1542" s="134">
        <v>71701.05</v>
      </c>
      <c r="C1542" s="156" t="s">
        <v>1763</v>
      </c>
      <c r="D1542" s="25" t="s">
        <v>147</v>
      </c>
      <c r="E1542" s="234">
        <v>8</v>
      </c>
      <c r="F1542" s="67"/>
      <c r="G1542" s="81">
        <f t="shared" si="79"/>
        <v>0</v>
      </c>
    </row>
    <row r="1543" spans="1:7" s="21" customFormat="1" ht="31">
      <c r="A1543" s="22"/>
      <c r="B1543" s="134">
        <v>71701.06</v>
      </c>
      <c r="C1543" s="156" t="s">
        <v>1764</v>
      </c>
      <c r="D1543" s="25" t="s">
        <v>147</v>
      </c>
      <c r="E1543" s="234">
        <v>24</v>
      </c>
      <c r="F1543" s="67"/>
      <c r="G1543" s="81">
        <f t="shared" si="79"/>
        <v>0</v>
      </c>
    </row>
    <row r="1544" spans="1:7" s="21" customFormat="1" ht="15.5">
      <c r="A1544" s="22"/>
      <c r="B1544" s="141">
        <v>71702.009999999995</v>
      </c>
      <c r="C1544" s="167" t="s">
        <v>111</v>
      </c>
      <c r="D1544" s="24" t="s">
        <v>145</v>
      </c>
      <c r="E1544" s="247"/>
      <c r="F1544" s="68"/>
      <c r="G1544" s="117">
        <f t="shared" si="79"/>
        <v>0</v>
      </c>
    </row>
    <row r="1545" spans="1:7" s="21" customFormat="1" ht="31">
      <c r="A1545" s="22"/>
      <c r="B1545" s="124">
        <v>71703.009999999995</v>
      </c>
      <c r="C1545" s="156" t="s">
        <v>1765</v>
      </c>
      <c r="D1545" s="25" t="s">
        <v>147</v>
      </c>
      <c r="E1545" s="247">
        <v>16</v>
      </c>
      <c r="F1545" s="67"/>
      <c r="G1545" s="81">
        <f t="shared" si="79"/>
        <v>0</v>
      </c>
    </row>
    <row r="1546" spans="1:7" s="21" customFormat="1" ht="31">
      <c r="A1546" s="22"/>
      <c r="B1546" s="124">
        <v>71703.02</v>
      </c>
      <c r="C1546" s="156" t="s">
        <v>1766</v>
      </c>
      <c r="D1546" s="25" t="s">
        <v>147</v>
      </c>
      <c r="E1546" s="234">
        <v>16</v>
      </c>
      <c r="F1546" s="67"/>
      <c r="G1546" s="81">
        <f t="shared" si="79"/>
        <v>0</v>
      </c>
    </row>
    <row r="1547" spans="1:7" s="21" customFormat="1" ht="31">
      <c r="A1547" s="22"/>
      <c r="B1547" s="124">
        <v>71703.03</v>
      </c>
      <c r="C1547" s="156" t="s">
        <v>1767</v>
      </c>
      <c r="D1547" s="25" t="s">
        <v>147</v>
      </c>
      <c r="E1547" s="234">
        <v>24</v>
      </c>
      <c r="F1547" s="67"/>
      <c r="G1547" s="81">
        <f t="shared" si="79"/>
        <v>0</v>
      </c>
    </row>
    <row r="1548" spans="1:7" s="21" customFormat="1" ht="31">
      <c r="A1548" s="22"/>
      <c r="B1548" s="124">
        <v>71703.039999999994</v>
      </c>
      <c r="C1548" s="156" t="s">
        <v>1768</v>
      </c>
      <c r="D1548" s="25" t="s">
        <v>147</v>
      </c>
      <c r="E1548" s="234">
        <v>16</v>
      </c>
      <c r="F1548" s="67"/>
      <c r="G1548" s="81">
        <f t="shared" si="79"/>
        <v>0</v>
      </c>
    </row>
    <row r="1549" spans="1:7" s="21" customFormat="1" ht="31">
      <c r="A1549" s="22"/>
      <c r="B1549" s="124">
        <v>71703.05</v>
      </c>
      <c r="C1549" s="156" t="s">
        <v>1769</v>
      </c>
      <c r="D1549" s="25" t="s">
        <v>147</v>
      </c>
      <c r="E1549" s="234">
        <v>8</v>
      </c>
      <c r="F1549" s="67"/>
      <c r="G1549" s="81">
        <f t="shared" si="79"/>
        <v>0</v>
      </c>
    </row>
    <row r="1550" spans="1:7" s="21" customFormat="1" ht="31">
      <c r="A1550" s="22"/>
      <c r="B1550" s="124">
        <v>71703.06</v>
      </c>
      <c r="C1550" s="156" t="s">
        <v>1770</v>
      </c>
      <c r="D1550" s="25" t="s">
        <v>147</v>
      </c>
      <c r="E1550" s="234">
        <v>24</v>
      </c>
      <c r="F1550" s="67"/>
      <c r="G1550" s="81">
        <f t="shared" si="79"/>
        <v>0</v>
      </c>
    </row>
    <row r="1551" spans="1:7" s="21" customFormat="1" ht="15.5">
      <c r="A1551" s="22"/>
      <c r="B1551" s="134">
        <v>71704.009999999995</v>
      </c>
      <c r="C1551" s="156" t="s">
        <v>1520</v>
      </c>
      <c r="D1551" s="25" t="s">
        <v>145</v>
      </c>
      <c r="E1551" s="234"/>
      <c r="F1551" s="67"/>
      <c r="G1551" s="81">
        <f t="shared" si="79"/>
        <v>0</v>
      </c>
    </row>
    <row r="1552" spans="1:7" s="21" customFormat="1" ht="15.5">
      <c r="A1552" s="22"/>
      <c r="B1552" s="134">
        <v>71705.009999999995</v>
      </c>
      <c r="C1552" s="156" t="s">
        <v>1521</v>
      </c>
      <c r="D1552" s="25" t="s">
        <v>147</v>
      </c>
      <c r="E1552" s="234"/>
      <c r="F1552" s="67"/>
      <c r="G1552" s="81">
        <f t="shared" si="79"/>
        <v>0</v>
      </c>
    </row>
    <row r="1553" spans="1:7" s="21" customFormat="1" ht="15.5">
      <c r="A1553" s="22"/>
      <c r="B1553" s="124">
        <v>71706.009999999995</v>
      </c>
      <c r="C1553" s="156" t="s">
        <v>1522</v>
      </c>
      <c r="D1553" s="25" t="s">
        <v>147</v>
      </c>
      <c r="E1553" s="234"/>
      <c r="F1553" s="67"/>
      <c r="G1553" s="81">
        <f t="shared" si="79"/>
        <v>0</v>
      </c>
    </row>
    <row r="1554" spans="1:7" s="21" customFormat="1" ht="31">
      <c r="A1554" s="22"/>
      <c r="B1554" s="134">
        <v>71707.009999999995</v>
      </c>
      <c r="C1554" s="156" t="s">
        <v>1771</v>
      </c>
      <c r="D1554" s="25" t="s">
        <v>147</v>
      </c>
      <c r="E1554" s="247">
        <v>16</v>
      </c>
      <c r="F1554" s="67"/>
      <c r="G1554" s="81">
        <f t="shared" si="79"/>
        <v>0</v>
      </c>
    </row>
    <row r="1555" spans="1:7" s="21" customFormat="1" ht="31">
      <c r="A1555" s="22"/>
      <c r="B1555" s="134">
        <v>71707.02</v>
      </c>
      <c r="C1555" s="156" t="s">
        <v>1772</v>
      </c>
      <c r="D1555" s="25" t="s">
        <v>147</v>
      </c>
      <c r="E1555" s="234">
        <v>16</v>
      </c>
      <c r="F1555" s="67"/>
      <c r="G1555" s="81">
        <f t="shared" si="79"/>
        <v>0</v>
      </c>
    </row>
    <row r="1556" spans="1:7" s="21" customFormat="1" ht="31">
      <c r="A1556" s="22"/>
      <c r="B1556" s="134">
        <v>71707.03</v>
      </c>
      <c r="C1556" s="156" t="s">
        <v>1773</v>
      </c>
      <c r="D1556" s="25" t="s">
        <v>147</v>
      </c>
      <c r="E1556" s="234">
        <v>24</v>
      </c>
      <c r="F1556" s="67"/>
      <c r="G1556" s="81">
        <f t="shared" si="79"/>
        <v>0</v>
      </c>
    </row>
    <row r="1557" spans="1:7" s="21" customFormat="1" ht="31">
      <c r="A1557" s="22"/>
      <c r="B1557" s="134">
        <v>71707.039999999994</v>
      </c>
      <c r="C1557" s="156" t="s">
        <v>1774</v>
      </c>
      <c r="D1557" s="25" t="s">
        <v>147</v>
      </c>
      <c r="E1557" s="234">
        <v>16</v>
      </c>
      <c r="F1557" s="67"/>
      <c r="G1557" s="81">
        <f t="shared" si="79"/>
        <v>0</v>
      </c>
    </row>
    <row r="1558" spans="1:7" s="21" customFormat="1" ht="31">
      <c r="A1558" s="22"/>
      <c r="B1558" s="134">
        <v>71707.05</v>
      </c>
      <c r="C1558" s="156" t="s">
        <v>1775</v>
      </c>
      <c r="D1558" s="25" t="s">
        <v>147</v>
      </c>
      <c r="E1558" s="234">
        <v>8</v>
      </c>
      <c r="F1558" s="67"/>
      <c r="G1558" s="81">
        <f t="shared" si="79"/>
        <v>0</v>
      </c>
    </row>
    <row r="1559" spans="1:7" s="21" customFormat="1" ht="31">
      <c r="A1559" s="22"/>
      <c r="B1559" s="134">
        <v>71707.06</v>
      </c>
      <c r="C1559" s="156" t="s">
        <v>1776</v>
      </c>
      <c r="D1559" s="25" t="s">
        <v>147</v>
      </c>
      <c r="E1559" s="234">
        <v>24</v>
      </c>
      <c r="F1559" s="67"/>
      <c r="G1559" s="81">
        <f t="shared" si="79"/>
        <v>0</v>
      </c>
    </row>
    <row r="1560" spans="1:7" s="21" customFormat="1" ht="15.5">
      <c r="A1560" s="22"/>
      <c r="B1560" s="124">
        <v>71708.009999999995</v>
      </c>
      <c r="C1560" s="156" t="s">
        <v>110</v>
      </c>
      <c r="D1560" s="25" t="s">
        <v>145</v>
      </c>
      <c r="E1560" s="234"/>
      <c r="F1560" s="67"/>
      <c r="G1560" s="81">
        <f t="shared" si="79"/>
        <v>0</v>
      </c>
    </row>
    <row r="1561" spans="1:7" s="21" customFormat="1" ht="15.5">
      <c r="A1561" s="22"/>
      <c r="B1561" s="134">
        <v>71709.009999999995</v>
      </c>
      <c r="C1561" s="156" t="s">
        <v>1523</v>
      </c>
      <c r="D1561" s="25" t="s">
        <v>147</v>
      </c>
      <c r="E1561" s="234"/>
      <c r="F1561" s="67"/>
      <c r="G1561" s="81">
        <f t="shared" si="79"/>
        <v>0</v>
      </c>
    </row>
    <row r="1562" spans="1:7" s="21" customFormat="1" ht="15.5">
      <c r="A1562" s="22"/>
      <c r="B1562" s="134">
        <v>71710.009999999995</v>
      </c>
      <c r="C1562" s="156" t="s">
        <v>1524</v>
      </c>
      <c r="D1562" s="25" t="s">
        <v>147</v>
      </c>
      <c r="E1562" s="234"/>
      <c r="F1562" s="67"/>
      <c r="G1562" s="81">
        <f t="shared" si="79"/>
        <v>0</v>
      </c>
    </row>
    <row r="1563" spans="1:7" s="21" customFormat="1" ht="16" thickBot="1">
      <c r="A1563" s="22"/>
      <c r="B1563" s="135">
        <v>71711.009999999995</v>
      </c>
      <c r="C1563" s="157" t="s">
        <v>262</v>
      </c>
      <c r="D1563" s="104" t="s">
        <v>145</v>
      </c>
      <c r="E1563" s="194"/>
      <c r="F1563" s="105"/>
      <c r="G1563" s="106">
        <f t="shared" si="79"/>
        <v>0</v>
      </c>
    </row>
    <row r="1564" spans="1:7" s="21" customFormat="1" ht="31.5" thickBot="1">
      <c r="A1564" s="22"/>
      <c r="B1564" s="123"/>
      <c r="C1564" s="23" t="s">
        <v>1093</v>
      </c>
      <c r="D1564" s="43"/>
      <c r="E1564" s="59" t="str">
        <f>IF(SUM(E1565:E1577)&gt;0,1,"")</f>
        <v/>
      </c>
      <c r="F1564" s="60"/>
      <c r="G1564" s="61"/>
    </row>
    <row r="1565" spans="1:7" s="21" customFormat="1" ht="16" thickBot="1">
      <c r="A1565" s="22"/>
      <c r="B1565" s="151"/>
      <c r="C1565" s="112" t="s">
        <v>1094</v>
      </c>
      <c r="D1565" s="113"/>
      <c r="E1565" s="114" t="str">
        <f>IF(SUM(E1566:E1568)&gt;0,1,"")</f>
        <v/>
      </c>
      <c r="F1565" s="115"/>
      <c r="G1565" s="116"/>
    </row>
    <row r="1566" spans="1:7" s="21" customFormat="1" ht="31">
      <c r="A1566" s="22"/>
      <c r="B1566" s="136">
        <v>71801.009999999995</v>
      </c>
      <c r="C1566" s="159" t="s">
        <v>1525</v>
      </c>
      <c r="D1566" s="62" t="s">
        <v>147</v>
      </c>
      <c r="E1566" s="245"/>
      <c r="F1566" s="63"/>
      <c r="G1566" s="103">
        <f>E1566*F1566</f>
        <v>0</v>
      </c>
    </row>
    <row r="1567" spans="1:7" s="21" customFormat="1" ht="31">
      <c r="A1567" s="22"/>
      <c r="B1567" s="134">
        <v>71802.009999999995</v>
      </c>
      <c r="C1567" s="156" t="s">
        <v>1526</v>
      </c>
      <c r="D1567" s="25" t="s">
        <v>147</v>
      </c>
      <c r="E1567" s="234"/>
      <c r="F1567" s="67"/>
      <c r="G1567" s="81">
        <f>E1567*F1567</f>
        <v>0</v>
      </c>
    </row>
    <row r="1568" spans="1:7" s="21" customFormat="1" ht="31.5" thickBot="1">
      <c r="A1568" s="22"/>
      <c r="B1568" s="135">
        <v>71803.009999999995</v>
      </c>
      <c r="C1568" s="157" t="s">
        <v>1527</v>
      </c>
      <c r="D1568" s="104" t="s">
        <v>147</v>
      </c>
      <c r="E1568" s="194"/>
      <c r="F1568" s="105"/>
      <c r="G1568" s="106">
        <f>E1568*F1568</f>
        <v>0</v>
      </c>
    </row>
    <row r="1569" spans="1:7" s="21" customFormat="1" ht="16" thickBot="1">
      <c r="A1569" s="22"/>
      <c r="B1569" s="151"/>
      <c r="C1569" s="112" t="s">
        <v>1095</v>
      </c>
      <c r="D1569" s="113"/>
      <c r="E1569" s="114" t="str">
        <f>IF(SUM(E1570:E1572)&gt;0,1,"")</f>
        <v/>
      </c>
      <c r="F1569" s="115"/>
      <c r="G1569" s="116"/>
    </row>
    <row r="1570" spans="1:7" s="21" customFormat="1" ht="31">
      <c r="A1570" s="22"/>
      <c r="B1570" s="136">
        <v>71821.009999999995</v>
      </c>
      <c r="C1570" s="159" t="s">
        <v>1528</v>
      </c>
      <c r="D1570" s="62" t="s">
        <v>147</v>
      </c>
      <c r="E1570" s="245"/>
      <c r="F1570" s="63"/>
      <c r="G1570" s="103">
        <f>E1570*F1570</f>
        <v>0</v>
      </c>
    </row>
    <row r="1571" spans="1:7" s="21" customFormat="1" ht="31">
      <c r="A1571" s="22"/>
      <c r="B1571" s="134">
        <v>71822.009999999995</v>
      </c>
      <c r="C1571" s="156" t="s">
        <v>1529</v>
      </c>
      <c r="D1571" s="25" t="s">
        <v>147</v>
      </c>
      <c r="E1571" s="234"/>
      <c r="F1571" s="67"/>
      <c r="G1571" s="81">
        <f>E1571*F1571</f>
        <v>0</v>
      </c>
    </row>
    <row r="1572" spans="1:7" s="21" customFormat="1" ht="31.5" thickBot="1">
      <c r="A1572" s="22"/>
      <c r="B1572" s="125">
        <v>71823.009999999995</v>
      </c>
      <c r="C1572" s="157" t="s">
        <v>1530</v>
      </c>
      <c r="D1572" s="104" t="s">
        <v>147</v>
      </c>
      <c r="E1572" s="194"/>
      <c r="F1572" s="105"/>
      <c r="G1572" s="106">
        <f>E1572*F1572</f>
        <v>0</v>
      </c>
    </row>
    <row r="1573" spans="1:7" s="21" customFormat="1" ht="16" thickBot="1">
      <c r="A1573" s="22"/>
      <c r="B1573" s="151"/>
      <c r="C1573" s="112" t="s">
        <v>1096</v>
      </c>
      <c r="D1573" s="113"/>
      <c r="E1573" s="114" t="str">
        <f>IF(SUM(E1574:E1575)&gt;0,1,"")</f>
        <v/>
      </c>
      <c r="F1573" s="115"/>
      <c r="G1573" s="116"/>
    </row>
    <row r="1574" spans="1:7" s="21" customFormat="1" ht="15.5">
      <c r="A1574" s="22"/>
      <c r="B1574" s="127">
        <v>71841.009999999995</v>
      </c>
      <c r="C1574" s="159" t="s">
        <v>1531</v>
      </c>
      <c r="D1574" s="62" t="s">
        <v>147</v>
      </c>
      <c r="E1574" s="245"/>
      <c r="F1574" s="63"/>
      <c r="G1574" s="103">
        <f>E1574*F1574</f>
        <v>0</v>
      </c>
    </row>
    <row r="1575" spans="1:7" s="21" customFormat="1" ht="16" thickBot="1">
      <c r="A1575" s="22"/>
      <c r="B1575" s="135">
        <v>71842.009999999995</v>
      </c>
      <c r="C1575" s="157" t="s">
        <v>1532</v>
      </c>
      <c r="D1575" s="104" t="s">
        <v>147</v>
      </c>
      <c r="E1575" s="194"/>
      <c r="F1575" s="105"/>
      <c r="G1575" s="106">
        <f>E1575*F1575</f>
        <v>0</v>
      </c>
    </row>
    <row r="1576" spans="1:7" s="21" customFormat="1" ht="16" thickBot="1">
      <c r="A1576" s="22"/>
      <c r="B1576" s="151"/>
      <c r="C1576" s="112" t="s">
        <v>1097</v>
      </c>
      <c r="D1576" s="113"/>
      <c r="E1576" s="114" t="str">
        <f>IF(SUM(E1577)&gt;0,1,"")</f>
        <v/>
      </c>
      <c r="F1576" s="115"/>
      <c r="G1576" s="116"/>
    </row>
    <row r="1577" spans="1:7" s="21" customFormat="1" ht="16" thickBot="1">
      <c r="A1577" s="22"/>
      <c r="B1577" s="137">
        <v>71861.009999999995</v>
      </c>
      <c r="C1577" s="158" t="s">
        <v>486</v>
      </c>
      <c r="D1577" s="109" t="s">
        <v>147</v>
      </c>
      <c r="E1577" s="246"/>
      <c r="F1577" s="110"/>
      <c r="G1577" s="111">
        <f>E1577*F1577</f>
        <v>0</v>
      </c>
    </row>
    <row r="1578" spans="1:7" s="21" customFormat="1" ht="16" thickBot="1">
      <c r="A1578" s="22"/>
      <c r="B1578" s="123"/>
      <c r="C1578" s="23" t="s">
        <v>1098</v>
      </c>
      <c r="D1578" s="43"/>
      <c r="E1578" s="59" t="str">
        <f>IF(SUM(E1579:E1591)&gt;0,1,"")</f>
        <v/>
      </c>
      <c r="F1578" s="60"/>
      <c r="G1578" s="61"/>
    </row>
    <row r="1579" spans="1:7" s="21" customFormat="1" ht="16" thickBot="1">
      <c r="A1579" s="22"/>
      <c r="B1579" s="151"/>
      <c r="C1579" s="112" t="s">
        <v>1099</v>
      </c>
      <c r="D1579" s="113"/>
      <c r="E1579" s="114" t="str">
        <f>IF(SUM(E1580:E1586)&gt;0,1,"")</f>
        <v/>
      </c>
      <c r="F1579" s="115"/>
      <c r="G1579" s="116"/>
    </row>
    <row r="1580" spans="1:7" s="21" customFormat="1" ht="31">
      <c r="A1580" s="22"/>
      <c r="B1580" s="136">
        <v>71901.009999999995</v>
      </c>
      <c r="C1580" s="159" t="s">
        <v>1533</v>
      </c>
      <c r="D1580" s="62" t="s">
        <v>147</v>
      </c>
      <c r="E1580" s="245"/>
      <c r="F1580" s="63"/>
      <c r="G1580" s="103">
        <f t="shared" ref="G1580:G1586" si="80">E1580*F1580</f>
        <v>0</v>
      </c>
    </row>
    <row r="1581" spans="1:7" s="21" customFormat="1" ht="15.5">
      <c r="A1581" s="22"/>
      <c r="B1581" s="134">
        <v>71902.009999999995</v>
      </c>
      <c r="C1581" s="156" t="s">
        <v>135</v>
      </c>
      <c r="D1581" s="25" t="s">
        <v>145</v>
      </c>
      <c r="E1581" s="234"/>
      <c r="F1581" s="67"/>
      <c r="G1581" s="81">
        <f t="shared" si="80"/>
        <v>0</v>
      </c>
    </row>
    <row r="1582" spans="1:7" s="21" customFormat="1" ht="31">
      <c r="A1582" s="22"/>
      <c r="B1582" s="134">
        <v>71903.009999999995</v>
      </c>
      <c r="C1582" s="156" t="s">
        <v>1534</v>
      </c>
      <c r="D1582" s="25" t="s">
        <v>147</v>
      </c>
      <c r="E1582" s="234"/>
      <c r="F1582" s="67"/>
      <c r="G1582" s="81">
        <f t="shared" si="80"/>
        <v>0</v>
      </c>
    </row>
    <row r="1583" spans="1:7" s="21" customFormat="1" ht="15.5">
      <c r="A1583" s="22"/>
      <c r="B1583" s="134">
        <v>71904.009999999995</v>
      </c>
      <c r="C1583" s="156" t="s">
        <v>1535</v>
      </c>
      <c r="D1583" s="25" t="s">
        <v>145</v>
      </c>
      <c r="E1583" s="234"/>
      <c r="F1583" s="67"/>
      <c r="G1583" s="81">
        <f t="shared" si="80"/>
        <v>0</v>
      </c>
    </row>
    <row r="1584" spans="1:7" s="21" customFormat="1" ht="31">
      <c r="A1584" s="22"/>
      <c r="B1584" s="134">
        <v>71905.009999999995</v>
      </c>
      <c r="C1584" s="156" t="s">
        <v>1536</v>
      </c>
      <c r="D1584" s="25" t="s">
        <v>147</v>
      </c>
      <c r="E1584" s="234"/>
      <c r="F1584" s="67"/>
      <c r="G1584" s="81">
        <f t="shared" si="80"/>
        <v>0</v>
      </c>
    </row>
    <row r="1585" spans="1:7" s="21" customFormat="1" ht="15.5">
      <c r="A1585" s="22"/>
      <c r="B1585" s="134">
        <v>71906.009999999995</v>
      </c>
      <c r="C1585" s="156" t="s">
        <v>134</v>
      </c>
      <c r="D1585" s="25" t="s">
        <v>145</v>
      </c>
      <c r="E1585" s="234"/>
      <c r="F1585" s="67"/>
      <c r="G1585" s="81">
        <f t="shared" si="80"/>
        <v>0</v>
      </c>
    </row>
    <row r="1586" spans="1:7" s="21" customFormat="1" ht="16" thickBot="1">
      <c r="A1586" s="22"/>
      <c r="B1586" s="135">
        <v>71907.009999999995</v>
      </c>
      <c r="C1586" s="157" t="s">
        <v>263</v>
      </c>
      <c r="D1586" s="104" t="s">
        <v>147</v>
      </c>
      <c r="E1586" s="194"/>
      <c r="F1586" s="105"/>
      <c r="G1586" s="106">
        <f t="shared" si="80"/>
        <v>0</v>
      </c>
    </row>
    <row r="1587" spans="1:7" s="21" customFormat="1" ht="16" thickBot="1">
      <c r="A1587" s="22"/>
      <c r="B1587" s="151"/>
      <c r="C1587" s="112" t="s">
        <v>1100</v>
      </c>
      <c r="D1587" s="113"/>
      <c r="E1587" s="114" t="str">
        <f>IF(SUM(E1588:E1589)&gt;0,1,"")</f>
        <v/>
      </c>
      <c r="F1587" s="115"/>
      <c r="G1587" s="116"/>
    </row>
    <row r="1588" spans="1:7" s="21" customFormat="1" ht="31">
      <c r="A1588" s="22"/>
      <c r="B1588" s="136">
        <v>71931.009999999995</v>
      </c>
      <c r="C1588" s="159" t="s">
        <v>1537</v>
      </c>
      <c r="D1588" s="62" t="s">
        <v>147</v>
      </c>
      <c r="E1588" s="245"/>
      <c r="F1588" s="63"/>
      <c r="G1588" s="103">
        <f>E1588*F1588</f>
        <v>0</v>
      </c>
    </row>
    <row r="1589" spans="1:7" s="21" customFormat="1" ht="31.5" thickBot="1">
      <c r="A1589" s="22"/>
      <c r="B1589" s="125">
        <v>71932.009999999995</v>
      </c>
      <c r="C1589" s="157" t="s">
        <v>1538</v>
      </c>
      <c r="D1589" s="104" t="s">
        <v>147</v>
      </c>
      <c r="E1589" s="194"/>
      <c r="F1589" s="105"/>
      <c r="G1589" s="106">
        <f>E1589*F1589</f>
        <v>0</v>
      </c>
    </row>
    <row r="1590" spans="1:7" s="21" customFormat="1" ht="16" thickBot="1">
      <c r="A1590" s="22"/>
      <c r="B1590" s="151"/>
      <c r="C1590" s="112" t="s">
        <v>1101</v>
      </c>
      <c r="D1590" s="113"/>
      <c r="E1590" s="114" t="str">
        <f>IF(SUM(E1591)&gt;0,1,"")</f>
        <v/>
      </c>
      <c r="F1590" s="115"/>
      <c r="G1590" s="116"/>
    </row>
    <row r="1591" spans="1:7" s="21" customFormat="1" ht="16" thickBot="1">
      <c r="A1591" s="22"/>
      <c r="B1591" s="137">
        <v>71961.009999999995</v>
      </c>
      <c r="C1591" s="158" t="s">
        <v>264</v>
      </c>
      <c r="D1591" s="109" t="s">
        <v>147</v>
      </c>
      <c r="E1591" s="246"/>
      <c r="F1591" s="110"/>
      <c r="G1591" s="111">
        <f>E1591*F1591</f>
        <v>0</v>
      </c>
    </row>
    <row r="1592" spans="1:7" s="21" customFormat="1" ht="16" thickBot="1">
      <c r="A1592" s="22"/>
      <c r="B1592" s="123"/>
      <c r="C1592" s="23" t="s">
        <v>1102</v>
      </c>
      <c r="D1592" s="43"/>
      <c r="E1592" s="59">
        <f>IF(SUM(E1593:E1634)&gt;0,1,"")</f>
        <v>1</v>
      </c>
      <c r="F1592" s="60"/>
      <c r="G1592" s="61"/>
    </row>
    <row r="1593" spans="1:7" s="21" customFormat="1" ht="16" thickBot="1">
      <c r="A1593" s="22"/>
      <c r="B1593" s="151"/>
      <c r="C1593" s="315" t="s">
        <v>2218</v>
      </c>
      <c r="D1593" s="113"/>
      <c r="E1593" s="114">
        <f>IF(SUM(E1594:E1610)&gt;0,1,"")</f>
        <v>1</v>
      </c>
      <c r="F1593" s="115"/>
      <c r="G1593" s="116"/>
    </row>
    <row r="1594" spans="1:7" s="21" customFormat="1" ht="15.5">
      <c r="A1594" s="22"/>
      <c r="B1594" s="136">
        <v>72001.009999999995</v>
      </c>
      <c r="C1594" s="159" t="s">
        <v>1539</v>
      </c>
      <c r="D1594" s="62" t="s">
        <v>148</v>
      </c>
      <c r="E1594" s="245"/>
      <c r="F1594" s="63"/>
      <c r="G1594" s="103">
        <f t="shared" ref="G1594:G1610" si="81">E1594*F1594</f>
        <v>0</v>
      </c>
    </row>
    <row r="1595" spans="1:7" s="21" customFormat="1" ht="15.5">
      <c r="A1595" s="22"/>
      <c r="B1595" s="124">
        <v>72002.009999999995</v>
      </c>
      <c r="C1595" s="156" t="s">
        <v>2094</v>
      </c>
      <c r="D1595" s="25" t="s">
        <v>148</v>
      </c>
      <c r="E1595" s="234">
        <v>347</v>
      </c>
      <c r="F1595" s="67"/>
      <c r="G1595" s="81">
        <f t="shared" si="81"/>
        <v>0</v>
      </c>
    </row>
    <row r="1596" spans="1:7" s="21" customFormat="1" ht="15.5">
      <c r="A1596" s="22"/>
      <c r="B1596" s="124">
        <v>72002.02</v>
      </c>
      <c r="C1596" s="156" t="s">
        <v>2095</v>
      </c>
      <c r="D1596" s="25" t="s">
        <v>148</v>
      </c>
      <c r="E1596" s="234">
        <v>525</v>
      </c>
      <c r="F1596" s="67"/>
      <c r="G1596" s="81">
        <f t="shared" si="81"/>
        <v>0</v>
      </c>
    </row>
    <row r="1597" spans="1:7" s="21" customFormat="1" ht="15.5">
      <c r="A1597" s="22"/>
      <c r="B1597" s="134">
        <v>72003.009999999995</v>
      </c>
      <c r="C1597" s="156" t="s">
        <v>1950</v>
      </c>
      <c r="D1597" s="25" t="s">
        <v>148</v>
      </c>
      <c r="E1597" s="234">
        <v>0.3</v>
      </c>
      <c r="F1597" s="67"/>
      <c r="G1597" s="81">
        <f t="shared" si="81"/>
        <v>0</v>
      </c>
    </row>
    <row r="1598" spans="1:7" s="21" customFormat="1" ht="31">
      <c r="A1598" s="22"/>
      <c r="B1598" s="134">
        <v>72004.009999999995</v>
      </c>
      <c r="C1598" s="156" t="s">
        <v>1540</v>
      </c>
      <c r="D1598" s="25" t="s">
        <v>148</v>
      </c>
      <c r="E1598" s="234"/>
      <c r="F1598" s="67"/>
      <c r="G1598" s="81">
        <f t="shared" si="81"/>
        <v>0</v>
      </c>
    </row>
    <row r="1599" spans="1:7" s="21" customFormat="1" ht="15.5">
      <c r="A1599" s="22"/>
      <c r="B1599" s="134">
        <v>72005.009999999995</v>
      </c>
      <c r="C1599" s="156" t="s">
        <v>1541</v>
      </c>
      <c r="D1599" s="25" t="s">
        <v>148</v>
      </c>
      <c r="E1599" s="234"/>
      <c r="F1599" s="67"/>
      <c r="G1599" s="81">
        <f t="shared" si="81"/>
        <v>0</v>
      </c>
    </row>
    <row r="1600" spans="1:7" s="21" customFormat="1" ht="15.5">
      <c r="A1600" s="22"/>
      <c r="B1600" s="124">
        <v>72006.009999999995</v>
      </c>
      <c r="C1600" s="156" t="s">
        <v>1777</v>
      </c>
      <c r="D1600" s="25" t="s">
        <v>148</v>
      </c>
      <c r="E1600" s="234">
        <v>12</v>
      </c>
      <c r="F1600" s="67"/>
      <c r="G1600" s="81">
        <f t="shared" si="81"/>
        <v>0</v>
      </c>
    </row>
    <row r="1601" spans="1:7" s="21" customFormat="1" ht="15.5">
      <c r="A1601" s="22"/>
      <c r="B1601" s="124">
        <v>72006.02</v>
      </c>
      <c r="C1601" s="156" t="s">
        <v>1788</v>
      </c>
      <c r="D1601" s="25" t="s">
        <v>148</v>
      </c>
      <c r="E1601" s="234">
        <v>12</v>
      </c>
      <c r="F1601" s="67"/>
      <c r="G1601" s="81">
        <f t="shared" si="81"/>
        <v>0</v>
      </c>
    </row>
    <row r="1602" spans="1:7" s="21" customFormat="1" ht="31">
      <c r="A1602" s="22"/>
      <c r="B1602" s="134">
        <v>72007.009999999995</v>
      </c>
      <c r="C1602" s="156" t="s">
        <v>1952</v>
      </c>
      <c r="D1602" s="25" t="s">
        <v>149</v>
      </c>
      <c r="E1602" s="234">
        <v>193</v>
      </c>
      <c r="F1602" s="67"/>
      <c r="G1602" s="81">
        <f t="shared" si="81"/>
        <v>0</v>
      </c>
    </row>
    <row r="1603" spans="1:7" s="21" customFormat="1" ht="15.5">
      <c r="A1603" s="22"/>
      <c r="B1603" s="134" t="s">
        <v>1951</v>
      </c>
      <c r="C1603" s="156" t="s">
        <v>1953</v>
      </c>
      <c r="D1603" s="25" t="s">
        <v>149</v>
      </c>
      <c r="E1603" s="234">
        <v>0.2</v>
      </c>
      <c r="F1603" s="67"/>
      <c r="G1603" s="81">
        <f t="shared" si="81"/>
        <v>0</v>
      </c>
    </row>
    <row r="1604" spans="1:7" s="21" customFormat="1" ht="15.5">
      <c r="A1604" s="22"/>
      <c r="B1604" s="124">
        <v>72009.009999999995</v>
      </c>
      <c r="C1604" s="156" t="s">
        <v>133</v>
      </c>
      <c r="D1604" s="25" t="s">
        <v>149</v>
      </c>
      <c r="E1604" s="234">
        <v>7</v>
      </c>
      <c r="F1604" s="67"/>
      <c r="G1604" s="81">
        <f t="shared" si="81"/>
        <v>0</v>
      </c>
    </row>
    <row r="1605" spans="1:7" s="21" customFormat="1" ht="15.5">
      <c r="A1605" s="22"/>
      <c r="B1605" s="124" t="s">
        <v>1847</v>
      </c>
      <c r="C1605" s="156" t="s">
        <v>1849</v>
      </c>
      <c r="D1605" s="25" t="s">
        <v>149</v>
      </c>
      <c r="E1605" s="234">
        <v>0.3</v>
      </c>
      <c r="F1605" s="67"/>
      <c r="G1605" s="81">
        <f t="shared" si="81"/>
        <v>0</v>
      </c>
    </row>
    <row r="1606" spans="1:7" s="21" customFormat="1" ht="15.5">
      <c r="A1606" s="22"/>
      <c r="B1606" s="124" t="s">
        <v>1846</v>
      </c>
      <c r="C1606" s="156" t="s">
        <v>1848</v>
      </c>
      <c r="D1606" s="25" t="s">
        <v>149</v>
      </c>
      <c r="E1606" s="234">
        <v>0.6</v>
      </c>
      <c r="F1606" s="67"/>
      <c r="G1606" s="81">
        <f t="shared" si="81"/>
        <v>0</v>
      </c>
    </row>
    <row r="1607" spans="1:7" s="21" customFormat="1" ht="16" thickBot="1">
      <c r="A1607" s="22"/>
      <c r="B1607" s="134">
        <v>72010.009999999995</v>
      </c>
      <c r="C1607" s="156" t="s">
        <v>1972</v>
      </c>
      <c r="D1607" s="25" t="s">
        <v>147</v>
      </c>
      <c r="E1607" s="194">
        <v>0</v>
      </c>
      <c r="F1607" s="67"/>
      <c r="G1607" s="81">
        <f t="shared" si="81"/>
        <v>0</v>
      </c>
    </row>
    <row r="1608" spans="1:7" s="21" customFormat="1" ht="15.5">
      <c r="A1608" s="22"/>
      <c r="B1608" s="134">
        <v>72011.009999999995</v>
      </c>
      <c r="C1608" s="156" t="s">
        <v>1542</v>
      </c>
      <c r="D1608" s="25" t="s">
        <v>147</v>
      </c>
      <c r="E1608" s="234"/>
      <c r="F1608" s="67"/>
      <c r="G1608" s="81">
        <f t="shared" si="81"/>
        <v>0</v>
      </c>
    </row>
    <row r="1609" spans="1:7" s="21" customFormat="1" ht="15.5">
      <c r="A1609" s="22"/>
      <c r="B1609" s="124">
        <v>72012.009999999995</v>
      </c>
      <c r="C1609" s="156" t="s">
        <v>1543</v>
      </c>
      <c r="D1609" s="25" t="s">
        <v>147</v>
      </c>
      <c r="E1609" s="234"/>
      <c r="F1609" s="67"/>
      <c r="G1609" s="81">
        <f t="shared" si="81"/>
        <v>0</v>
      </c>
    </row>
    <row r="1610" spans="1:7" s="21" customFormat="1" ht="16" thickBot="1">
      <c r="A1610" s="22"/>
      <c r="B1610" s="135">
        <v>72013.009999999995</v>
      </c>
      <c r="C1610" s="157" t="s">
        <v>265</v>
      </c>
      <c r="D1610" s="104" t="s">
        <v>151</v>
      </c>
      <c r="E1610" s="194"/>
      <c r="F1610" s="105"/>
      <c r="G1610" s="106">
        <f t="shared" si="81"/>
        <v>0</v>
      </c>
    </row>
    <row r="1611" spans="1:7" s="21" customFormat="1" ht="16" thickBot="1">
      <c r="A1611" s="22"/>
      <c r="B1611" s="151"/>
      <c r="C1611" s="112" t="s">
        <v>1103</v>
      </c>
      <c r="D1611" s="113"/>
      <c r="E1611" s="114">
        <f>IF(SUM(E1612:E1615)&gt;0,1,"")</f>
        <v>1</v>
      </c>
      <c r="F1611" s="115"/>
      <c r="G1611" s="116"/>
    </row>
    <row r="1612" spans="1:7" s="21" customFormat="1" ht="15.5">
      <c r="A1612" s="22"/>
      <c r="B1612" s="127">
        <v>72031.009999999995</v>
      </c>
      <c r="C1612" s="159" t="s">
        <v>132</v>
      </c>
      <c r="D1612" s="62" t="s">
        <v>145</v>
      </c>
      <c r="E1612" s="245">
        <v>1</v>
      </c>
      <c r="F1612" s="63"/>
      <c r="G1612" s="103">
        <f>E1612*F1612</f>
        <v>0</v>
      </c>
    </row>
    <row r="1613" spans="1:7" s="21" customFormat="1" ht="15.5">
      <c r="A1613" s="22"/>
      <c r="B1613" s="134">
        <v>72032.009999999995</v>
      </c>
      <c r="C1613" s="156" t="s">
        <v>131</v>
      </c>
      <c r="D1613" s="25" t="s">
        <v>145</v>
      </c>
      <c r="E1613" s="234"/>
      <c r="F1613" s="67"/>
      <c r="G1613" s="81">
        <f>E1613*F1613</f>
        <v>0</v>
      </c>
    </row>
    <row r="1614" spans="1:7" s="21" customFormat="1" ht="15.5">
      <c r="A1614" s="22"/>
      <c r="B1614" s="134">
        <v>72033.009999999995</v>
      </c>
      <c r="C1614" s="156" t="s">
        <v>130</v>
      </c>
      <c r="D1614" s="25" t="s">
        <v>145</v>
      </c>
      <c r="E1614" s="234">
        <v>1</v>
      </c>
      <c r="F1614" s="67"/>
      <c r="G1614" s="81">
        <f>E1614*F1614</f>
        <v>0</v>
      </c>
    </row>
    <row r="1615" spans="1:7" s="21" customFormat="1" ht="16" thickBot="1">
      <c r="A1615" s="22"/>
      <c r="B1615" s="135">
        <v>72034.009999999995</v>
      </c>
      <c r="C1615" s="157" t="s">
        <v>266</v>
      </c>
      <c r="D1615" s="104" t="s">
        <v>145</v>
      </c>
      <c r="E1615" s="194">
        <v>1</v>
      </c>
      <c r="F1615" s="105"/>
      <c r="G1615" s="106">
        <f>E1615*F1615</f>
        <v>0</v>
      </c>
    </row>
    <row r="1616" spans="1:7" s="21" customFormat="1" ht="16" thickBot="1">
      <c r="A1616" s="22"/>
      <c r="B1616" s="151"/>
      <c r="C1616" s="112" t="s">
        <v>1104</v>
      </c>
      <c r="D1616" s="113"/>
      <c r="E1616" s="114">
        <f>IF(SUM(E1617:E1619)&gt;0,1,"")</f>
        <v>1</v>
      </c>
      <c r="F1616" s="115"/>
      <c r="G1616" s="116"/>
    </row>
    <row r="1617" spans="1:7" s="21" customFormat="1" ht="15.5">
      <c r="A1617" s="22"/>
      <c r="B1617" s="127">
        <v>72061.009999999995</v>
      </c>
      <c r="C1617" s="159" t="s">
        <v>267</v>
      </c>
      <c r="D1617" s="62" t="s">
        <v>147</v>
      </c>
      <c r="E1617" s="245">
        <v>1</v>
      </c>
      <c r="F1617" s="63"/>
      <c r="G1617" s="103">
        <f>E1617*F1617</f>
        <v>0</v>
      </c>
    </row>
    <row r="1618" spans="1:7" s="21" customFormat="1" ht="15.5">
      <c r="A1618" s="22"/>
      <c r="B1618" s="134">
        <v>72062.009999999995</v>
      </c>
      <c r="C1618" s="156" t="s">
        <v>129</v>
      </c>
      <c r="D1618" s="25" t="s">
        <v>147</v>
      </c>
      <c r="E1618" s="234">
        <v>1</v>
      </c>
      <c r="F1618" s="67"/>
      <c r="G1618" s="81">
        <f>E1618*F1618</f>
        <v>0</v>
      </c>
    </row>
    <row r="1619" spans="1:7" s="21" customFormat="1" ht="16" thickBot="1">
      <c r="A1619" s="22"/>
      <c r="B1619" s="135">
        <v>72063.009999999995</v>
      </c>
      <c r="C1619" s="157" t="s">
        <v>1624</v>
      </c>
      <c r="D1619" s="104" t="s">
        <v>147</v>
      </c>
      <c r="E1619" s="194"/>
      <c r="F1619" s="105"/>
      <c r="G1619" s="106">
        <f>E1619*F1619</f>
        <v>0</v>
      </c>
    </row>
    <row r="1620" spans="1:7" s="21" customFormat="1" ht="16" thickBot="1">
      <c r="A1620" s="22"/>
      <c r="B1620" s="151"/>
      <c r="C1620" s="112" t="s">
        <v>1105</v>
      </c>
      <c r="D1620" s="113"/>
      <c r="E1620" s="114">
        <f>IF(SUM(E1621:E1622)&gt;0,1,"")</f>
        <v>1</v>
      </c>
      <c r="F1620" s="115"/>
      <c r="G1620" s="116"/>
    </row>
    <row r="1621" spans="1:7" s="21" customFormat="1" ht="15.5">
      <c r="A1621" s="22"/>
      <c r="B1621" s="136">
        <v>72091.009999999995</v>
      </c>
      <c r="C1621" s="159" t="s">
        <v>128</v>
      </c>
      <c r="D1621" s="62" t="s">
        <v>145</v>
      </c>
      <c r="E1621" s="245">
        <v>1</v>
      </c>
      <c r="F1621" s="63"/>
      <c r="G1621" s="103">
        <f>E1621*F1621</f>
        <v>0</v>
      </c>
    </row>
    <row r="1622" spans="1:7" s="21" customFormat="1" ht="16" thickBot="1">
      <c r="A1622" s="22"/>
      <c r="B1622" s="135">
        <v>72092.009999999995</v>
      </c>
      <c r="C1622" s="157" t="s">
        <v>268</v>
      </c>
      <c r="D1622" s="104" t="s">
        <v>145</v>
      </c>
      <c r="E1622" s="194">
        <v>1</v>
      </c>
      <c r="F1622" s="105"/>
      <c r="G1622" s="106">
        <f>E1622*F1622</f>
        <v>0</v>
      </c>
    </row>
    <row r="1623" spans="1:7" s="21" customFormat="1" ht="16" thickBot="1">
      <c r="A1623" s="22"/>
      <c r="B1623" s="151"/>
      <c r="C1623" s="112" t="s">
        <v>1106</v>
      </c>
      <c r="D1623" s="113"/>
      <c r="E1623" s="114">
        <f>IF(SUM(E1624:E1625)&gt;0,1,"")</f>
        <v>1</v>
      </c>
      <c r="F1623" s="115"/>
      <c r="G1623" s="116"/>
    </row>
    <row r="1624" spans="1:7" s="21" customFormat="1" ht="15.5">
      <c r="A1624" s="22"/>
      <c r="B1624" s="219" t="s">
        <v>1728</v>
      </c>
      <c r="C1624" s="159" t="s">
        <v>1730</v>
      </c>
      <c r="D1624" s="62" t="s">
        <v>145</v>
      </c>
      <c r="E1624" s="245">
        <v>1</v>
      </c>
      <c r="F1624" s="63"/>
      <c r="G1624" s="103">
        <f>E1624*F1624</f>
        <v>0</v>
      </c>
    </row>
    <row r="1625" spans="1:7" s="21" customFormat="1" ht="16" thickBot="1">
      <c r="A1625" s="22"/>
      <c r="B1625" s="220" t="s">
        <v>1729</v>
      </c>
      <c r="C1625" s="157" t="s">
        <v>1731</v>
      </c>
      <c r="D1625" s="104" t="s">
        <v>145</v>
      </c>
      <c r="E1625" s="194"/>
      <c r="F1625" s="105"/>
      <c r="G1625" s="106">
        <f>E1625*F1625</f>
        <v>0</v>
      </c>
    </row>
    <row r="1626" spans="1:7" s="21" customFormat="1" ht="16" thickBot="1">
      <c r="A1626" s="22"/>
      <c r="B1626" s="151"/>
      <c r="C1626" s="112" t="s">
        <v>1107</v>
      </c>
      <c r="D1626" s="113"/>
      <c r="E1626" s="114" t="str">
        <f>IF(SUM(E1627:E1628)&gt;0,1,"")</f>
        <v/>
      </c>
      <c r="F1626" s="115"/>
      <c r="G1626" s="116"/>
    </row>
    <row r="1627" spans="1:7" s="21" customFormat="1" ht="15.5">
      <c r="A1627" s="22"/>
      <c r="B1627" s="136">
        <v>72151.009999999995</v>
      </c>
      <c r="C1627" s="159" t="s">
        <v>127</v>
      </c>
      <c r="D1627" s="62" t="s">
        <v>148</v>
      </c>
      <c r="E1627" s="245"/>
      <c r="F1627" s="63"/>
      <c r="G1627" s="103">
        <f>E1627*F1627</f>
        <v>0</v>
      </c>
    </row>
    <row r="1628" spans="1:7" s="21" customFormat="1" ht="16" thickBot="1">
      <c r="A1628" s="22"/>
      <c r="B1628" s="135">
        <v>72152.009999999995</v>
      </c>
      <c r="C1628" s="157" t="s">
        <v>269</v>
      </c>
      <c r="D1628" s="104" t="s">
        <v>147</v>
      </c>
      <c r="E1628" s="194"/>
      <c r="F1628" s="105"/>
      <c r="G1628" s="106">
        <f>E1628*F1628</f>
        <v>0</v>
      </c>
    </row>
    <row r="1629" spans="1:7" s="21" customFormat="1" ht="16" thickBot="1">
      <c r="A1629" s="22"/>
      <c r="B1629" s="151"/>
      <c r="C1629" s="112" t="s">
        <v>1108</v>
      </c>
      <c r="D1629" s="113"/>
      <c r="E1629" s="114">
        <f>IF(SUM(E1630:E1634)&gt;0,1,"")</f>
        <v>1</v>
      </c>
      <c r="F1629" s="115"/>
      <c r="G1629" s="116"/>
    </row>
    <row r="1630" spans="1:7" s="21" customFormat="1" ht="15.5">
      <c r="A1630" s="22"/>
      <c r="B1630" s="136">
        <v>72181.009999999995</v>
      </c>
      <c r="C1630" s="159" t="s">
        <v>1732</v>
      </c>
      <c r="D1630" s="62" t="s">
        <v>146</v>
      </c>
      <c r="E1630" s="245"/>
      <c r="F1630" s="63"/>
      <c r="G1630" s="103">
        <f>E1630*F1630</f>
        <v>0</v>
      </c>
    </row>
    <row r="1631" spans="1:7" s="21" customFormat="1" ht="15.5">
      <c r="A1631" s="22"/>
      <c r="B1631" s="141">
        <v>72181.02</v>
      </c>
      <c r="C1631" s="167" t="s">
        <v>1733</v>
      </c>
      <c r="D1631" s="24" t="s">
        <v>146</v>
      </c>
      <c r="E1631" s="247"/>
      <c r="F1631" s="68"/>
      <c r="G1631" s="117">
        <v>0</v>
      </c>
    </row>
    <row r="1632" spans="1:7" s="21" customFormat="1" ht="15.5">
      <c r="A1632" s="22"/>
      <c r="B1632" s="134">
        <v>72182.009999999995</v>
      </c>
      <c r="C1632" s="156" t="s">
        <v>126</v>
      </c>
      <c r="D1632" s="25" t="s">
        <v>145</v>
      </c>
      <c r="E1632" s="234">
        <v>1</v>
      </c>
      <c r="F1632" s="67"/>
      <c r="G1632" s="81">
        <f>E1632*F1632</f>
        <v>0</v>
      </c>
    </row>
    <row r="1633" spans="1:16383" s="21" customFormat="1" ht="15.5">
      <c r="A1633" s="22"/>
      <c r="B1633" s="134">
        <v>72183.009999999995</v>
      </c>
      <c r="C1633" s="156" t="s">
        <v>1865</v>
      </c>
      <c r="D1633" s="25" t="s">
        <v>145</v>
      </c>
      <c r="E1633" s="234">
        <v>1</v>
      </c>
      <c r="F1633" s="67"/>
      <c r="G1633" s="81">
        <f>E1633*F1633</f>
        <v>0</v>
      </c>
    </row>
    <row r="1634" spans="1:16383" s="21" customFormat="1" ht="16" thickBot="1">
      <c r="A1634" s="22"/>
      <c r="B1634" s="125">
        <v>72184.009999999995</v>
      </c>
      <c r="C1634" s="157" t="s">
        <v>270</v>
      </c>
      <c r="D1634" s="104" t="s">
        <v>145</v>
      </c>
      <c r="E1634" s="194"/>
      <c r="F1634" s="105"/>
      <c r="G1634" s="106">
        <f>E1634*F1634</f>
        <v>0</v>
      </c>
    </row>
    <row r="1635" spans="1:16383" s="21" customFormat="1" ht="16" thickBot="1">
      <c r="A1635" s="22"/>
      <c r="B1635" s="151"/>
      <c r="C1635" s="112" t="s">
        <v>1109</v>
      </c>
      <c r="D1635" s="113"/>
      <c r="E1635" s="114">
        <f>IF(SUM(E1636:E1643)&gt;0,1,"")</f>
        <v>1</v>
      </c>
      <c r="F1635" s="115"/>
      <c r="G1635" s="116"/>
    </row>
    <row r="1636" spans="1:16383" s="21" customFormat="1" ht="15.5">
      <c r="A1636" s="22"/>
      <c r="B1636" s="136">
        <v>72501.009999999995</v>
      </c>
      <c r="C1636" s="159" t="s">
        <v>1544</v>
      </c>
      <c r="D1636" s="62" t="s">
        <v>146</v>
      </c>
      <c r="E1636" s="245"/>
      <c r="F1636" s="63"/>
      <c r="G1636" s="103">
        <f t="shared" ref="G1636:G1643" si="82">E1636*F1636</f>
        <v>0</v>
      </c>
    </row>
    <row r="1637" spans="1:16383" s="21" customFormat="1" ht="15.5">
      <c r="A1637" s="22"/>
      <c r="B1637" s="134">
        <v>72502.009999999995</v>
      </c>
      <c r="C1637" s="156" t="s">
        <v>1862</v>
      </c>
      <c r="D1637" s="25" t="s">
        <v>146</v>
      </c>
      <c r="E1637" s="234">
        <v>885</v>
      </c>
      <c r="F1637" s="67"/>
      <c r="G1637" s="81">
        <f t="shared" si="82"/>
        <v>0</v>
      </c>
    </row>
    <row r="1638" spans="1:16383" s="285" customFormat="1" ht="15.5">
      <c r="A1638" s="22"/>
      <c r="B1638" s="304">
        <v>72502.02</v>
      </c>
      <c r="C1638" s="305" t="s">
        <v>2091</v>
      </c>
      <c r="D1638" s="296" t="s">
        <v>146</v>
      </c>
      <c r="E1638" s="303"/>
      <c r="F1638" s="67"/>
      <c r="G1638" s="81">
        <f t="shared" si="82"/>
        <v>0</v>
      </c>
      <c r="H1638" s="21"/>
      <c r="I1638" s="21"/>
      <c r="J1638" s="21"/>
      <c r="K1638" s="21"/>
      <c r="L1638" s="21"/>
      <c r="M1638" s="21"/>
      <c r="N1638" s="21"/>
      <c r="O1638" s="21"/>
      <c r="P1638" s="21"/>
      <c r="Q1638" s="21"/>
      <c r="R1638" s="21"/>
      <c r="S1638" s="21"/>
      <c r="T1638" s="21"/>
      <c r="U1638" s="21"/>
      <c r="V1638" s="21"/>
      <c r="W1638" s="21"/>
      <c r="X1638" s="21"/>
      <c r="Y1638" s="21"/>
      <c r="Z1638" s="21"/>
      <c r="AA1638" s="21"/>
      <c r="AB1638" s="21"/>
      <c r="AC1638" s="21"/>
      <c r="AD1638" s="21"/>
      <c r="AE1638" s="21"/>
      <c r="AF1638" s="21"/>
      <c r="AG1638" s="21"/>
      <c r="AH1638" s="21"/>
      <c r="AI1638" s="21"/>
      <c r="AJ1638" s="21"/>
      <c r="AK1638" s="21"/>
      <c r="AL1638" s="21"/>
      <c r="AM1638" s="21"/>
      <c r="AN1638" s="21"/>
      <c r="AO1638" s="21"/>
      <c r="AP1638" s="21"/>
      <c r="AQ1638" s="21"/>
      <c r="AR1638" s="21"/>
      <c r="AS1638" s="21"/>
      <c r="AT1638" s="21"/>
      <c r="AU1638" s="21"/>
      <c r="AV1638" s="21"/>
      <c r="AW1638" s="21"/>
      <c r="AX1638" s="21"/>
      <c r="AY1638" s="21"/>
      <c r="AZ1638" s="21"/>
      <c r="BA1638" s="21"/>
      <c r="BB1638" s="21"/>
      <c r="BC1638" s="21"/>
      <c r="BD1638" s="21"/>
      <c r="BE1638" s="21"/>
      <c r="BF1638" s="21"/>
      <c r="BG1638" s="21"/>
      <c r="BH1638" s="21"/>
      <c r="BI1638" s="21"/>
      <c r="BJ1638" s="21"/>
      <c r="BK1638" s="21"/>
      <c r="BL1638" s="21"/>
      <c r="BM1638" s="21"/>
      <c r="BN1638" s="21"/>
      <c r="BO1638" s="21"/>
      <c r="BP1638" s="21"/>
      <c r="BQ1638" s="21"/>
      <c r="BR1638" s="21"/>
      <c r="BS1638" s="21"/>
      <c r="BT1638" s="21"/>
      <c r="BU1638" s="21"/>
      <c r="BV1638" s="21"/>
      <c r="BW1638" s="21"/>
      <c r="BX1638" s="21"/>
      <c r="BY1638" s="21"/>
      <c r="BZ1638" s="21"/>
      <c r="CA1638" s="21"/>
      <c r="CB1638" s="21"/>
      <c r="CC1638" s="21"/>
      <c r="CD1638" s="21"/>
      <c r="CE1638" s="21"/>
      <c r="CF1638" s="21"/>
      <c r="CG1638" s="21"/>
      <c r="CH1638" s="21"/>
      <c r="CI1638" s="21"/>
      <c r="CJ1638" s="21"/>
      <c r="CK1638" s="21"/>
      <c r="CL1638" s="21"/>
      <c r="CM1638" s="21"/>
      <c r="CN1638" s="21"/>
      <c r="CO1638" s="21"/>
      <c r="CP1638" s="21"/>
      <c r="CQ1638" s="21"/>
      <c r="CR1638" s="21"/>
      <c r="CS1638" s="21"/>
      <c r="CT1638" s="21"/>
      <c r="CU1638" s="21"/>
      <c r="CV1638" s="21"/>
      <c r="CW1638" s="21"/>
      <c r="CX1638" s="21"/>
      <c r="CY1638" s="21"/>
      <c r="CZ1638" s="21"/>
      <c r="DA1638" s="21"/>
      <c r="DB1638" s="21"/>
      <c r="DC1638" s="21"/>
      <c r="DD1638" s="21"/>
      <c r="DE1638" s="21"/>
      <c r="DF1638" s="21"/>
      <c r="DG1638" s="21"/>
      <c r="DH1638" s="21"/>
      <c r="DI1638" s="21"/>
      <c r="DJ1638" s="21"/>
      <c r="DK1638" s="21"/>
      <c r="DL1638" s="21"/>
      <c r="DM1638" s="21"/>
      <c r="DN1638" s="21"/>
      <c r="DO1638" s="21"/>
      <c r="DP1638" s="21"/>
      <c r="DQ1638" s="21"/>
      <c r="DR1638" s="21"/>
      <c r="DS1638" s="21"/>
      <c r="DT1638" s="21"/>
      <c r="DU1638" s="21"/>
      <c r="DV1638" s="21"/>
      <c r="DW1638" s="21"/>
      <c r="DX1638" s="21"/>
      <c r="DY1638" s="21"/>
      <c r="DZ1638" s="21"/>
      <c r="EA1638" s="21"/>
      <c r="EB1638" s="21"/>
      <c r="EC1638" s="21"/>
      <c r="ED1638" s="21"/>
      <c r="EE1638" s="21"/>
      <c r="EF1638" s="21"/>
      <c r="EG1638" s="21"/>
      <c r="EH1638" s="21"/>
      <c r="EI1638" s="21"/>
      <c r="EJ1638" s="21"/>
      <c r="EK1638" s="21"/>
      <c r="EL1638" s="21"/>
      <c r="EM1638" s="21"/>
      <c r="EN1638" s="21"/>
      <c r="EO1638" s="21"/>
      <c r="EP1638" s="21"/>
      <c r="EQ1638" s="21"/>
      <c r="ER1638" s="21"/>
      <c r="ES1638" s="21"/>
      <c r="ET1638" s="21"/>
      <c r="EU1638" s="21"/>
      <c r="EV1638" s="21"/>
      <c r="EW1638" s="21"/>
      <c r="EX1638" s="21"/>
      <c r="EY1638" s="21"/>
      <c r="EZ1638" s="21"/>
      <c r="FA1638" s="21"/>
      <c r="FB1638" s="21"/>
      <c r="FC1638" s="21"/>
      <c r="FD1638" s="21"/>
      <c r="FE1638" s="21"/>
      <c r="FF1638" s="21"/>
      <c r="FG1638" s="21"/>
      <c r="FH1638" s="21"/>
      <c r="FI1638" s="21"/>
      <c r="FJ1638" s="21"/>
      <c r="FK1638" s="21"/>
      <c r="FL1638" s="21"/>
      <c r="FM1638" s="21"/>
      <c r="FN1638" s="21"/>
      <c r="FO1638" s="21"/>
      <c r="FP1638" s="21"/>
      <c r="FQ1638" s="21"/>
      <c r="FR1638" s="21"/>
      <c r="FS1638" s="21"/>
      <c r="FT1638" s="21"/>
      <c r="FU1638" s="21"/>
      <c r="FV1638" s="21"/>
      <c r="FW1638" s="21"/>
      <c r="FX1638" s="21"/>
      <c r="FY1638" s="21"/>
      <c r="FZ1638" s="21"/>
      <c r="GA1638" s="21"/>
      <c r="GB1638" s="21"/>
      <c r="GC1638" s="21"/>
      <c r="GD1638" s="21"/>
      <c r="GE1638" s="21"/>
      <c r="GF1638" s="21"/>
      <c r="GG1638" s="21"/>
      <c r="GH1638" s="21"/>
      <c r="GI1638" s="21"/>
      <c r="GJ1638" s="21"/>
      <c r="GK1638" s="21"/>
      <c r="GL1638" s="21"/>
      <c r="GM1638" s="21"/>
      <c r="GN1638" s="21"/>
      <c r="GO1638" s="21"/>
      <c r="GP1638" s="21"/>
      <c r="GQ1638" s="21"/>
      <c r="GR1638" s="21"/>
      <c r="GS1638" s="21"/>
      <c r="GT1638" s="21"/>
      <c r="GU1638" s="21"/>
      <c r="GV1638" s="21"/>
      <c r="GW1638" s="21"/>
      <c r="GX1638" s="21"/>
      <c r="GY1638" s="21"/>
      <c r="GZ1638" s="21"/>
      <c r="HA1638" s="21"/>
      <c r="HB1638" s="21"/>
      <c r="HC1638" s="21"/>
      <c r="HD1638" s="21"/>
      <c r="HE1638" s="21"/>
      <c r="HF1638" s="21"/>
      <c r="HG1638" s="21"/>
      <c r="HH1638" s="21"/>
      <c r="HI1638" s="21"/>
      <c r="HJ1638" s="21"/>
      <c r="HK1638" s="21"/>
      <c r="HL1638" s="21"/>
      <c r="HM1638" s="21"/>
      <c r="HN1638" s="21"/>
      <c r="HO1638" s="21"/>
      <c r="HP1638" s="21"/>
      <c r="HQ1638" s="21"/>
      <c r="HR1638" s="21"/>
      <c r="HS1638" s="21"/>
      <c r="HT1638" s="21"/>
      <c r="HU1638" s="21"/>
      <c r="HV1638" s="21"/>
      <c r="HW1638" s="21"/>
      <c r="HX1638" s="21"/>
      <c r="HY1638" s="21"/>
      <c r="HZ1638" s="21"/>
      <c r="IA1638" s="21"/>
      <c r="IB1638" s="21"/>
      <c r="IC1638" s="21"/>
      <c r="ID1638" s="21"/>
      <c r="IE1638" s="21"/>
      <c r="IF1638" s="21"/>
      <c r="IG1638" s="21"/>
      <c r="IH1638" s="21"/>
      <c r="II1638" s="21"/>
      <c r="IJ1638" s="21"/>
      <c r="IK1638" s="21"/>
      <c r="IL1638" s="21"/>
      <c r="IM1638" s="21"/>
      <c r="IN1638" s="21"/>
      <c r="IO1638" s="21"/>
      <c r="IP1638" s="21"/>
      <c r="IQ1638" s="21"/>
      <c r="IR1638" s="21"/>
      <c r="IS1638" s="21"/>
      <c r="IT1638" s="21"/>
      <c r="IU1638" s="21"/>
      <c r="IV1638" s="21"/>
      <c r="IW1638" s="21"/>
      <c r="IX1638" s="21"/>
      <c r="IY1638" s="21"/>
      <c r="IZ1638" s="21"/>
      <c r="JA1638" s="21"/>
      <c r="JB1638" s="21"/>
      <c r="JC1638" s="21"/>
      <c r="JD1638" s="21"/>
      <c r="JE1638" s="21"/>
      <c r="JF1638" s="21"/>
      <c r="JG1638" s="21"/>
      <c r="JH1638" s="21"/>
      <c r="JI1638" s="21"/>
      <c r="JJ1638" s="21"/>
      <c r="JK1638" s="21"/>
      <c r="JL1638" s="21"/>
      <c r="JM1638" s="21"/>
      <c r="JN1638" s="21"/>
      <c r="JO1638" s="21"/>
      <c r="JP1638" s="21"/>
      <c r="JQ1638" s="21"/>
      <c r="JR1638" s="21"/>
      <c r="JS1638" s="21"/>
      <c r="JT1638" s="21"/>
      <c r="JU1638" s="21"/>
      <c r="JV1638" s="21"/>
      <c r="JW1638" s="21"/>
      <c r="JX1638" s="21"/>
      <c r="JY1638" s="21"/>
      <c r="JZ1638" s="21"/>
      <c r="KA1638" s="21"/>
      <c r="KB1638" s="21"/>
      <c r="KC1638" s="21"/>
      <c r="KD1638" s="21"/>
      <c r="KE1638" s="21"/>
      <c r="KF1638" s="21"/>
      <c r="KG1638" s="21"/>
      <c r="KH1638" s="21"/>
      <c r="KI1638" s="21"/>
      <c r="KJ1638" s="21"/>
      <c r="KK1638" s="21"/>
      <c r="KL1638" s="21"/>
      <c r="KM1638" s="21"/>
      <c r="KN1638" s="21"/>
      <c r="KO1638" s="21"/>
      <c r="KP1638" s="21"/>
      <c r="KQ1638" s="21"/>
      <c r="KR1638" s="21"/>
      <c r="KS1638" s="21"/>
      <c r="KT1638" s="21"/>
      <c r="KU1638" s="21"/>
      <c r="KV1638" s="21"/>
      <c r="KW1638" s="21"/>
      <c r="KX1638" s="21"/>
      <c r="KY1638" s="21"/>
      <c r="KZ1638" s="21"/>
      <c r="LA1638" s="21"/>
      <c r="LB1638" s="21"/>
      <c r="LC1638" s="21"/>
      <c r="LD1638" s="21"/>
      <c r="LE1638" s="21"/>
      <c r="LF1638" s="21"/>
      <c r="LG1638" s="21"/>
      <c r="LH1638" s="21"/>
      <c r="LI1638" s="21"/>
      <c r="LJ1638" s="21"/>
      <c r="LK1638" s="21"/>
      <c r="LL1638" s="21"/>
      <c r="LM1638" s="21"/>
      <c r="LN1638" s="21"/>
      <c r="LO1638" s="21"/>
      <c r="LP1638" s="21"/>
      <c r="LQ1638" s="21"/>
      <c r="LR1638" s="21"/>
      <c r="LS1638" s="21"/>
      <c r="LT1638" s="21"/>
      <c r="LU1638" s="21"/>
      <c r="LV1638" s="21"/>
      <c r="LW1638" s="21"/>
      <c r="LX1638" s="21"/>
      <c r="LY1638" s="21"/>
      <c r="LZ1638" s="21"/>
      <c r="MA1638" s="21"/>
      <c r="MB1638" s="21"/>
      <c r="MC1638" s="21"/>
      <c r="MD1638" s="21"/>
      <c r="ME1638" s="21"/>
      <c r="MF1638" s="21"/>
      <c r="MG1638" s="21"/>
      <c r="MH1638" s="21"/>
      <c r="MI1638" s="21"/>
      <c r="MJ1638" s="21"/>
      <c r="MK1638" s="21"/>
      <c r="ML1638" s="21"/>
      <c r="MM1638" s="21"/>
      <c r="MN1638" s="21"/>
      <c r="MO1638" s="21"/>
      <c r="MP1638" s="21"/>
      <c r="MQ1638" s="21"/>
      <c r="MR1638" s="21"/>
      <c r="MS1638" s="21"/>
      <c r="MT1638" s="21"/>
      <c r="MU1638" s="21"/>
      <c r="MV1638" s="21"/>
      <c r="MW1638" s="21"/>
      <c r="MX1638" s="21"/>
      <c r="MY1638" s="21"/>
      <c r="MZ1638" s="21"/>
      <c r="NA1638" s="21"/>
      <c r="NB1638" s="21"/>
      <c r="NC1638" s="21"/>
      <c r="ND1638" s="21"/>
      <c r="NE1638" s="21"/>
      <c r="NF1638" s="21"/>
      <c r="NG1638" s="21"/>
      <c r="NH1638" s="21"/>
      <c r="NI1638" s="21"/>
      <c r="NJ1638" s="21"/>
      <c r="NK1638" s="21"/>
      <c r="NL1638" s="21"/>
      <c r="NM1638" s="21"/>
      <c r="NN1638" s="21"/>
      <c r="NO1638" s="21"/>
      <c r="NP1638" s="21"/>
      <c r="NQ1638" s="21"/>
      <c r="NR1638" s="21"/>
      <c r="NS1638" s="21"/>
      <c r="NT1638" s="21"/>
      <c r="NU1638" s="21"/>
      <c r="NV1638" s="21"/>
      <c r="NW1638" s="21"/>
      <c r="NX1638" s="21"/>
      <c r="NY1638" s="21"/>
      <c r="NZ1638" s="21"/>
      <c r="OA1638" s="21"/>
      <c r="OB1638" s="21"/>
      <c r="OC1638" s="21"/>
      <c r="OD1638" s="21"/>
      <c r="OE1638" s="21"/>
      <c r="OF1638" s="21"/>
      <c r="OG1638" s="21"/>
      <c r="OH1638" s="21"/>
      <c r="OI1638" s="21"/>
      <c r="OJ1638" s="21"/>
      <c r="OK1638" s="21"/>
      <c r="OL1638" s="21"/>
      <c r="OM1638" s="21"/>
      <c r="ON1638" s="21"/>
      <c r="OO1638" s="21"/>
      <c r="OP1638" s="21"/>
      <c r="OQ1638" s="21"/>
      <c r="OR1638" s="21"/>
      <c r="OS1638" s="21"/>
      <c r="OT1638" s="21"/>
      <c r="OU1638" s="21"/>
      <c r="OV1638" s="21"/>
      <c r="OW1638" s="21"/>
      <c r="OX1638" s="21"/>
      <c r="OY1638" s="21"/>
      <c r="OZ1638" s="21"/>
      <c r="PA1638" s="21"/>
      <c r="PB1638" s="21"/>
      <c r="PC1638" s="21"/>
      <c r="PD1638" s="21"/>
      <c r="PE1638" s="21"/>
      <c r="PF1638" s="21"/>
      <c r="PG1638" s="21"/>
      <c r="PH1638" s="21"/>
      <c r="PI1638" s="21"/>
      <c r="PJ1638" s="21"/>
      <c r="PK1638" s="21"/>
      <c r="PL1638" s="21"/>
      <c r="PM1638" s="21"/>
      <c r="PN1638" s="21"/>
      <c r="PO1638" s="21"/>
      <c r="PP1638" s="21"/>
      <c r="PQ1638" s="21"/>
      <c r="PR1638" s="21"/>
      <c r="PS1638" s="21"/>
      <c r="PT1638" s="21"/>
      <c r="PU1638" s="21"/>
      <c r="PV1638" s="21"/>
      <c r="PW1638" s="21"/>
      <c r="PX1638" s="21"/>
      <c r="PY1638" s="21"/>
      <c r="PZ1638" s="21"/>
      <c r="QA1638" s="21"/>
      <c r="QB1638" s="21"/>
      <c r="QC1638" s="21"/>
      <c r="QD1638" s="21"/>
      <c r="QE1638" s="21"/>
      <c r="QF1638" s="21"/>
      <c r="QG1638" s="21"/>
      <c r="QH1638" s="21"/>
      <c r="QI1638" s="21"/>
      <c r="QJ1638" s="21"/>
      <c r="QK1638" s="21"/>
      <c r="QL1638" s="21"/>
      <c r="QM1638" s="21"/>
      <c r="QN1638" s="21"/>
      <c r="QO1638" s="21"/>
      <c r="QP1638" s="21"/>
      <c r="QQ1638" s="21"/>
      <c r="QR1638" s="21"/>
      <c r="QS1638" s="21"/>
      <c r="QT1638" s="21"/>
      <c r="QU1638" s="21"/>
      <c r="QV1638" s="21"/>
      <c r="QW1638" s="21"/>
      <c r="QX1638" s="21"/>
      <c r="QY1638" s="21"/>
      <c r="QZ1638" s="21"/>
      <c r="RA1638" s="21"/>
      <c r="RB1638" s="21"/>
      <c r="RC1638" s="21"/>
      <c r="RD1638" s="21"/>
      <c r="RE1638" s="21"/>
      <c r="RF1638" s="21"/>
      <c r="RG1638" s="21"/>
      <c r="RH1638" s="21"/>
      <c r="RI1638" s="21"/>
      <c r="RJ1638" s="21"/>
      <c r="RK1638" s="21"/>
      <c r="RL1638" s="21"/>
      <c r="RM1638" s="21"/>
      <c r="RN1638" s="21"/>
      <c r="RO1638" s="21"/>
      <c r="RP1638" s="21"/>
      <c r="RQ1638" s="21"/>
      <c r="RR1638" s="21"/>
      <c r="RS1638" s="21"/>
      <c r="RT1638" s="21"/>
      <c r="RU1638" s="21"/>
      <c r="RV1638" s="21"/>
      <c r="RW1638" s="21"/>
      <c r="RX1638" s="21"/>
      <c r="RY1638" s="21"/>
      <c r="RZ1638" s="21"/>
      <c r="SA1638" s="21"/>
      <c r="SB1638" s="21"/>
      <c r="SC1638" s="21"/>
      <c r="SD1638" s="21"/>
      <c r="SE1638" s="21"/>
      <c r="SF1638" s="21"/>
      <c r="SG1638" s="21"/>
      <c r="SH1638" s="21"/>
      <c r="SI1638" s="21"/>
      <c r="SJ1638" s="21"/>
      <c r="SK1638" s="21"/>
      <c r="SL1638" s="21"/>
      <c r="SM1638" s="21"/>
      <c r="SN1638" s="21"/>
      <c r="SO1638" s="21"/>
      <c r="SP1638" s="21"/>
      <c r="SQ1638" s="21"/>
      <c r="SR1638" s="21"/>
      <c r="SS1638" s="21"/>
      <c r="ST1638" s="21"/>
      <c r="SU1638" s="21"/>
      <c r="SV1638" s="21"/>
      <c r="SW1638" s="21"/>
      <c r="SX1638" s="21"/>
      <c r="SY1638" s="21"/>
      <c r="SZ1638" s="21"/>
      <c r="TA1638" s="21"/>
      <c r="TB1638" s="21"/>
      <c r="TC1638" s="21"/>
      <c r="TD1638" s="21"/>
      <c r="TE1638" s="21"/>
      <c r="TF1638" s="21"/>
      <c r="TG1638" s="21"/>
      <c r="TH1638" s="21"/>
      <c r="TI1638" s="21"/>
      <c r="TJ1638" s="21"/>
      <c r="TK1638" s="21"/>
      <c r="TL1638" s="21"/>
      <c r="TM1638" s="21"/>
      <c r="TN1638" s="21"/>
      <c r="TO1638" s="21"/>
      <c r="TP1638" s="21"/>
      <c r="TQ1638" s="21"/>
      <c r="TR1638" s="21"/>
      <c r="TS1638" s="21"/>
      <c r="TT1638" s="21"/>
      <c r="TU1638" s="21"/>
      <c r="TV1638" s="21"/>
      <c r="TW1638" s="21"/>
      <c r="TX1638" s="21"/>
      <c r="TY1638" s="21"/>
      <c r="TZ1638" s="21"/>
      <c r="UA1638" s="21"/>
      <c r="UB1638" s="21"/>
      <c r="UC1638" s="21"/>
      <c r="UD1638" s="21"/>
      <c r="UE1638" s="21"/>
      <c r="UF1638" s="21"/>
      <c r="UG1638" s="21"/>
      <c r="UH1638" s="21"/>
      <c r="UI1638" s="21"/>
      <c r="UJ1638" s="21"/>
      <c r="UK1638" s="21"/>
      <c r="UL1638" s="21"/>
      <c r="UM1638" s="21"/>
      <c r="UN1638" s="21"/>
      <c r="UO1638" s="21"/>
      <c r="UP1638" s="21"/>
      <c r="UQ1638" s="21"/>
      <c r="UR1638" s="21"/>
      <c r="US1638" s="21"/>
      <c r="UT1638" s="21"/>
      <c r="UU1638" s="21"/>
      <c r="UV1638" s="21"/>
      <c r="UW1638" s="21"/>
      <c r="UX1638" s="21"/>
      <c r="UY1638" s="21"/>
      <c r="UZ1638" s="21"/>
      <c r="VA1638" s="21"/>
      <c r="VB1638" s="21"/>
      <c r="VC1638" s="21"/>
      <c r="VD1638" s="21"/>
      <c r="VE1638" s="21"/>
      <c r="VF1638" s="21"/>
      <c r="VG1638" s="21"/>
      <c r="VH1638" s="21"/>
      <c r="VI1638" s="21"/>
      <c r="VJ1638" s="21"/>
      <c r="VK1638" s="21"/>
      <c r="VL1638" s="21"/>
      <c r="VM1638" s="21"/>
      <c r="VN1638" s="21"/>
      <c r="VO1638" s="21"/>
      <c r="VP1638" s="21"/>
      <c r="VQ1638" s="21"/>
      <c r="VR1638" s="21"/>
      <c r="VS1638" s="21"/>
      <c r="VT1638" s="21"/>
      <c r="VU1638" s="21"/>
      <c r="VV1638" s="21"/>
      <c r="VW1638" s="21"/>
      <c r="VX1638" s="21"/>
      <c r="VY1638" s="21"/>
      <c r="VZ1638" s="21"/>
      <c r="WA1638" s="21"/>
      <c r="WB1638" s="21"/>
      <c r="WC1638" s="21"/>
      <c r="WD1638" s="21"/>
      <c r="WE1638" s="21"/>
      <c r="WF1638" s="21"/>
      <c r="WG1638" s="21"/>
      <c r="WH1638" s="21"/>
      <c r="WI1638" s="21"/>
      <c r="WJ1638" s="21"/>
      <c r="WK1638" s="21"/>
      <c r="WL1638" s="21"/>
      <c r="WM1638" s="21"/>
      <c r="WN1638" s="21"/>
      <c r="WO1638" s="21"/>
      <c r="WP1638" s="21"/>
      <c r="WQ1638" s="21"/>
      <c r="WR1638" s="21"/>
      <c r="WS1638" s="21"/>
      <c r="WT1638" s="21"/>
      <c r="WU1638" s="21"/>
      <c r="WV1638" s="21"/>
      <c r="WW1638" s="21"/>
      <c r="WX1638" s="21"/>
      <c r="WY1638" s="21"/>
      <c r="WZ1638" s="21"/>
      <c r="XA1638" s="21"/>
      <c r="XB1638" s="21"/>
      <c r="XC1638" s="21"/>
      <c r="XD1638" s="21"/>
      <c r="XE1638" s="21"/>
      <c r="XF1638" s="21"/>
      <c r="XG1638" s="21"/>
      <c r="XH1638" s="21"/>
      <c r="XI1638" s="21"/>
      <c r="XJ1638" s="21"/>
      <c r="XK1638" s="21"/>
      <c r="XL1638" s="21"/>
      <c r="XM1638" s="21"/>
      <c r="XN1638" s="21"/>
      <c r="XO1638" s="21"/>
      <c r="XP1638" s="21"/>
      <c r="XQ1638" s="21"/>
      <c r="XR1638" s="21"/>
      <c r="XS1638" s="21"/>
      <c r="XT1638" s="21"/>
      <c r="XU1638" s="21"/>
      <c r="XV1638" s="21"/>
      <c r="XW1638" s="21"/>
      <c r="XX1638" s="21"/>
      <c r="XY1638" s="21"/>
      <c r="XZ1638" s="21"/>
      <c r="YA1638" s="21"/>
      <c r="YB1638" s="21"/>
      <c r="YC1638" s="21"/>
      <c r="YD1638" s="21"/>
      <c r="YE1638" s="21"/>
      <c r="YF1638" s="21"/>
      <c r="YG1638" s="21"/>
      <c r="YH1638" s="21"/>
      <c r="YI1638" s="21"/>
      <c r="YJ1638" s="21"/>
      <c r="YK1638" s="21"/>
      <c r="YL1638" s="21"/>
      <c r="YM1638" s="21"/>
      <c r="YN1638" s="21"/>
      <c r="YO1638" s="21"/>
      <c r="YP1638" s="21"/>
      <c r="YQ1638" s="21"/>
      <c r="YR1638" s="21"/>
      <c r="YS1638" s="21"/>
      <c r="YT1638" s="21"/>
      <c r="YU1638" s="21"/>
      <c r="YV1638" s="21"/>
      <c r="YW1638" s="21"/>
      <c r="YX1638" s="21"/>
      <c r="YY1638" s="21"/>
      <c r="YZ1638" s="21"/>
      <c r="ZA1638" s="21"/>
      <c r="ZB1638" s="21"/>
      <c r="ZC1638" s="21"/>
      <c r="ZD1638" s="21"/>
      <c r="ZE1638" s="21"/>
      <c r="ZF1638" s="21"/>
      <c r="ZG1638" s="21"/>
      <c r="ZH1638" s="21"/>
      <c r="ZI1638" s="21"/>
      <c r="ZJ1638" s="21"/>
      <c r="ZK1638" s="21"/>
      <c r="ZL1638" s="21"/>
      <c r="ZM1638" s="21"/>
      <c r="ZN1638" s="21"/>
      <c r="ZO1638" s="21"/>
      <c r="ZP1638" s="21"/>
      <c r="ZQ1638" s="21"/>
      <c r="ZR1638" s="21"/>
      <c r="ZS1638" s="21"/>
      <c r="ZT1638" s="21"/>
      <c r="ZU1638" s="21"/>
      <c r="ZV1638" s="21"/>
      <c r="ZW1638" s="21"/>
      <c r="ZX1638" s="21"/>
      <c r="ZY1638" s="21"/>
      <c r="ZZ1638" s="21"/>
      <c r="AAA1638" s="21"/>
      <c r="AAB1638" s="21"/>
      <c r="AAC1638" s="21"/>
      <c r="AAD1638" s="21"/>
      <c r="AAE1638" s="21"/>
      <c r="AAF1638" s="21"/>
      <c r="AAG1638" s="21"/>
      <c r="AAH1638" s="21"/>
      <c r="AAI1638" s="21"/>
      <c r="AAJ1638" s="21"/>
      <c r="AAK1638" s="21"/>
      <c r="AAL1638" s="21"/>
      <c r="AAM1638" s="21"/>
      <c r="AAN1638" s="21"/>
      <c r="AAO1638" s="21"/>
      <c r="AAP1638" s="21"/>
      <c r="AAQ1638" s="21"/>
      <c r="AAR1638" s="21"/>
      <c r="AAS1638" s="21"/>
      <c r="AAT1638" s="21"/>
      <c r="AAU1638" s="21"/>
      <c r="AAV1638" s="21"/>
      <c r="AAW1638" s="21"/>
      <c r="AAX1638" s="21"/>
      <c r="AAY1638" s="21"/>
      <c r="AAZ1638" s="21"/>
      <c r="ABA1638" s="21"/>
      <c r="ABB1638" s="21"/>
      <c r="ABC1638" s="21"/>
      <c r="ABD1638" s="21"/>
      <c r="ABE1638" s="21"/>
      <c r="ABF1638" s="21"/>
      <c r="ABG1638" s="21"/>
      <c r="ABH1638" s="21"/>
      <c r="ABI1638" s="21"/>
      <c r="ABJ1638" s="21"/>
      <c r="ABK1638" s="21"/>
      <c r="ABL1638" s="21"/>
      <c r="ABM1638" s="21"/>
      <c r="ABN1638" s="21"/>
      <c r="ABO1638" s="21"/>
      <c r="ABP1638" s="21"/>
      <c r="ABQ1638" s="21"/>
      <c r="ABR1638" s="21"/>
      <c r="ABS1638" s="21"/>
      <c r="ABT1638" s="21"/>
      <c r="ABU1638" s="21"/>
      <c r="ABV1638" s="21"/>
      <c r="ABW1638" s="21"/>
      <c r="ABX1638" s="21"/>
      <c r="ABY1638" s="21"/>
      <c r="ABZ1638" s="21"/>
      <c r="ACA1638" s="21"/>
      <c r="ACB1638" s="21"/>
      <c r="ACC1638" s="21"/>
      <c r="ACD1638" s="21"/>
      <c r="ACE1638" s="21"/>
      <c r="ACF1638" s="21"/>
      <c r="ACG1638" s="21"/>
      <c r="ACH1638" s="21"/>
      <c r="ACI1638" s="21"/>
      <c r="ACJ1638" s="21"/>
      <c r="ACK1638" s="21"/>
      <c r="ACL1638" s="21"/>
      <c r="ACM1638" s="21"/>
      <c r="ACN1638" s="21"/>
      <c r="ACO1638" s="21"/>
      <c r="ACP1638" s="21"/>
      <c r="ACQ1638" s="21"/>
      <c r="ACR1638" s="21"/>
      <c r="ACS1638" s="21"/>
      <c r="ACT1638" s="21"/>
      <c r="ACU1638" s="21"/>
      <c r="ACV1638" s="21"/>
      <c r="ACW1638" s="21"/>
      <c r="ACX1638" s="21"/>
      <c r="ACY1638" s="21"/>
      <c r="ACZ1638" s="21"/>
      <c r="ADA1638" s="21"/>
      <c r="ADB1638" s="21"/>
      <c r="ADC1638" s="21"/>
      <c r="ADD1638" s="21"/>
      <c r="ADE1638" s="21"/>
      <c r="ADF1638" s="21"/>
      <c r="ADG1638" s="21"/>
      <c r="ADH1638" s="21"/>
      <c r="ADI1638" s="21"/>
      <c r="ADJ1638" s="21"/>
      <c r="ADK1638" s="21"/>
      <c r="ADL1638" s="21"/>
      <c r="ADM1638" s="21"/>
      <c r="ADN1638" s="21"/>
      <c r="ADO1638" s="21"/>
      <c r="ADP1638" s="21"/>
      <c r="ADQ1638" s="21"/>
      <c r="ADR1638" s="21"/>
      <c r="ADS1638" s="21"/>
      <c r="ADT1638" s="21"/>
      <c r="ADU1638" s="21"/>
      <c r="ADV1638" s="21"/>
      <c r="ADW1638" s="21"/>
      <c r="ADX1638" s="21"/>
      <c r="ADY1638" s="21"/>
      <c r="ADZ1638" s="21"/>
      <c r="AEA1638" s="21"/>
      <c r="AEB1638" s="21"/>
      <c r="AEC1638" s="21"/>
      <c r="AED1638" s="21"/>
      <c r="AEE1638" s="21"/>
      <c r="AEF1638" s="21"/>
      <c r="AEG1638" s="21"/>
      <c r="AEH1638" s="21"/>
      <c r="AEI1638" s="21"/>
      <c r="AEJ1638" s="21"/>
      <c r="AEK1638" s="21"/>
      <c r="AEL1638" s="21"/>
      <c r="AEM1638" s="21"/>
      <c r="AEN1638" s="21"/>
      <c r="AEO1638" s="21"/>
      <c r="AEP1638" s="21"/>
      <c r="AEQ1638" s="21"/>
      <c r="AER1638" s="21"/>
      <c r="AES1638" s="21"/>
      <c r="AET1638" s="21"/>
      <c r="AEU1638" s="21"/>
      <c r="AEV1638" s="21"/>
      <c r="AEW1638" s="21"/>
      <c r="AEX1638" s="21"/>
      <c r="AEY1638" s="21"/>
      <c r="AEZ1638" s="21"/>
      <c r="AFA1638" s="21"/>
      <c r="AFB1638" s="21"/>
      <c r="AFC1638" s="21"/>
      <c r="AFD1638" s="21"/>
      <c r="AFE1638" s="21"/>
      <c r="AFF1638" s="21"/>
      <c r="AFG1638" s="21"/>
      <c r="AFH1638" s="21"/>
      <c r="AFI1638" s="21"/>
      <c r="AFJ1638" s="21"/>
      <c r="AFK1638" s="21"/>
      <c r="AFL1638" s="21"/>
      <c r="AFM1638" s="21"/>
      <c r="AFN1638" s="21"/>
      <c r="AFO1638" s="21"/>
      <c r="AFP1638" s="21"/>
      <c r="AFQ1638" s="21"/>
      <c r="AFR1638" s="21"/>
      <c r="AFS1638" s="21"/>
      <c r="AFT1638" s="21"/>
      <c r="AFU1638" s="21"/>
      <c r="AFV1638" s="21"/>
      <c r="AFW1638" s="21"/>
      <c r="AFX1638" s="21"/>
      <c r="AFY1638" s="21"/>
      <c r="AFZ1638" s="21"/>
      <c r="AGA1638" s="21"/>
      <c r="AGB1638" s="21"/>
      <c r="AGC1638" s="21"/>
      <c r="AGD1638" s="21"/>
      <c r="AGE1638" s="21"/>
      <c r="AGF1638" s="21"/>
      <c r="AGG1638" s="21"/>
      <c r="AGH1638" s="21"/>
      <c r="AGI1638" s="21"/>
      <c r="AGJ1638" s="21"/>
      <c r="AGK1638" s="21"/>
      <c r="AGL1638" s="21"/>
      <c r="AGM1638" s="21"/>
      <c r="AGN1638" s="21"/>
      <c r="AGO1638" s="21"/>
      <c r="AGP1638" s="21"/>
      <c r="AGQ1638" s="21"/>
      <c r="AGR1638" s="21"/>
      <c r="AGS1638" s="21"/>
      <c r="AGT1638" s="21"/>
      <c r="AGU1638" s="21"/>
      <c r="AGV1638" s="21"/>
      <c r="AGW1638" s="21"/>
      <c r="AGX1638" s="21"/>
      <c r="AGY1638" s="21"/>
      <c r="AGZ1638" s="21"/>
      <c r="AHA1638" s="21"/>
      <c r="AHB1638" s="21"/>
      <c r="AHC1638" s="21"/>
      <c r="AHD1638" s="21"/>
      <c r="AHE1638" s="21"/>
      <c r="AHF1638" s="21"/>
      <c r="AHG1638" s="21"/>
      <c r="AHH1638" s="21"/>
      <c r="AHI1638" s="21"/>
      <c r="AHJ1638" s="21"/>
      <c r="AHK1638" s="21"/>
      <c r="AHL1638" s="21"/>
      <c r="AHM1638" s="21"/>
      <c r="AHN1638" s="21"/>
      <c r="AHO1638" s="21"/>
      <c r="AHP1638" s="21"/>
      <c r="AHQ1638" s="21"/>
      <c r="AHR1638" s="21"/>
      <c r="AHS1638" s="21"/>
      <c r="AHT1638" s="21"/>
      <c r="AHU1638" s="21"/>
      <c r="AHV1638" s="21"/>
      <c r="AHW1638" s="21"/>
      <c r="AHX1638" s="21"/>
      <c r="AHY1638" s="21"/>
      <c r="AHZ1638" s="21"/>
      <c r="AIA1638" s="21"/>
      <c r="AIB1638" s="21"/>
      <c r="AIC1638" s="21"/>
      <c r="AID1638" s="21"/>
      <c r="AIE1638" s="21"/>
      <c r="AIF1638" s="21"/>
      <c r="AIG1638" s="21"/>
      <c r="AIH1638" s="21"/>
      <c r="AII1638" s="21"/>
      <c r="AIJ1638" s="21"/>
      <c r="AIK1638" s="21"/>
      <c r="AIL1638" s="21"/>
      <c r="AIM1638" s="21"/>
      <c r="AIN1638" s="21"/>
      <c r="AIO1638" s="21"/>
      <c r="AIP1638" s="21"/>
      <c r="AIQ1638" s="21"/>
      <c r="AIR1638" s="21"/>
      <c r="AIS1638" s="21"/>
      <c r="AIT1638" s="21"/>
      <c r="AIU1638" s="21"/>
      <c r="AIV1638" s="21"/>
      <c r="AIW1638" s="21"/>
      <c r="AIX1638" s="21"/>
      <c r="AIY1638" s="21"/>
      <c r="AIZ1638" s="21"/>
      <c r="AJA1638" s="21"/>
      <c r="AJB1638" s="21"/>
      <c r="AJC1638" s="21"/>
      <c r="AJD1638" s="21"/>
      <c r="AJE1638" s="21"/>
      <c r="AJF1638" s="21"/>
      <c r="AJG1638" s="21"/>
      <c r="AJH1638" s="21"/>
      <c r="AJI1638" s="21"/>
      <c r="AJJ1638" s="21"/>
      <c r="AJK1638" s="21"/>
      <c r="AJL1638" s="21"/>
      <c r="AJM1638" s="21"/>
      <c r="AJN1638" s="21"/>
      <c r="AJO1638" s="21"/>
      <c r="AJP1638" s="21"/>
      <c r="AJQ1638" s="21"/>
      <c r="AJR1638" s="21"/>
      <c r="AJS1638" s="21"/>
      <c r="AJT1638" s="21"/>
      <c r="AJU1638" s="21"/>
      <c r="AJV1638" s="21"/>
      <c r="AJW1638" s="21"/>
      <c r="AJX1638" s="21"/>
      <c r="AJY1638" s="21"/>
      <c r="AJZ1638" s="21"/>
      <c r="AKA1638" s="21"/>
      <c r="AKB1638" s="21"/>
      <c r="AKC1638" s="21"/>
      <c r="AKD1638" s="21"/>
      <c r="AKE1638" s="21"/>
      <c r="AKF1638" s="21"/>
      <c r="AKG1638" s="21"/>
      <c r="AKH1638" s="21"/>
      <c r="AKI1638" s="21"/>
      <c r="AKJ1638" s="21"/>
      <c r="AKK1638" s="21"/>
      <c r="AKL1638" s="21"/>
      <c r="AKM1638" s="21"/>
      <c r="AKN1638" s="21"/>
      <c r="AKO1638" s="21"/>
      <c r="AKP1638" s="21"/>
      <c r="AKQ1638" s="21"/>
      <c r="AKR1638" s="21"/>
      <c r="AKS1638" s="21"/>
      <c r="AKT1638" s="21"/>
      <c r="AKU1638" s="21"/>
      <c r="AKV1638" s="21"/>
      <c r="AKW1638" s="21"/>
      <c r="AKX1638" s="21"/>
      <c r="AKY1638" s="21"/>
      <c r="AKZ1638" s="21"/>
      <c r="ALA1638" s="21"/>
      <c r="ALB1638" s="21"/>
      <c r="ALC1638" s="21"/>
      <c r="ALD1638" s="21"/>
      <c r="ALE1638" s="21"/>
      <c r="ALF1638" s="21"/>
      <c r="ALG1638" s="21"/>
      <c r="ALH1638" s="21"/>
      <c r="ALI1638" s="21"/>
      <c r="ALJ1638" s="21"/>
      <c r="ALK1638" s="21"/>
      <c r="ALL1638" s="21"/>
      <c r="ALM1638" s="21"/>
      <c r="ALN1638" s="21"/>
      <c r="ALO1638" s="21"/>
      <c r="ALP1638" s="21"/>
      <c r="ALQ1638" s="21"/>
      <c r="ALR1638" s="21"/>
      <c r="ALS1638" s="21"/>
      <c r="ALT1638" s="21"/>
      <c r="ALU1638" s="21"/>
      <c r="ALV1638" s="21"/>
      <c r="ALW1638" s="21"/>
      <c r="ALX1638" s="21"/>
      <c r="ALY1638" s="21"/>
      <c r="ALZ1638" s="21"/>
      <c r="AMA1638" s="21"/>
      <c r="AMB1638" s="21"/>
      <c r="AMC1638" s="21"/>
      <c r="AMD1638" s="21"/>
      <c r="AME1638" s="21"/>
      <c r="AMF1638" s="21"/>
      <c r="AMG1638" s="21"/>
      <c r="AMH1638" s="21"/>
      <c r="AMI1638" s="21"/>
      <c r="AMJ1638" s="21"/>
      <c r="AMK1638" s="21"/>
      <c r="AML1638" s="21"/>
      <c r="AMM1638" s="21"/>
      <c r="AMN1638" s="21"/>
      <c r="AMO1638" s="21"/>
      <c r="AMP1638" s="21"/>
      <c r="AMQ1638" s="21"/>
      <c r="AMR1638" s="21"/>
      <c r="AMS1638" s="21"/>
      <c r="AMT1638" s="21"/>
      <c r="AMU1638" s="21"/>
      <c r="AMV1638" s="21"/>
      <c r="AMW1638" s="21"/>
      <c r="AMX1638" s="21"/>
      <c r="AMY1638" s="21"/>
      <c r="AMZ1638" s="21"/>
      <c r="ANA1638" s="21"/>
      <c r="ANB1638" s="21"/>
      <c r="ANC1638" s="21"/>
      <c r="AND1638" s="21"/>
      <c r="ANE1638" s="21"/>
      <c r="ANF1638" s="21"/>
      <c r="ANG1638" s="21"/>
      <c r="ANH1638" s="21"/>
      <c r="ANI1638" s="21"/>
      <c r="ANJ1638" s="21"/>
      <c r="ANK1638" s="21"/>
      <c r="ANL1638" s="21"/>
      <c r="ANM1638" s="21"/>
      <c r="ANN1638" s="21"/>
      <c r="ANO1638" s="21"/>
      <c r="ANP1638" s="21"/>
      <c r="ANQ1638" s="21"/>
      <c r="ANR1638" s="21"/>
      <c r="ANS1638" s="21"/>
      <c r="ANT1638" s="21"/>
      <c r="ANU1638" s="21"/>
      <c r="ANV1638" s="21"/>
      <c r="ANW1638" s="21"/>
      <c r="ANX1638" s="21"/>
      <c r="ANY1638" s="21"/>
      <c r="ANZ1638" s="21"/>
      <c r="AOA1638" s="21"/>
      <c r="AOB1638" s="21"/>
      <c r="AOC1638" s="21"/>
      <c r="AOD1638" s="21"/>
      <c r="AOE1638" s="21"/>
      <c r="AOF1638" s="21"/>
      <c r="AOG1638" s="21"/>
      <c r="AOH1638" s="21"/>
      <c r="AOI1638" s="21"/>
      <c r="AOJ1638" s="21"/>
      <c r="AOK1638" s="21"/>
      <c r="AOL1638" s="21"/>
      <c r="AOM1638" s="21"/>
      <c r="AON1638" s="21"/>
      <c r="AOO1638" s="21"/>
      <c r="AOP1638" s="21"/>
      <c r="AOQ1638" s="21"/>
      <c r="AOR1638" s="21"/>
      <c r="AOS1638" s="21"/>
      <c r="AOT1638" s="21"/>
      <c r="AOU1638" s="21"/>
      <c r="AOV1638" s="21"/>
      <c r="AOW1638" s="21"/>
      <c r="AOX1638" s="21"/>
      <c r="AOY1638" s="21"/>
      <c r="AOZ1638" s="21"/>
      <c r="APA1638" s="21"/>
      <c r="APB1638" s="21"/>
      <c r="APC1638" s="21"/>
      <c r="APD1638" s="21"/>
      <c r="APE1638" s="21"/>
      <c r="APF1638" s="21"/>
      <c r="APG1638" s="21"/>
      <c r="APH1638" s="21"/>
      <c r="API1638" s="21"/>
      <c r="APJ1638" s="21"/>
      <c r="APK1638" s="21"/>
      <c r="APL1638" s="21"/>
      <c r="APM1638" s="21"/>
      <c r="APN1638" s="21"/>
      <c r="APO1638" s="21"/>
      <c r="APP1638" s="21"/>
      <c r="APQ1638" s="21"/>
      <c r="APR1638" s="21"/>
      <c r="APS1638" s="21"/>
      <c r="APT1638" s="21"/>
      <c r="APU1638" s="21"/>
      <c r="APV1638" s="21"/>
      <c r="APW1638" s="21"/>
      <c r="APX1638" s="21"/>
      <c r="APY1638" s="21"/>
      <c r="APZ1638" s="21"/>
      <c r="AQA1638" s="21"/>
      <c r="AQB1638" s="21"/>
      <c r="AQC1638" s="21"/>
      <c r="AQD1638" s="21"/>
      <c r="AQE1638" s="21"/>
      <c r="AQF1638" s="21"/>
      <c r="AQG1638" s="21"/>
      <c r="AQH1638" s="21"/>
      <c r="AQI1638" s="21"/>
      <c r="AQJ1638" s="21"/>
      <c r="AQK1638" s="21"/>
      <c r="AQL1638" s="21"/>
      <c r="AQM1638" s="21"/>
      <c r="AQN1638" s="21"/>
      <c r="AQO1638" s="21"/>
      <c r="AQP1638" s="21"/>
      <c r="AQQ1638" s="21"/>
      <c r="AQR1638" s="21"/>
      <c r="AQS1638" s="21"/>
      <c r="AQT1638" s="21"/>
      <c r="AQU1638" s="21"/>
      <c r="AQV1638" s="21"/>
      <c r="AQW1638" s="21"/>
      <c r="AQX1638" s="21"/>
      <c r="AQY1638" s="21"/>
      <c r="AQZ1638" s="21"/>
      <c r="ARA1638" s="21"/>
      <c r="ARB1638" s="21"/>
      <c r="ARC1638" s="21"/>
      <c r="ARD1638" s="21"/>
      <c r="ARE1638" s="21"/>
      <c r="ARF1638" s="21"/>
      <c r="ARG1638" s="21"/>
      <c r="ARH1638" s="21"/>
      <c r="ARI1638" s="21"/>
      <c r="ARJ1638" s="21"/>
      <c r="ARK1638" s="21"/>
      <c r="ARL1638" s="21"/>
      <c r="ARM1638" s="21"/>
      <c r="ARN1638" s="21"/>
      <c r="ARO1638" s="21"/>
      <c r="ARP1638" s="21"/>
      <c r="ARQ1638" s="21"/>
      <c r="ARR1638" s="21"/>
      <c r="ARS1638" s="21"/>
      <c r="ART1638" s="21"/>
      <c r="ARU1638" s="21"/>
      <c r="ARV1638" s="21"/>
      <c r="ARW1638" s="21"/>
      <c r="ARX1638" s="21"/>
      <c r="ARY1638" s="21"/>
      <c r="ARZ1638" s="21"/>
      <c r="ASA1638" s="21"/>
      <c r="ASB1638" s="21"/>
      <c r="ASC1638" s="21"/>
      <c r="ASD1638" s="21"/>
      <c r="ASE1638" s="21"/>
      <c r="ASF1638" s="21"/>
      <c r="ASG1638" s="21"/>
      <c r="ASH1638" s="21"/>
      <c r="ASI1638" s="21"/>
      <c r="ASJ1638" s="21"/>
      <c r="ASK1638" s="21"/>
      <c r="ASL1638" s="21"/>
      <c r="ASM1638" s="21"/>
      <c r="ASN1638" s="21"/>
      <c r="ASO1638" s="21"/>
      <c r="ASP1638" s="21"/>
      <c r="ASQ1638" s="21"/>
      <c r="ASR1638" s="21"/>
      <c r="ASS1638" s="21"/>
      <c r="AST1638" s="21"/>
      <c r="ASU1638" s="21"/>
      <c r="ASV1638" s="21"/>
      <c r="ASW1638" s="21"/>
      <c r="ASX1638" s="21"/>
      <c r="ASY1638" s="21"/>
      <c r="ASZ1638" s="21"/>
      <c r="ATA1638" s="21"/>
      <c r="ATB1638" s="21"/>
      <c r="ATC1638" s="21"/>
      <c r="ATD1638" s="21"/>
      <c r="ATE1638" s="21"/>
      <c r="ATF1638" s="21"/>
      <c r="ATG1638" s="21"/>
      <c r="ATH1638" s="21"/>
      <c r="ATI1638" s="21"/>
      <c r="ATJ1638" s="21"/>
      <c r="ATK1638" s="21"/>
      <c r="ATL1638" s="21"/>
      <c r="ATM1638" s="21"/>
      <c r="ATN1638" s="21"/>
      <c r="ATO1638" s="21"/>
      <c r="ATP1638" s="21"/>
      <c r="ATQ1638" s="21"/>
      <c r="ATR1638" s="21"/>
      <c r="ATS1638" s="21"/>
      <c r="ATT1638" s="21"/>
      <c r="ATU1638" s="21"/>
      <c r="ATV1638" s="21"/>
      <c r="ATW1638" s="21"/>
      <c r="ATX1638" s="21"/>
      <c r="ATY1638" s="21"/>
      <c r="ATZ1638" s="21"/>
      <c r="AUA1638" s="21"/>
      <c r="AUB1638" s="21"/>
      <c r="AUC1638" s="21"/>
      <c r="AUD1638" s="21"/>
      <c r="AUE1638" s="21"/>
      <c r="AUF1638" s="21"/>
      <c r="AUG1638" s="21"/>
      <c r="AUH1638" s="21"/>
      <c r="AUI1638" s="21"/>
      <c r="AUJ1638" s="21"/>
      <c r="AUK1638" s="21"/>
      <c r="AUL1638" s="21"/>
      <c r="AUM1638" s="21"/>
      <c r="AUN1638" s="21"/>
      <c r="AUO1638" s="21"/>
      <c r="AUP1638" s="21"/>
      <c r="AUQ1638" s="21"/>
      <c r="AUR1638" s="21"/>
      <c r="AUS1638" s="21"/>
      <c r="AUT1638" s="21"/>
      <c r="AUU1638" s="21"/>
      <c r="AUV1638" s="21"/>
      <c r="AUW1638" s="21"/>
      <c r="AUX1638" s="21"/>
      <c r="AUY1638" s="21"/>
      <c r="AUZ1638" s="21"/>
      <c r="AVA1638" s="21"/>
      <c r="AVB1638" s="21"/>
      <c r="AVC1638" s="21"/>
      <c r="AVD1638" s="21"/>
      <c r="AVE1638" s="21"/>
      <c r="AVF1638" s="21"/>
      <c r="AVG1638" s="21"/>
      <c r="AVH1638" s="21"/>
      <c r="AVI1638" s="21"/>
      <c r="AVJ1638" s="21"/>
      <c r="AVK1638" s="21"/>
      <c r="AVL1638" s="21"/>
      <c r="AVM1638" s="21"/>
      <c r="AVN1638" s="21"/>
      <c r="AVO1638" s="21"/>
      <c r="AVP1638" s="21"/>
      <c r="AVQ1638" s="21"/>
      <c r="AVR1638" s="21"/>
      <c r="AVS1638" s="21"/>
      <c r="AVT1638" s="21"/>
      <c r="AVU1638" s="21"/>
      <c r="AVV1638" s="21"/>
      <c r="AVW1638" s="21"/>
      <c r="AVX1638" s="21"/>
      <c r="AVY1638" s="21"/>
      <c r="AVZ1638" s="21"/>
      <c r="AWA1638" s="21"/>
      <c r="AWB1638" s="21"/>
      <c r="AWC1638" s="21"/>
      <c r="AWD1638" s="21"/>
      <c r="AWE1638" s="21"/>
      <c r="AWF1638" s="21"/>
      <c r="AWG1638" s="21"/>
      <c r="AWH1638" s="21"/>
      <c r="AWI1638" s="21"/>
      <c r="AWJ1638" s="21"/>
      <c r="AWK1638" s="21"/>
      <c r="AWL1638" s="21"/>
      <c r="AWM1638" s="21"/>
      <c r="AWN1638" s="21"/>
      <c r="AWO1638" s="21"/>
      <c r="AWP1638" s="21"/>
      <c r="AWQ1638" s="21"/>
      <c r="AWR1638" s="21"/>
      <c r="AWS1638" s="21"/>
      <c r="AWT1638" s="21"/>
      <c r="AWU1638" s="21"/>
      <c r="AWV1638" s="21"/>
      <c r="AWW1638" s="21"/>
      <c r="AWX1638" s="21"/>
      <c r="AWY1638" s="21"/>
      <c r="AWZ1638" s="21"/>
      <c r="AXA1638" s="21"/>
      <c r="AXB1638" s="21"/>
      <c r="AXC1638" s="21"/>
      <c r="AXD1638" s="21"/>
      <c r="AXE1638" s="21"/>
      <c r="AXF1638" s="21"/>
      <c r="AXG1638" s="21"/>
      <c r="AXH1638" s="21"/>
      <c r="AXI1638" s="21"/>
      <c r="AXJ1638" s="21"/>
      <c r="AXK1638" s="21"/>
      <c r="AXL1638" s="21"/>
      <c r="AXM1638" s="21"/>
      <c r="AXN1638" s="21"/>
      <c r="AXO1638" s="21"/>
      <c r="AXP1638" s="21"/>
      <c r="AXQ1638" s="21"/>
      <c r="AXR1638" s="21"/>
      <c r="AXS1638" s="21"/>
      <c r="AXT1638" s="21"/>
      <c r="AXU1638" s="21"/>
      <c r="AXV1638" s="21"/>
      <c r="AXW1638" s="21"/>
      <c r="AXX1638" s="21"/>
      <c r="AXY1638" s="21"/>
      <c r="AXZ1638" s="21"/>
      <c r="AYA1638" s="21"/>
      <c r="AYB1638" s="21"/>
      <c r="AYC1638" s="21"/>
      <c r="AYD1638" s="21"/>
      <c r="AYE1638" s="21"/>
      <c r="AYF1638" s="21"/>
      <c r="AYG1638" s="21"/>
      <c r="AYH1638" s="21"/>
      <c r="AYI1638" s="21"/>
      <c r="AYJ1638" s="21"/>
      <c r="AYK1638" s="21"/>
      <c r="AYL1638" s="21"/>
      <c r="AYM1638" s="21"/>
      <c r="AYN1638" s="21"/>
      <c r="AYO1638" s="21"/>
      <c r="AYP1638" s="21"/>
      <c r="AYQ1638" s="21"/>
      <c r="AYR1638" s="21"/>
      <c r="AYS1638" s="21"/>
      <c r="AYT1638" s="21"/>
      <c r="AYU1638" s="21"/>
      <c r="AYV1638" s="21"/>
      <c r="AYW1638" s="21"/>
      <c r="AYX1638" s="21"/>
      <c r="AYY1638" s="21"/>
      <c r="AYZ1638" s="21"/>
      <c r="AZA1638" s="21"/>
      <c r="AZB1638" s="21"/>
      <c r="AZC1638" s="21"/>
      <c r="AZD1638" s="21"/>
      <c r="AZE1638" s="21"/>
      <c r="AZF1638" s="21"/>
      <c r="AZG1638" s="21"/>
      <c r="AZH1638" s="21"/>
      <c r="AZI1638" s="21"/>
      <c r="AZJ1638" s="21"/>
      <c r="AZK1638" s="21"/>
      <c r="AZL1638" s="21"/>
      <c r="AZM1638" s="21"/>
      <c r="AZN1638" s="21"/>
      <c r="AZO1638" s="21"/>
      <c r="AZP1638" s="21"/>
      <c r="AZQ1638" s="21"/>
      <c r="AZR1638" s="21"/>
      <c r="AZS1638" s="21"/>
      <c r="AZT1638" s="21"/>
      <c r="AZU1638" s="21"/>
      <c r="AZV1638" s="21"/>
      <c r="AZW1638" s="21"/>
      <c r="AZX1638" s="21"/>
      <c r="AZY1638" s="21"/>
      <c r="AZZ1638" s="21"/>
      <c r="BAA1638" s="21"/>
      <c r="BAB1638" s="21"/>
      <c r="BAC1638" s="21"/>
      <c r="BAD1638" s="21"/>
      <c r="BAE1638" s="21"/>
      <c r="BAF1638" s="21"/>
      <c r="BAG1638" s="21"/>
      <c r="BAH1638" s="21"/>
      <c r="BAI1638" s="21"/>
      <c r="BAJ1638" s="21"/>
      <c r="BAK1638" s="21"/>
      <c r="BAL1638" s="21"/>
      <c r="BAM1638" s="21"/>
      <c r="BAN1638" s="21"/>
      <c r="BAO1638" s="21"/>
      <c r="BAP1638" s="21"/>
      <c r="BAQ1638" s="21"/>
      <c r="BAR1638" s="21"/>
      <c r="BAS1638" s="21"/>
      <c r="BAT1638" s="21"/>
      <c r="BAU1638" s="21"/>
      <c r="BAV1638" s="21"/>
      <c r="BAW1638" s="21"/>
      <c r="BAX1638" s="21"/>
      <c r="BAY1638" s="21"/>
      <c r="BAZ1638" s="21"/>
      <c r="BBA1638" s="21"/>
      <c r="BBB1638" s="21"/>
      <c r="BBC1638" s="21"/>
      <c r="BBD1638" s="21"/>
      <c r="BBE1638" s="21"/>
      <c r="BBF1638" s="21"/>
      <c r="BBG1638" s="21"/>
      <c r="BBH1638" s="21"/>
      <c r="BBI1638" s="21"/>
      <c r="BBJ1638" s="21"/>
      <c r="BBK1638" s="21"/>
      <c r="BBL1638" s="21"/>
      <c r="BBM1638" s="21"/>
      <c r="BBN1638" s="21"/>
      <c r="BBO1638" s="21"/>
      <c r="BBP1638" s="21"/>
      <c r="BBQ1638" s="21"/>
      <c r="BBR1638" s="21"/>
      <c r="BBS1638" s="21"/>
      <c r="BBT1638" s="21"/>
      <c r="BBU1638" s="21"/>
      <c r="BBV1638" s="21"/>
      <c r="BBW1638" s="21"/>
      <c r="BBX1638" s="21"/>
      <c r="BBY1638" s="21"/>
      <c r="BBZ1638" s="21"/>
      <c r="BCA1638" s="21"/>
      <c r="BCB1638" s="21"/>
      <c r="BCC1638" s="21"/>
      <c r="BCD1638" s="21"/>
      <c r="BCE1638" s="21"/>
      <c r="BCF1638" s="21"/>
      <c r="BCG1638" s="21"/>
      <c r="BCH1638" s="21"/>
      <c r="BCI1638" s="21"/>
      <c r="BCJ1638" s="21"/>
      <c r="BCK1638" s="21"/>
      <c r="BCL1638" s="21"/>
      <c r="BCM1638" s="21"/>
      <c r="BCN1638" s="21"/>
      <c r="BCO1638" s="21"/>
      <c r="BCP1638" s="21"/>
      <c r="BCQ1638" s="21"/>
      <c r="BCR1638" s="21"/>
      <c r="BCS1638" s="21"/>
      <c r="BCT1638" s="21"/>
      <c r="BCU1638" s="21"/>
      <c r="BCV1638" s="21"/>
      <c r="BCW1638" s="21"/>
      <c r="BCX1638" s="21"/>
      <c r="BCY1638" s="21"/>
      <c r="BCZ1638" s="21"/>
      <c r="BDA1638" s="21"/>
      <c r="BDB1638" s="21"/>
      <c r="BDC1638" s="21"/>
      <c r="BDD1638" s="21"/>
      <c r="BDE1638" s="21"/>
      <c r="BDF1638" s="21"/>
      <c r="BDG1638" s="21"/>
      <c r="BDH1638" s="21"/>
      <c r="BDI1638" s="21"/>
      <c r="BDJ1638" s="21"/>
      <c r="BDK1638" s="21"/>
      <c r="BDL1638" s="21"/>
      <c r="BDM1638" s="21"/>
      <c r="BDN1638" s="21"/>
      <c r="BDO1638" s="21"/>
      <c r="BDP1638" s="21"/>
      <c r="BDQ1638" s="21"/>
      <c r="BDR1638" s="21"/>
      <c r="BDS1638" s="21"/>
      <c r="BDT1638" s="21"/>
      <c r="BDU1638" s="21"/>
      <c r="BDV1638" s="21"/>
      <c r="BDW1638" s="21"/>
      <c r="BDX1638" s="21"/>
      <c r="BDY1638" s="21"/>
      <c r="BDZ1638" s="21"/>
      <c r="BEA1638" s="21"/>
      <c r="BEB1638" s="21"/>
      <c r="BEC1638" s="21"/>
      <c r="BED1638" s="21"/>
      <c r="BEE1638" s="21"/>
      <c r="BEF1638" s="21"/>
      <c r="BEG1638" s="21"/>
      <c r="BEH1638" s="21"/>
      <c r="BEI1638" s="21"/>
      <c r="BEJ1638" s="21"/>
      <c r="BEK1638" s="21"/>
      <c r="BEL1638" s="21"/>
      <c r="BEM1638" s="21"/>
      <c r="BEN1638" s="21"/>
      <c r="BEO1638" s="21"/>
      <c r="BEP1638" s="21"/>
      <c r="BEQ1638" s="21"/>
      <c r="BER1638" s="21"/>
      <c r="BES1638" s="21"/>
      <c r="BET1638" s="21"/>
      <c r="BEU1638" s="21"/>
      <c r="BEV1638" s="21"/>
      <c r="BEW1638" s="21"/>
      <c r="BEX1638" s="21"/>
      <c r="BEY1638" s="21"/>
      <c r="BEZ1638" s="21"/>
      <c r="BFA1638" s="21"/>
      <c r="BFB1638" s="21"/>
      <c r="BFC1638" s="21"/>
      <c r="BFD1638" s="21"/>
      <c r="BFE1638" s="21"/>
      <c r="BFF1638" s="21"/>
      <c r="BFG1638" s="21"/>
      <c r="BFH1638" s="21"/>
      <c r="BFI1638" s="21"/>
      <c r="BFJ1638" s="21"/>
      <c r="BFK1638" s="21"/>
      <c r="BFL1638" s="21"/>
      <c r="BFM1638" s="21"/>
      <c r="BFN1638" s="21"/>
      <c r="BFO1638" s="21"/>
      <c r="BFP1638" s="21"/>
      <c r="BFQ1638" s="21"/>
      <c r="BFR1638" s="21"/>
      <c r="BFS1638" s="21"/>
      <c r="BFT1638" s="21"/>
      <c r="BFU1638" s="21"/>
      <c r="BFV1638" s="21"/>
      <c r="BFW1638" s="21"/>
      <c r="BFX1638" s="21"/>
      <c r="BFY1638" s="21"/>
      <c r="BFZ1638" s="21"/>
      <c r="BGA1638" s="21"/>
      <c r="BGB1638" s="21"/>
      <c r="BGC1638" s="21"/>
      <c r="BGD1638" s="21"/>
      <c r="BGE1638" s="21"/>
      <c r="BGF1638" s="21"/>
      <c r="BGG1638" s="21"/>
      <c r="BGH1638" s="21"/>
      <c r="BGI1638" s="21"/>
      <c r="BGJ1638" s="21"/>
      <c r="BGK1638" s="21"/>
      <c r="BGL1638" s="21"/>
      <c r="BGM1638" s="21"/>
      <c r="BGN1638" s="21"/>
      <c r="BGO1638" s="21"/>
      <c r="BGP1638" s="21"/>
      <c r="BGQ1638" s="21"/>
      <c r="BGR1638" s="21"/>
      <c r="BGS1638" s="21"/>
      <c r="BGT1638" s="21"/>
      <c r="BGU1638" s="21"/>
      <c r="BGV1638" s="21"/>
      <c r="BGW1638" s="21"/>
      <c r="BGX1638" s="21"/>
      <c r="BGY1638" s="21"/>
      <c r="BGZ1638" s="21"/>
      <c r="BHA1638" s="21"/>
      <c r="BHB1638" s="21"/>
      <c r="BHC1638" s="21"/>
      <c r="BHD1638" s="21"/>
      <c r="BHE1638" s="21"/>
      <c r="BHF1638" s="21"/>
      <c r="BHG1638" s="21"/>
      <c r="BHH1638" s="21"/>
      <c r="BHI1638" s="21"/>
      <c r="BHJ1638" s="21"/>
      <c r="BHK1638" s="21"/>
      <c r="BHL1638" s="21"/>
      <c r="BHM1638" s="21"/>
      <c r="BHN1638" s="21"/>
      <c r="BHO1638" s="21"/>
      <c r="BHP1638" s="21"/>
      <c r="BHQ1638" s="21"/>
      <c r="BHR1638" s="21"/>
      <c r="BHS1638" s="21"/>
      <c r="BHT1638" s="21"/>
      <c r="BHU1638" s="21"/>
      <c r="BHV1638" s="21"/>
      <c r="BHW1638" s="21"/>
      <c r="BHX1638" s="21"/>
      <c r="BHY1638" s="21"/>
      <c r="BHZ1638" s="21"/>
      <c r="BIA1638" s="21"/>
      <c r="BIB1638" s="21"/>
      <c r="BIC1638" s="21"/>
      <c r="BID1638" s="21"/>
      <c r="BIE1638" s="21"/>
      <c r="BIF1638" s="21"/>
      <c r="BIG1638" s="21"/>
      <c r="BIH1638" s="21"/>
      <c r="BII1638" s="21"/>
      <c r="BIJ1638" s="21"/>
      <c r="BIK1638" s="21"/>
      <c r="BIL1638" s="21"/>
      <c r="BIM1638" s="21"/>
      <c r="BIN1638" s="21"/>
      <c r="BIO1638" s="21"/>
      <c r="BIP1638" s="21"/>
      <c r="BIQ1638" s="21"/>
      <c r="BIR1638" s="21"/>
      <c r="BIS1638" s="21"/>
      <c r="BIT1638" s="21"/>
      <c r="BIU1638" s="21"/>
      <c r="BIV1638" s="21"/>
      <c r="BIW1638" s="21"/>
      <c r="BIX1638" s="21"/>
      <c r="BIY1638" s="21"/>
      <c r="BIZ1638" s="21"/>
      <c r="BJA1638" s="21"/>
      <c r="BJB1638" s="21"/>
      <c r="BJC1638" s="21"/>
      <c r="BJD1638" s="21"/>
      <c r="BJE1638" s="21"/>
      <c r="BJF1638" s="21"/>
      <c r="BJG1638" s="21"/>
      <c r="BJH1638" s="21"/>
      <c r="BJI1638" s="21"/>
      <c r="BJJ1638" s="21"/>
      <c r="BJK1638" s="21"/>
      <c r="BJL1638" s="21"/>
      <c r="BJM1638" s="21"/>
      <c r="BJN1638" s="21"/>
      <c r="BJO1638" s="21"/>
      <c r="BJP1638" s="21"/>
      <c r="BJQ1638" s="21"/>
      <c r="BJR1638" s="21"/>
      <c r="BJS1638" s="21"/>
      <c r="BJT1638" s="21"/>
      <c r="BJU1638" s="21"/>
      <c r="BJV1638" s="21"/>
      <c r="BJW1638" s="21"/>
      <c r="BJX1638" s="21"/>
      <c r="BJY1638" s="21"/>
      <c r="BJZ1638" s="21"/>
      <c r="BKA1638" s="21"/>
      <c r="BKB1638" s="21"/>
      <c r="BKC1638" s="21"/>
      <c r="BKD1638" s="21"/>
      <c r="BKE1638" s="21"/>
      <c r="BKF1638" s="21"/>
      <c r="BKG1638" s="21"/>
      <c r="BKH1638" s="21"/>
      <c r="BKI1638" s="21"/>
      <c r="BKJ1638" s="21"/>
      <c r="BKK1638" s="21"/>
      <c r="BKL1638" s="21"/>
      <c r="BKM1638" s="21"/>
      <c r="BKN1638" s="21"/>
      <c r="BKO1638" s="21"/>
      <c r="BKP1638" s="21"/>
      <c r="BKQ1638" s="21"/>
      <c r="BKR1638" s="21"/>
      <c r="BKS1638" s="21"/>
      <c r="BKT1638" s="21"/>
      <c r="BKU1638" s="21"/>
      <c r="BKV1638" s="21"/>
      <c r="BKW1638" s="21"/>
      <c r="BKX1638" s="21"/>
      <c r="BKY1638" s="21"/>
      <c r="BKZ1638" s="21"/>
      <c r="BLA1638" s="21"/>
      <c r="BLB1638" s="21"/>
      <c r="BLC1638" s="21"/>
      <c r="BLD1638" s="21"/>
      <c r="BLE1638" s="21"/>
      <c r="BLF1638" s="21"/>
      <c r="BLG1638" s="21"/>
      <c r="BLH1638" s="21"/>
      <c r="BLI1638" s="21"/>
      <c r="BLJ1638" s="21"/>
      <c r="BLK1638" s="21"/>
      <c r="BLL1638" s="21"/>
      <c r="BLM1638" s="21"/>
      <c r="BLN1638" s="21"/>
      <c r="BLO1638" s="21"/>
      <c r="BLP1638" s="21"/>
      <c r="BLQ1638" s="21"/>
      <c r="BLR1638" s="21"/>
      <c r="BLS1638" s="21"/>
      <c r="BLT1638" s="21"/>
      <c r="BLU1638" s="21"/>
      <c r="BLV1638" s="21"/>
      <c r="BLW1638" s="21"/>
      <c r="BLX1638" s="21"/>
      <c r="BLY1638" s="21"/>
      <c r="BLZ1638" s="21"/>
      <c r="BMA1638" s="21"/>
      <c r="BMB1638" s="21"/>
      <c r="BMC1638" s="21"/>
      <c r="BMD1638" s="21"/>
      <c r="BME1638" s="21"/>
      <c r="BMF1638" s="21"/>
      <c r="BMG1638" s="21"/>
      <c r="BMH1638" s="21"/>
      <c r="BMI1638" s="21"/>
      <c r="BMJ1638" s="21"/>
      <c r="BMK1638" s="21"/>
      <c r="BML1638" s="21"/>
      <c r="BMM1638" s="21"/>
      <c r="BMN1638" s="21"/>
      <c r="BMO1638" s="21"/>
      <c r="BMP1638" s="21"/>
      <c r="BMQ1638" s="21"/>
      <c r="BMR1638" s="21"/>
      <c r="BMS1638" s="21"/>
      <c r="BMT1638" s="21"/>
      <c r="BMU1638" s="21"/>
      <c r="BMV1638" s="21"/>
      <c r="BMW1638" s="21"/>
      <c r="BMX1638" s="21"/>
      <c r="BMY1638" s="21"/>
      <c r="BMZ1638" s="21"/>
      <c r="BNA1638" s="21"/>
      <c r="BNB1638" s="21"/>
      <c r="BNC1638" s="21"/>
      <c r="BND1638" s="21"/>
      <c r="BNE1638" s="21"/>
      <c r="BNF1638" s="21"/>
      <c r="BNG1638" s="21"/>
      <c r="BNH1638" s="21"/>
      <c r="BNI1638" s="21"/>
      <c r="BNJ1638" s="21"/>
      <c r="BNK1638" s="21"/>
      <c r="BNL1638" s="21"/>
      <c r="BNM1638" s="21"/>
      <c r="BNN1638" s="21"/>
      <c r="BNO1638" s="21"/>
      <c r="BNP1638" s="21"/>
      <c r="BNQ1638" s="21"/>
      <c r="BNR1638" s="21"/>
      <c r="BNS1638" s="21"/>
      <c r="BNT1638" s="21"/>
      <c r="BNU1638" s="21"/>
      <c r="BNV1638" s="21"/>
      <c r="BNW1638" s="21"/>
      <c r="BNX1638" s="21"/>
      <c r="BNY1638" s="21"/>
      <c r="BNZ1638" s="21"/>
      <c r="BOA1638" s="21"/>
      <c r="BOB1638" s="21"/>
      <c r="BOC1638" s="21"/>
      <c r="BOD1638" s="21"/>
      <c r="BOE1638" s="21"/>
      <c r="BOF1638" s="21"/>
      <c r="BOG1638" s="21"/>
      <c r="BOH1638" s="21"/>
      <c r="BOI1638" s="21"/>
      <c r="BOJ1638" s="21"/>
      <c r="BOK1638" s="21"/>
      <c r="BOL1638" s="21"/>
      <c r="BOM1638" s="21"/>
      <c r="BON1638" s="21"/>
      <c r="BOO1638" s="21"/>
      <c r="BOP1638" s="21"/>
      <c r="BOQ1638" s="21"/>
      <c r="BOR1638" s="21"/>
      <c r="BOS1638" s="21"/>
      <c r="BOT1638" s="21"/>
      <c r="BOU1638" s="21"/>
      <c r="BOV1638" s="21"/>
      <c r="BOW1638" s="21"/>
      <c r="BOX1638" s="21"/>
      <c r="BOY1638" s="21"/>
      <c r="BOZ1638" s="21"/>
      <c r="BPA1638" s="21"/>
      <c r="BPB1638" s="21"/>
      <c r="BPC1638" s="21"/>
      <c r="BPD1638" s="21"/>
      <c r="BPE1638" s="21"/>
      <c r="BPF1638" s="21"/>
      <c r="BPG1638" s="21"/>
      <c r="BPH1638" s="21"/>
      <c r="BPI1638" s="21"/>
      <c r="BPJ1638" s="21"/>
      <c r="BPK1638" s="21"/>
      <c r="BPL1638" s="21"/>
      <c r="BPM1638" s="21"/>
      <c r="BPN1638" s="21"/>
      <c r="BPO1638" s="21"/>
      <c r="BPP1638" s="21"/>
      <c r="BPQ1638" s="21"/>
      <c r="BPR1638" s="21"/>
      <c r="BPS1638" s="21"/>
      <c r="BPT1638" s="21"/>
      <c r="BPU1638" s="21"/>
      <c r="BPV1638" s="21"/>
      <c r="BPW1638" s="21"/>
      <c r="BPX1638" s="21"/>
      <c r="BPY1638" s="21"/>
      <c r="BPZ1638" s="21"/>
      <c r="BQA1638" s="21"/>
      <c r="BQB1638" s="21"/>
      <c r="BQC1638" s="21"/>
      <c r="BQD1638" s="21"/>
      <c r="BQE1638" s="21"/>
      <c r="BQF1638" s="21"/>
      <c r="BQG1638" s="21"/>
      <c r="BQH1638" s="21"/>
      <c r="BQI1638" s="21"/>
      <c r="BQJ1638" s="21"/>
      <c r="BQK1638" s="21"/>
      <c r="BQL1638" s="21"/>
      <c r="BQM1638" s="21"/>
      <c r="BQN1638" s="21"/>
      <c r="BQO1638" s="21"/>
      <c r="BQP1638" s="21"/>
      <c r="BQQ1638" s="21"/>
      <c r="BQR1638" s="21"/>
      <c r="BQS1638" s="21"/>
      <c r="BQT1638" s="21"/>
      <c r="BQU1638" s="21"/>
      <c r="BQV1638" s="21"/>
      <c r="BQW1638" s="21"/>
      <c r="BQX1638" s="21"/>
      <c r="BQY1638" s="21"/>
      <c r="BQZ1638" s="21"/>
      <c r="BRA1638" s="21"/>
      <c r="BRB1638" s="21"/>
      <c r="BRC1638" s="21"/>
      <c r="BRD1638" s="21"/>
      <c r="BRE1638" s="21"/>
      <c r="BRF1638" s="21"/>
      <c r="BRG1638" s="21"/>
      <c r="BRH1638" s="21"/>
      <c r="BRI1638" s="21"/>
      <c r="BRJ1638" s="21"/>
      <c r="BRK1638" s="21"/>
      <c r="BRL1638" s="21"/>
      <c r="BRM1638" s="21"/>
      <c r="BRN1638" s="21"/>
      <c r="BRO1638" s="21"/>
      <c r="BRP1638" s="21"/>
      <c r="BRQ1638" s="21"/>
      <c r="BRR1638" s="21"/>
      <c r="BRS1638" s="21"/>
      <c r="BRT1638" s="21"/>
      <c r="BRU1638" s="21"/>
      <c r="BRV1638" s="21"/>
      <c r="BRW1638" s="21"/>
      <c r="BRX1638" s="21"/>
      <c r="BRY1638" s="21"/>
      <c r="BRZ1638" s="21"/>
      <c r="BSA1638" s="21"/>
      <c r="BSB1638" s="21"/>
      <c r="BSC1638" s="21"/>
      <c r="BSD1638" s="21"/>
      <c r="BSE1638" s="21"/>
      <c r="BSF1638" s="21"/>
      <c r="BSG1638" s="21"/>
      <c r="BSH1638" s="21"/>
      <c r="BSI1638" s="21"/>
      <c r="BSJ1638" s="21"/>
      <c r="BSK1638" s="21"/>
      <c r="BSL1638" s="21"/>
      <c r="BSM1638" s="21"/>
      <c r="BSN1638" s="21"/>
      <c r="BSO1638" s="21"/>
      <c r="BSP1638" s="21"/>
      <c r="BSQ1638" s="21"/>
      <c r="BSR1638" s="21"/>
      <c r="BSS1638" s="21"/>
      <c r="BST1638" s="21"/>
      <c r="BSU1638" s="21"/>
      <c r="BSV1638" s="21"/>
      <c r="BSW1638" s="21"/>
      <c r="BSX1638" s="21"/>
      <c r="BSY1638" s="21"/>
      <c r="BSZ1638" s="21"/>
      <c r="BTA1638" s="21"/>
      <c r="BTB1638" s="21"/>
      <c r="BTC1638" s="21"/>
      <c r="BTD1638" s="21"/>
      <c r="BTE1638" s="21"/>
      <c r="BTF1638" s="21"/>
      <c r="BTG1638" s="21"/>
      <c r="BTH1638" s="21"/>
      <c r="BTI1638" s="21"/>
      <c r="BTJ1638" s="21"/>
      <c r="BTK1638" s="21"/>
      <c r="BTL1638" s="21"/>
      <c r="BTM1638" s="21"/>
      <c r="BTN1638" s="21"/>
      <c r="BTO1638" s="21"/>
      <c r="BTP1638" s="21"/>
      <c r="BTQ1638" s="21"/>
      <c r="BTR1638" s="21"/>
      <c r="BTS1638" s="21"/>
      <c r="BTT1638" s="21"/>
      <c r="BTU1638" s="21"/>
      <c r="BTV1638" s="21"/>
      <c r="BTW1638" s="21"/>
      <c r="BTX1638" s="21"/>
      <c r="BTY1638" s="21"/>
      <c r="BTZ1638" s="21"/>
      <c r="BUA1638" s="21"/>
      <c r="BUB1638" s="21"/>
      <c r="BUC1638" s="21"/>
      <c r="BUD1638" s="21"/>
      <c r="BUE1638" s="21"/>
      <c r="BUF1638" s="21"/>
      <c r="BUG1638" s="21"/>
      <c r="BUH1638" s="21"/>
      <c r="BUI1638" s="21"/>
      <c r="BUJ1638" s="21"/>
      <c r="BUK1638" s="21"/>
      <c r="BUL1638" s="21"/>
      <c r="BUM1638" s="21"/>
      <c r="BUN1638" s="21"/>
      <c r="BUO1638" s="21"/>
      <c r="BUP1638" s="21"/>
      <c r="BUQ1638" s="21"/>
      <c r="BUR1638" s="21"/>
      <c r="BUS1638" s="21"/>
      <c r="BUT1638" s="21"/>
      <c r="BUU1638" s="21"/>
      <c r="BUV1638" s="21"/>
      <c r="BUW1638" s="21"/>
      <c r="BUX1638" s="21"/>
      <c r="BUY1638" s="21"/>
      <c r="BUZ1638" s="21"/>
      <c r="BVA1638" s="21"/>
      <c r="BVB1638" s="21"/>
      <c r="BVC1638" s="21"/>
      <c r="BVD1638" s="21"/>
      <c r="BVE1638" s="21"/>
      <c r="BVF1638" s="21"/>
      <c r="BVG1638" s="21"/>
      <c r="BVH1638" s="21"/>
      <c r="BVI1638" s="21"/>
      <c r="BVJ1638" s="21"/>
      <c r="BVK1638" s="21"/>
      <c r="BVL1638" s="21"/>
      <c r="BVM1638" s="21"/>
      <c r="BVN1638" s="21"/>
      <c r="BVO1638" s="21"/>
      <c r="BVP1638" s="21"/>
      <c r="BVQ1638" s="21"/>
      <c r="BVR1638" s="21"/>
      <c r="BVS1638" s="21"/>
      <c r="BVT1638" s="21"/>
      <c r="BVU1638" s="21"/>
      <c r="BVV1638" s="21"/>
      <c r="BVW1638" s="21"/>
      <c r="BVX1638" s="21"/>
      <c r="BVY1638" s="21"/>
      <c r="BVZ1638" s="21"/>
      <c r="BWA1638" s="21"/>
      <c r="BWB1638" s="21"/>
      <c r="BWC1638" s="21"/>
      <c r="BWD1638" s="21"/>
      <c r="BWE1638" s="21"/>
      <c r="BWF1638" s="21"/>
      <c r="BWG1638" s="21"/>
      <c r="BWH1638" s="21"/>
      <c r="BWI1638" s="21"/>
      <c r="BWJ1638" s="21"/>
      <c r="BWK1638" s="21"/>
      <c r="BWL1638" s="21"/>
      <c r="BWM1638" s="21"/>
      <c r="BWN1638" s="21"/>
      <c r="BWO1638" s="21"/>
      <c r="BWP1638" s="21"/>
      <c r="BWQ1638" s="21"/>
      <c r="BWR1638" s="21"/>
      <c r="BWS1638" s="21"/>
      <c r="BWT1638" s="21"/>
      <c r="BWU1638" s="21"/>
      <c r="BWV1638" s="21"/>
      <c r="BWW1638" s="21"/>
      <c r="BWX1638" s="21"/>
      <c r="BWY1638" s="21"/>
      <c r="BWZ1638" s="21"/>
      <c r="BXA1638" s="21"/>
      <c r="BXB1638" s="21"/>
      <c r="BXC1638" s="21"/>
      <c r="BXD1638" s="21"/>
      <c r="BXE1638" s="21"/>
      <c r="BXF1638" s="21"/>
      <c r="BXG1638" s="21"/>
      <c r="BXH1638" s="21"/>
      <c r="BXI1638" s="21"/>
      <c r="BXJ1638" s="21"/>
      <c r="BXK1638" s="21"/>
      <c r="BXL1638" s="21"/>
      <c r="BXM1638" s="21"/>
      <c r="BXN1638" s="21"/>
      <c r="BXO1638" s="21"/>
      <c r="BXP1638" s="21"/>
      <c r="BXQ1638" s="21"/>
      <c r="BXR1638" s="21"/>
      <c r="BXS1638" s="21"/>
      <c r="BXT1638" s="21"/>
      <c r="BXU1638" s="21"/>
      <c r="BXV1638" s="21"/>
      <c r="BXW1638" s="21"/>
      <c r="BXX1638" s="21"/>
      <c r="BXY1638" s="21"/>
      <c r="BXZ1638" s="21"/>
      <c r="BYA1638" s="21"/>
      <c r="BYB1638" s="21"/>
      <c r="BYC1638" s="21"/>
      <c r="BYD1638" s="21"/>
      <c r="BYE1638" s="21"/>
      <c r="BYF1638" s="21"/>
      <c r="BYG1638" s="21"/>
      <c r="BYH1638" s="21"/>
      <c r="BYI1638" s="21"/>
      <c r="BYJ1638" s="21"/>
      <c r="BYK1638" s="21"/>
      <c r="BYL1638" s="21"/>
      <c r="BYM1638" s="21"/>
      <c r="BYN1638" s="21"/>
      <c r="BYO1638" s="21"/>
      <c r="BYP1638" s="21"/>
      <c r="BYQ1638" s="21"/>
      <c r="BYR1638" s="21"/>
      <c r="BYS1638" s="21"/>
      <c r="BYT1638" s="21"/>
      <c r="BYU1638" s="21"/>
      <c r="BYV1638" s="21"/>
      <c r="BYW1638" s="21"/>
      <c r="BYX1638" s="21"/>
      <c r="BYY1638" s="21"/>
      <c r="BYZ1638" s="21"/>
      <c r="BZA1638" s="21"/>
      <c r="BZB1638" s="21"/>
      <c r="BZC1638" s="21"/>
      <c r="BZD1638" s="21"/>
      <c r="BZE1638" s="21"/>
      <c r="BZF1638" s="21"/>
      <c r="BZG1638" s="21"/>
      <c r="BZH1638" s="21"/>
      <c r="BZI1638" s="21"/>
      <c r="BZJ1638" s="21"/>
      <c r="BZK1638" s="21"/>
      <c r="BZL1638" s="21"/>
      <c r="BZM1638" s="21"/>
      <c r="BZN1638" s="21"/>
      <c r="BZO1638" s="21"/>
      <c r="BZP1638" s="21"/>
      <c r="BZQ1638" s="21"/>
      <c r="BZR1638" s="21"/>
      <c r="BZS1638" s="21"/>
      <c r="BZT1638" s="21"/>
      <c r="BZU1638" s="21"/>
      <c r="BZV1638" s="21"/>
      <c r="BZW1638" s="21"/>
      <c r="BZX1638" s="21"/>
      <c r="BZY1638" s="21"/>
      <c r="BZZ1638" s="21"/>
      <c r="CAA1638" s="21"/>
      <c r="CAB1638" s="21"/>
      <c r="CAC1638" s="21"/>
      <c r="CAD1638" s="21"/>
      <c r="CAE1638" s="21"/>
      <c r="CAF1638" s="21"/>
      <c r="CAG1638" s="21"/>
      <c r="CAH1638" s="21"/>
      <c r="CAI1638" s="21"/>
      <c r="CAJ1638" s="21"/>
      <c r="CAK1638" s="21"/>
      <c r="CAL1638" s="21"/>
      <c r="CAM1638" s="21"/>
      <c r="CAN1638" s="21"/>
      <c r="CAO1638" s="21"/>
      <c r="CAP1638" s="21"/>
      <c r="CAQ1638" s="21"/>
      <c r="CAR1638" s="21"/>
      <c r="CAS1638" s="21"/>
      <c r="CAT1638" s="21"/>
      <c r="CAU1638" s="21"/>
      <c r="CAV1638" s="21"/>
      <c r="CAW1638" s="21"/>
      <c r="CAX1638" s="21"/>
      <c r="CAY1638" s="21"/>
      <c r="CAZ1638" s="21"/>
      <c r="CBA1638" s="21"/>
      <c r="CBB1638" s="21"/>
      <c r="CBC1638" s="21"/>
      <c r="CBD1638" s="21"/>
      <c r="CBE1638" s="21"/>
      <c r="CBF1638" s="21"/>
      <c r="CBG1638" s="21"/>
      <c r="CBH1638" s="21"/>
      <c r="CBI1638" s="21"/>
      <c r="CBJ1638" s="21"/>
      <c r="CBK1638" s="21"/>
      <c r="CBL1638" s="21"/>
      <c r="CBM1638" s="21"/>
      <c r="CBN1638" s="21"/>
      <c r="CBO1638" s="21"/>
      <c r="CBP1638" s="21"/>
      <c r="CBQ1638" s="21"/>
      <c r="CBR1638" s="21"/>
      <c r="CBS1638" s="21"/>
      <c r="CBT1638" s="21"/>
      <c r="CBU1638" s="21"/>
      <c r="CBV1638" s="21"/>
      <c r="CBW1638" s="21"/>
      <c r="CBX1638" s="21"/>
      <c r="CBY1638" s="21"/>
      <c r="CBZ1638" s="21"/>
      <c r="CCA1638" s="21"/>
      <c r="CCB1638" s="21"/>
      <c r="CCC1638" s="21"/>
      <c r="CCD1638" s="21"/>
      <c r="CCE1638" s="21"/>
      <c r="CCF1638" s="21"/>
      <c r="CCG1638" s="21"/>
      <c r="CCH1638" s="21"/>
      <c r="CCI1638" s="21"/>
      <c r="CCJ1638" s="21"/>
      <c r="CCK1638" s="21"/>
      <c r="CCL1638" s="21"/>
      <c r="CCM1638" s="21"/>
      <c r="CCN1638" s="21"/>
      <c r="CCO1638" s="21"/>
      <c r="CCP1638" s="21"/>
      <c r="CCQ1638" s="21"/>
      <c r="CCR1638" s="21"/>
      <c r="CCS1638" s="21"/>
      <c r="CCT1638" s="21"/>
      <c r="CCU1638" s="21"/>
      <c r="CCV1638" s="21"/>
      <c r="CCW1638" s="21"/>
      <c r="CCX1638" s="21"/>
      <c r="CCY1638" s="21"/>
      <c r="CCZ1638" s="21"/>
      <c r="CDA1638" s="21"/>
      <c r="CDB1638" s="21"/>
      <c r="CDC1638" s="21"/>
      <c r="CDD1638" s="21"/>
      <c r="CDE1638" s="21"/>
      <c r="CDF1638" s="21"/>
      <c r="CDG1638" s="21"/>
      <c r="CDH1638" s="21"/>
      <c r="CDI1638" s="21"/>
      <c r="CDJ1638" s="21"/>
      <c r="CDK1638" s="21"/>
      <c r="CDL1638" s="21"/>
      <c r="CDM1638" s="21"/>
      <c r="CDN1638" s="21"/>
      <c r="CDO1638" s="21"/>
      <c r="CDP1638" s="21"/>
      <c r="CDQ1638" s="21"/>
      <c r="CDR1638" s="21"/>
      <c r="CDS1638" s="21"/>
      <c r="CDT1638" s="21"/>
      <c r="CDU1638" s="21"/>
      <c r="CDV1638" s="21"/>
      <c r="CDW1638" s="21"/>
      <c r="CDX1638" s="21"/>
      <c r="CDY1638" s="21"/>
      <c r="CDZ1638" s="21"/>
      <c r="CEA1638" s="21"/>
      <c r="CEB1638" s="21"/>
      <c r="CEC1638" s="21"/>
      <c r="CED1638" s="21"/>
      <c r="CEE1638" s="21"/>
      <c r="CEF1638" s="21"/>
      <c r="CEG1638" s="21"/>
      <c r="CEH1638" s="21"/>
      <c r="CEI1638" s="21"/>
      <c r="CEJ1638" s="21"/>
      <c r="CEK1638" s="21"/>
      <c r="CEL1638" s="21"/>
      <c r="CEM1638" s="21"/>
      <c r="CEN1638" s="21"/>
      <c r="CEO1638" s="21"/>
      <c r="CEP1638" s="21"/>
      <c r="CEQ1638" s="21"/>
      <c r="CER1638" s="21"/>
      <c r="CES1638" s="21"/>
      <c r="CET1638" s="21"/>
      <c r="CEU1638" s="21"/>
      <c r="CEV1638" s="21"/>
      <c r="CEW1638" s="21"/>
      <c r="CEX1638" s="21"/>
      <c r="CEY1638" s="21"/>
      <c r="CEZ1638" s="21"/>
      <c r="CFA1638" s="21"/>
      <c r="CFB1638" s="21"/>
      <c r="CFC1638" s="21"/>
      <c r="CFD1638" s="21"/>
      <c r="CFE1638" s="21"/>
      <c r="CFF1638" s="21"/>
      <c r="CFG1638" s="21"/>
      <c r="CFH1638" s="21"/>
      <c r="CFI1638" s="21"/>
      <c r="CFJ1638" s="21"/>
      <c r="CFK1638" s="21"/>
      <c r="CFL1638" s="21"/>
      <c r="CFM1638" s="21"/>
      <c r="CFN1638" s="21"/>
      <c r="CFO1638" s="21"/>
      <c r="CFP1638" s="21"/>
      <c r="CFQ1638" s="21"/>
      <c r="CFR1638" s="21"/>
      <c r="CFS1638" s="21"/>
      <c r="CFT1638" s="21"/>
      <c r="CFU1638" s="21"/>
      <c r="CFV1638" s="21"/>
      <c r="CFW1638" s="21"/>
      <c r="CFX1638" s="21"/>
      <c r="CFY1638" s="21"/>
      <c r="CFZ1638" s="21"/>
      <c r="CGA1638" s="21"/>
      <c r="CGB1638" s="21"/>
      <c r="CGC1638" s="21"/>
      <c r="CGD1638" s="21"/>
      <c r="CGE1638" s="21"/>
      <c r="CGF1638" s="21"/>
      <c r="CGG1638" s="21"/>
      <c r="CGH1638" s="21"/>
      <c r="CGI1638" s="21"/>
      <c r="CGJ1638" s="21"/>
      <c r="CGK1638" s="21"/>
      <c r="CGL1638" s="21"/>
      <c r="CGM1638" s="21"/>
      <c r="CGN1638" s="21"/>
      <c r="CGO1638" s="21"/>
      <c r="CGP1638" s="21"/>
      <c r="CGQ1638" s="21"/>
      <c r="CGR1638" s="21"/>
      <c r="CGS1638" s="21"/>
      <c r="CGT1638" s="21"/>
      <c r="CGU1638" s="21"/>
      <c r="CGV1638" s="21"/>
      <c r="CGW1638" s="21"/>
      <c r="CGX1638" s="21"/>
      <c r="CGY1638" s="21"/>
      <c r="CGZ1638" s="21"/>
      <c r="CHA1638" s="21"/>
      <c r="CHB1638" s="21"/>
      <c r="CHC1638" s="21"/>
      <c r="CHD1638" s="21"/>
      <c r="CHE1638" s="21"/>
      <c r="CHF1638" s="21"/>
      <c r="CHG1638" s="21"/>
      <c r="CHH1638" s="21"/>
      <c r="CHI1638" s="21"/>
      <c r="CHJ1638" s="21"/>
      <c r="CHK1638" s="21"/>
      <c r="CHL1638" s="21"/>
      <c r="CHM1638" s="21"/>
      <c r="CHN1638" s="21"/>
      <c r="CHO1638" s="21"/>
      <c r="CHP1638" s="21"/>
      <c r="CHQ1638" s="21"/>
      <c r="CHR1638" s="21"/>
      <c r="CHS1638" s="21"/>
      <c r="CHT1638" s="21"/>
      <c r="CHU1638" s="21"/>
      <c r="CHV1638" s="21"/>
      <c r="CHW1638" s="21"/>
      <c r="CHX1638" s="21"/>
      <c r="CHY1638" s="21"/>
      <c r="CHZ1638" s="21"/>
      <c r="CIA1638" s="21"/>
      <c r="CIB1638" s="21"/>
      <c r="CIC1638" s="21"/>
      <c r="CID1638" s="21"/>
      <c r="CIE1638" s="21"/>
      <c r="CIF1638" s="21"/>
      <c r="CIG1638" s="21"/>
      <c r="CIH1638" s="21"/>
      <c r="CII1638" s="21"/>
      <c r="CIJ1638" s="21"/>
      <c r="CIK1638" s="21"/>
      <c r="CIL1638" s="21"/>
      <c r="CIM1638" s="21"/>
      <c r="CIN1638" s="21"/>
      <c r="CIO1638" s="21"/>
      <c r="CIP1638" s="21"/>
      <c r="CIQ1638" s="21"/>
      <c r="CIR1638" s="21"/>
      <c r="CIS1638" s="21"/>
      <c r="CIT1638" s="21"/>
      <c r="CIU1638" s="21"/>
      <c r="CIV1638" s="21"/>
      <c r="CIW1638" s="21"/>
      <c r="CIX1638" s="21"/>
      <c r="CIY1638" s="21"/>
      <c r="CIZ1638" s="21"/>
      <c r="CJA1638" s="21"/>
      <c r="CJB1638" s="21"/>
      <c r="CJC1638" s="21"/>
      <c r="CJD1638" s="21"/>
      <c r="CJE1638" s="21"/>
      <c r="CJF1638" s="21"/>
      <c r="CJG1638" s="21"/>
      <c r="CJH1638" s="21"/>
      <c r="CJI1638" s="21"/>
      <c r="CJJ1638" s="21"/>
      <c r="CJK1638" s="21"/>
      <c r="CJL1638" s="21"/>
      <c r="CJM1638" s="21"/>
      <c r="CJN1638" s="21"/>
      <c r="CJO1638" s="21"/>
      <c r="CJP1638" s="21"/>
      <c r="CJQ1638" s="21"/>
      <c r="CJR1638" s="21"/>
      <c r="CJS1638" s="21"/>
      <c r="CJT1638" s="21"/>
      <c r="CJU1638" s="21"/>
      <c r="CJV1638" s="21"/>
      <c r="CJW1638" s="21"/>
      <c r="CJX1638" s="21"/>
      <c r="CJY1638" s="21"/>
      <c r="CJZ1638" s="21"/>
      <c r="CKA1638" s="21"/>
      <c r="CKB1638" s="21"/>
      <c r="CKC1638" s="21"/>
      <c r="CKD1638" s="21"/>
      <c r="CKE1638" s="21"/>
      <c r="CKF1638" s="21"/>
      <c r="CKG1638" s="21"/>
      <c r="CKH1638" s="21"/>
      <c r="CKI1638" s="21"/>
      <c r="CKJ1638" s="21"/>
      <c r="CKK1638" s="21"/>
      <c r="CKL1638" s="21"/>
      <c r="CKM1638" s="21"/>
      <c r="CKN1638" s="21"/>
      <c r="CKO1638" s="21"/>
      <c r="CKP1638" s="21"/>
      <c r="CKQ1638" s="21"/>
      <c r="CKR1638" s="21"/>
      <c r="CKS1638" s="21"/>
      <c r="CKT1638" s="21"/>
      <c r="CKU1638" s="21"/>
      <c r="CKV1638" s="21"/>
      <c r="CKW1638" s="21"/>
      <c r="CKX1638" s="21"/>
      <c r="CKY1638" s="21"/>
      <c r="CKZ1638" s="21"/>
      <c r="CLA1638" s="21"/>
      <c r="CLB1638" s="21"/>
      <c r="CLC1638" s="21"/>
      <c r="CLD1638" s="21"/>
      <c r="CLE1638" s="21"/>
      <c r="CLF1638" s="21"/>
      <c r="CLG1638" s="21"/>
      <c r="CLH1638" s="21"/>
      <c r="CLI1638" s="21"/>
      <c r="CLJ1638" s="21"/>
      <c r="CLK1638" s="21"/>
      <c r="CLL1638" s="21"/>
      <c r="CLM1638" s="21"/>
      <c r="CLN1638" s="21"/>
      <c r="CLO1638" s="21"/>
      <c r="CLP1638" s="21"/>
      <c r="CLQ1638" s="21"/>
      <c r="CLR1638" s="21"/>
      <c r="CLS1638" s="21"/>
      <c r="CLT1638" s="21"/>
      <c r="CLU1638" s="21"/>
      <c r="CLV1638" s="21"/>
      <c r="CLW1638" s="21"/>
      <c r="CLX1638" s="21"/>
      <c r="CLY1638" s="21"/>
      <c r="CLZ1638" s="21"/>
      <c r="CMA1638" s="21"/>
      <c r="CMB1638" s="21"/>
      <c r="CMC1638" s="21"/>
      <c r="CMD1638" s="21"/>
      <c r="CME1638" s="21"/>
      <c r="CMF1638" s="21"/>
      <c r="CMG1638" s="21"/>
      <c r="CMH1638" s="21"/>
      <c r="CMI1638" s="21"/>
      <c r="CMJ1638" s="21"/>
      <c r="CMK1638" s="21"/>
      <c r="CML1638" s="21"/>
      <c r="CMM1638" s="21"/>
      <c r="CMN1638" s="21"/>
      <c r="CMO1638" s="21"/>
      <c r="CMP1638" s="21"/>
      <c r="CMQ1638" s="21"/>
      <c r="CMR1638" s="21"/>
      <c r="CMS1638" s="21"/>
      <c r="CMT1638" s="21"/>
      <c r="CMU1638" s="21"/>
      <c r="CMV1638" s="21"/>
      <c r="CMW1638" s="21"/>
      <c r="CMX1638" s="21"/>
      <c r="CMY1638" s="21"/>
      <c r="CMZ1638" s="21"/>
      <c r="CNA1638" s="21"/>
      <c r="CNB1638" s="21"/>
      <c r="CNC1638" s="21"/>
      <c r="CND1638" s="21"/>
      <c r="CNE1638" s="21"/>
      <c r="CNF1638" s="21"/>
      <c r="CNG1638" s="21"/>
      <c r="CNH1638" s="21"/>
      <c r="CNI1638" s="21"/>
      <c r="CNJ1638" s="21"/>
      <c r="CNK1638" s="21"/>
      <c r="CNL1638" s="21"/>
      <c r="CNM1638" s="21"/>
      <c r="CNN1638" s="21"/>
      <c r="CNO1638" s="21"/>
      <c r="CNP1638" s="21"/>
      <c r="CNQ1638" s="21"/>
      <c r="CNR1638" s="21"/>
      <c r="CNS1638" s="21"/>
      <c r="CNT1638" s="21"/>
      <c r="CNU1638" s="21"/>
      <c r="CNV1638" s="21"/>
      <c r="CNW1638" s="21"/>
      <c r="CNX1638" s="21"/>
      <c r="CNY1638" s="21"/>
      <c r="CNZ1638" s="21"/>
      <c r="COA1638" s="21"/>
      <c r="COB1638" s="21"/>
      <c r="COC1638" s="21"/>
      <c r="COD1638" s="21"/>
      <c r="COE1638" s="21"/>
      <c r="COF1638" s="21"/>
      <c r="COG1638" s="21"/>
      <c r="COH1638" s="21"/>
      <c r="COI1638" s="21"/>
      <c r="COJ1638" s="21"/>
      <c r="COK1638" s="21"/>
      <c r="COL1638" s="21"/>
      <c r="COM1638" s="21"/>
      <c r="CON1638" s="21"/>
      <c r="COO1638" s="21"/>
      <c r="COP1638" s="21"/>
      <c r="COQ1638" s="21"/>
      <c r="COR1638" s="21"/>
      <c r="COS1638" s="21"/>
      <c r="COT1638" s="21"/>
      <c r="COU1638" s="21"/>
      <c r="COV1638" s="21"/>
      <c r="COW1638" s="21"/>
      <c r="COX1638" s="21"/>
      <c r="COY1638" s="21"/>
      <c r="COZ1638" s="21"/>
      <c r="CPA1638" s="21"/>
      <c r="CPB1638" s="21"/>
      <c r="CPC1638" s="21"/>
      <c r="CPD1638" s="21"/>
      <c r="CPE1638" s="21"/>
      <c r="CPF1638" s="21"/>
      <c r="CPG1638" s="21"/>
      <c r="CPH1638" s="21"/>
      <c r="CPI1638" s="21"/>
      <c r="CPJ1638" s="21"/>
      <c r="CPK1638" s="21"/>
      <c r="CPL1638" s="21"/>
      <c r="CPM1638" s="21"/>
      <c r="CPN1638" s="21"/>
      <c r="CPO1638" s="21"/>
      <c r="CPP1638" s="21"/>
      <c r="CPQ1638" s="21"/>
      <c r="CPR1638" s="21"/>
      <c r="CPS1638" s="21"/>
      <c r="CPT1638" s="21"/>
      <c r="CPU1638" s="21"/>
      <c r="CPV1638" s="21"/>
      <c r="CPW1638" s="21"/>
      <c r="CPX1638" s="21"/>
      <c r="CPY1638" s="21"/>
      <c r="CPZ1638" s="21"/>
      <c r="CQA1638" s="21"/>
      <c r="CQB1638" s="21"/>
      <c r="CQC1638" s="21"/>
      <c r="CQD1638" s="21"/>
      <c r="CQE1638" s="21"/>
      <c r="CQF1638" s="21"/>
      <c r="CQG1638" s="21"/>
      <c r="CQH1638" s="21"/>
      <c r="CQI1638" s="21"/>
      <c r="CQJ1638" s="21"/>
      <c r="CQK1638" s="21"/>
      <c r="CQL1638" s="21"/>
      <c r="CQM1638" s="21"/>
      <c r="CQN1638" s="21"/>
      <c r="CQO1638" s="21"/>
      <c r="CQP1638" s="21"/>
      <c r="CQQ1638" s="21"/>
      <c r="CQR1638" s="21"/>
      <c r="CQS1638" s="21"/>
      <c r="CQT1638" s="21"/>
      <c r="CQU1638" s="21"/>
      <c r="CQV1638" s="21"/>
      <c r="CQW1638" s="21"/>
      <c r="CQX1638" s="21"/>
      <c r="CQY1638" s="21"/>
      <c r="CQZ1638" s="21"/>
      <c r="CRA1638" s="21"/>
      <c r="CRB1638" s="21"/>
      <c r="CRC1638" s="21"/>
      <c r="CRD1638" s="21"/>
      <c r="CRE1638" s="21"/>
      <c r="CRF1638" s="21"/>
      <c r="CRG1638" s="21"/>
      <c r="CRH1638" s="21"/>
      <c r="CRI1638" s="21"/>
      <c r="CRJ1638" s="21"/>
      <c r="CRK1638" s="21"/>
      <c r="CRL1638" s="21"/>
      <c r="CRM1638" s="21"/>
      <c r="CRN1638" s="21"/>
      <c r="CRO1638" s="21"/>
      <c r="CRP1638" s="21"/>
      <c r="CRQ1638" s="21"/>
      <c r="CRR1638" s="21"/>
      <c r="CRS1638" s="21"/>
      <c r="CRT1638" s="21"/>
      <c r="CRU1638" s="21"/>
      <c r="CRV1638" s="21"/>
      <c r="CRW1638" s="21"/>
      <c r="CRX1638" s="21"/>
      <c r="CRY1638" s="21"/>
      <c r="CRZ1638" s="21"/>
      <c r="CSA1638" s="21"/>
      <c r="CSB1638" s="21"/>
      <c r="CSC1638" s="21"/>
      <c r="CSD1638" s="21"/>
      <c r="CSE1638" s="21"/>
      <c r="CSF1638" s="21"/>
      <c r="CSG1638" s="21"/>
      <c r="CSH1638" s="21"/>
      <c r="CSI1638" s="21"/>
      <c r="CSJ1638" s="21"/>
      <c r="CSK1638" s="21"/>
      <c r="CSL1638" s="21"/>
      <c r="CSM1638" s="21"/>
      <c r="CSN1638" s="21"/>
      <c r="CSO1638" s="21"/>
      <c r="CSP1638" s="21"/>
      <c r="CSQ1638" s="21"/>
      <c r="CSR1638" s="21"/>
      <c r="CSS1638" s="21"/>
      <c r="CST1638" s="21"/>
      <c r="CSU1638" s="21"/>
      <c r="CSV1638" s="21"/>
      <c r="CSW1638" s="21"/>
      <c r="CSX1638" s="21"/>
      <c r="CSY1638" s="21"/>
      <c r="CSZ1638" s="21"/>
      <c r="CTA1638" s="21"/>
      <c r="CTB1638" s="21"/>
      <c r="CTC1638" s="21"/>
      <c r="CTD1638" s="21"/>
      <c r="CTE1638" s="21"/>
      <c r="CTF1638" s="21"/>
      <c r="CTG1638" s="21"/>
      <c r="CTH1638" s="21"/>
      <c r="CTI1638" s="21"/>
      <c r="CTJ1638" s="21"/>
      <c r="CTK1638" s="21"/>
      <c r="CTL1638" s="21"/>
      <c r="CTM1638" s="21"/>
      <c r="CTN1638" s="21"/>
      <c r="CTO1638" s="21"/>
      <c r="CTP1638" s="21"/>
      <c r="CTQ1638" s="21"/>
      <c r="CTR1638" s="21"/>
      <c r="CTS1638" s="21"/>
      <c r="CTT1638" s="21"/>
      <c r="CTU1638" s="21"/>
      <c r="CTV1638" s="21"/>
      <c r="CTW1638" s="21"/>
      <c r="CTX1638" s="21"/>
      <c r="CTY1638" s="21"/>
      <c r="CTZ1638" s="21"/>
      <c r="CUA1638" s="21"/>
      <c r="CUB1638" s="21"/>
      <c r="CUC1638" s="21"/>
      <c r="CUD1638" s="21"/>
      <c r="CUE1638" s="21"/>
      <c r="CUF1638" s="21"/>
      <c r="CUG1638" s="21"/>
      <c r="CUH1638" s="21"/>
      <c r="CUI1638" s="21"/>
      <c r="CUJ1638" s="21"/>
      <c r="CUK1638" s="21"/>
      <c r="CUL1638" s="21"/>
      <c r="CUM1638" s="21"/>
      <c r="CUN1638" s="21"/>
      <c r="CUO1638" s="21"/>
      <c r="CUP1638" s="21"/>
      <c r="CUQ1638" s="21"/>
      <c r="CUR1638" s="21"/>
      <c r="CUS1638" s="21"/>
      <c r="CUT1638" s="21"/>
      <c r="CUU1638" s="21"/>
      <c r="CUV1638" s="21"/>
      <c r="CUW1638" s="21"/>
      <c r="CUX1638" s="21"/>
      <c r="CUY1638" s="21"/>
      <c r="CUZ1638" s="21"/>
      <c r="CVA1638" s="21"/>
      <c r="CVB1638" s="21"/>
      <c r="CVC1638" s="21"/>
      <c r="CVD1638" s="21"/>
      <c r="CVE1638" s="21"/>
      <c r="CVF1638" s="21"/>
      <c r="CVG1638" s="21"/>
      <c r="CVH1638" s="21"/>
      <c r="CVI1638" s="21"/>
      <c r="CVJ1638" s="21"/>
      <c r="CVK1638" s="21"/>
      <c r="CVL1638" s="21"/>
      <c r="CVM1638" s="21"/>
      <c r="CVN1638" s="21"/>
      <c r="CVO1638" s="21"/>
      <c r="CVP1638" s="21"/>
      <c r="CVQ1638" s="21"/>
      <c r="CVR1638" s="21"/>
      <c r="CVS1638" s="21"/>
      <c r="CVT1638" s="21"/>
      <c r="CVU1638" s="21"/>
      <c r="CVV1638" s="21"/>
      <c r="CVW1638" s="21"/>
      <c r="CVX1638" s="21"/>
      <c r="CVY1638" s="21"/>
      <c r="CVZ1638" s="21"/>
      <c r="CWA1638" s="21"/>
      <c r="CWB1638" s="21"/>
      <c r="CWC1638" s="21"/>
      <c r="CWD1638" s="21"/>
      <c r="CWE1638" s="21"/>
      <c r="CWF1638" s="21"/>
      <c r="CWG1638" s="21"/>
      <c r="CWH1638" s="21"/>
      <c r="CWI1638" s="21"/>
      <c r="CWJ1638" s="21"/>
      <c r="CWK1638" s="21"/>
      <c r="CWL1638" s="21"/>
      <c r="CWM1638" s="21"/>
      <c r="CWN1638" s="21"/>
      <c r="CWO1638" s="21"/>
      <c r="CWP1638" s="21"/>
      <c r="CWQ1638" s="21"/>
      <c r="CWR1638" s="21"/>
      <c r="CWS1638" s="21"/>
      <c r="CWT1638" s="21"/>
      <c r="CWU1638" s="21"/>
      <c r="CWV1638" s="21"/>
      <c r="CWW1638" s="21"/>
      <c r="CWX1638" s="21"/>
      <c r="CWY1638" s="21"/>
      <c r="CWZ1638" s="21"/>
      <c r="CXA1638" s="21"/>
      <c r="CXB1638" s="21"/>
      <c r="CXC1638" s="21"/>
      <c r="CXD1638" s="21"/>
      <c r="CXE1638" s="21"/>
      <c r="CXF1638" s="21"/>
      <c r="CXG1638" s="21"/>
      <c r="CXH1638" s="21"/>
      <c r="CXI1638" s="21"/>
      <c r="CXJ1638" s="21"/>
      <c r="CXK1638" s="21"/>
      <c r="CXL1638" s="21"/>
      <c r="CXM1638" s="21"/>
      <c r="CXN1638" s="21"/>
      <c r="CXO1638" s="21"/>
      <c r="CXP1638" s="21"/>
      <c r="CXQ1638" s="21"/>
      <c r="CXR1638" s="21"/>
      <c r="CXS1638" s="21"/>
      <c r="CXT1638" s="21"/>
      <c r="CXU1638" s="21"/>
      <c r="CXV1638" s="21"/>
      <c r="CXW1638" s="21"/>
      <c r="CXX1638" s="21"/>
      <c r="CXY1638" s="21"/>
      <c r="CXZ1638" s="21"/>
      <c r="CYA1638" s="21"/>
      <c r="CYB1638" s="21"/>
      <c r="CYC1638" s="21"/>
      <c r="CYD1638" s="21"/>
      <c r="CYE1638" s="21"/>
      <c r="CYF1638" s="21"/>
      <c r="CYG1638" s="21"/>
      <c r="CYH1638" s="21"/>
      <c r="CYI1638" s="21"/>
      <c r="CYJ1638" s="21"/>
      <c r="CYK1638" s="21"/>
      <c r="CYL1638" s="21"/>
      <c r="CYM1638" s="21"/>
      <c r="CYN1638" s="21"/>
      <c r="CYO1638" s="21"/>
      <c r="CYP1638" s="21"/>
      <c r="CYQ1638" s="21"/>
      <c r="CYR1638" s="21"/>
      <c r="CYS1638" s="21"/>
      <c r="CYT1638" s="21"/>
      <c r="CYU1638" s="21"/>
      <c r="CYV1638" s="21"/>
      <c r="CYW1638" s="21"/>
      <c r="CYX1638" s="21"/>
      <c r="CYY1638" s="21"/>
      <c r="CYZ1638" s="21"/>
      <c r="CZA1638" s="21"/>
      <c r="CZB1638" s="21"/>
      <c r="CZC1638" s="21"/>
      <c r="CZD1638" s="21"/>
      <c r="CZE1638" s="21"/>
      <c r="CZF1638" s="21"/>
      <c r="CZG1638" s="21"/>
      <c r="CZH1638" s="21"/>
      <c r="CZI1638" s="21"/>
      <c r="CZJ1638" s="21"/>
      <c r="CZK1638" s="21"/>
      <c r="CZL1638" s="21"/>
      <c r="CZM1638" s="21"/>
      <c r="CZN1638" s="21"/>
      <c r="CZO1638" s="21"/>
      <c r="CZP1638" s="21"/>
      <c r="CZQ1638" s="21"/>
      <c r="CZR1638" s="21"/>
      <c r="CZS1638" s="21"/>
      <c r="CZT1638" s="21"/>
      <c r="CZU1638" s="21"/>
      <c r="CZV1638" s="21"/>
      <c r="CZW1638" s="21"/>
      <c r="CZX1638" s="21"/>
      <c r="CZY1638" s="21"/>
      <c r="CZZ1638" s="21"/>
      <c r="DAA1638" s="21"/>
      <c r="DAB1638" s="21"/>
      <c r="DAC1638" s="21"/>
      <c r="DAD1638" s="21"/>
      <c r="DAE1638" s="21"/>
      <c r="DAF1638" s="21"/>
      <c r="DAG1638" s="21"/>
      <c r="DAH1638" s="21"/>
      <c r="DAI1638" s="21"/>
      <c r="DAJ1638" s="21"/>
      <c r="DAK1638" s="21"/>
      <c r="DAL1638" s="21"/>
      <c r="DAM1638" s="21"/>
      <c r="DAN1638" s="21"/>
      <c r="DAO1638" s="21"/>
      <c r="DAP1638" s="21"/>
      <c r="DAQ1638" s="21"/>
      <c r="DAR1638" s="21"/>
      <c r="DAS1638" s="21"/>
      <c r="DAT1638" s="21"/>
      <c r="DAU1638" s="21"/>
      <c r="DAV1638" s="21"/>
      <c r="DAW1638" s="21"/>
      <c r="DAX1638" s="21"/>
      <c r="DAY1638" s="21"/>
      <c r="DAZ1638" s="21"/>
      <c r="DBA1638" s="21"/>
      <c r="DBB1638" s="21"/>
      <c r="DBC1638" s="21"/>
      <c r="DBD1638" s="21"/>
      <c r="DBE1638" s="21"/>
      <c r="DBF1638" s="21"/>
      <c r="DBG1638" s="21"/>
      <c r="DBH1638" s="21"/>
      <c r="DBI1638" s="21"/>
      <c r="DBJ1638" s="21"/>
      <c r="DBK1638" s="21"/>
      <c r="DBL1638" s="21"/>
      <c r="DBM1638" s="21"/>
      <c r="DBN1638" s="21"/>
      <c r="DBO1638" s="21"/>
      <c r="DBP1638" s="21"/>
      <c r="DBQ1638" s="21"/>
      <c r="DBR1638" s="21"/>
      <c r="DBS1638" s="21"/>
      <c r="DBT1638" s="21"/>
      <c r="DBU1638" s="21"/>
      <c r="DBV1638" s="21"/>
      <c r="DBW1638" s="21"/>
      <c r="DBX1638" s="21"/>
      <c r="DBY1638" s="21"/>
      <c r="DBZ1638" s="21"/>
      <c r="DCA1638" s="21"/>
      <c r="DCB1638" s="21"/>
      <c r="DCC1638" s="21"/>
      <c r="DCD1638" s="21"/>
      <c r="DCE1638" s="21"/>
      <c r="DCF1638" s="21"/>
      <c r="DCG1638" s="21"/>
      <c r="DCH1638" s="21"/>
      <c r="DCI1638" s="21"/>
      <c r="DCJ1638" s="21"/>
      <c r="DCK1638" s="21"/>
      <c r="DCL1638" s="21"/>
      <c r="DCM1638" s="21"/>
      <c r="DCN1638" s="21"/>
      <c r="DCO1638" s="21"/>
      <c r="DCP1638" s="21"/>
      <c r="DCQ1638" s="21"/>
      <c r="DCR1638" s="21"/>
      <c r="DCS1638" s="21"/>
      <c r="DCT1638" s="21"/>
      <c r="DCU1638" s="21"/>
      <c r="DCV1638" s="21"/>
      <c r="DCW1638" s="21"/>
      <c r="DCX1638" s="21"/>
      <c r="DCY1638" s="21"/>
      <c r="DCZ1638" s="21"/>
      <c r="DDA1638" s="21"/>
      <c r="DDB1638" s="21"/>
      <c r="DDC1638" s="21"/>
      <c r="DDD1638" s="21"/>
      <c r="DDE1638" s="21"/>
      <c r="DDF1638" s="21"/>
      <c r="DDG1638" s="21"/>
      <c r="DDH1638" s="21"/>
      <c r="DDI1638" s="21"/>
      <c r="DDJ1638" s="21"/>
      <c r="DDK1638" s="21"/>
      <c r="DDL1638" s="21"/>
      <c r="DDM1638" s="21"/>
      <c r="DDN1638" s="21"/>
      <c r="DDO1638" s="21"/>
      <c r="DDP1638" s="21"/>
      <c r="DDQ1638" s="21"/>
      <c r="DDR1638" s="21"/>
      <c r="DDS1638" s="21"/>
      <c r="DDT1638" s="21"/>
      <c r="DDU1638" s="21"/>
      <c r="DDV1638" s="21"/>
      <c r="DDW1638" s="21"/>
      <c r="DDX1638" s="21"/>
      <c r="DDY1638" s="21"/>
      <c r="DDZ1638" s="21"/>
      <c r="DEA1638" s="21"/>
      <c r="DEB1638" s="21"/>
      <c r="DEC1638" s="21"/>
      <c r="DED1638" s="21"/>
      <c r="DEE1638" s="21"/>
      <c r="DEF1638" s="21"/>
      <c r="DEG1638" s="21"/>
      <c r="DEH1638" s="21"/>
      <c r="DEI1638" s="21"/>
      <c r="DEJ1638" s="21"/>
      <c r="DEK1638" s="21"/>
      <c r="DEL1638" s="21"/>
      <c r="DEM1638" s="21"/>
      <c r="DEN1638" s="21"/>
      <c r="DEO1638" s="21"/>
      <c r="DEP1638" s="21"/>
      <c r="DEQ1638" s="21"/>
      <c r="DER1638" s="21"/>
      <c r="DES1638" s="21"/>
      <c r="DET1638" s="21"/>
      <c r="DEU1638" s="21"/>
      <c r="DEV1638" s="21"/>
      <c r="DEW1638" s="21"/>
      <c r="DEX1638" s="21"/>
      <c r="DEY1638" s="21"/>
      <c r="DEZ1638" s="21"/>
      <c r="DFA1638" s="21"/>
      <c r="DFB1638" s="21"/>
      <c r="DFC1638" s="21"/>
      <c r="DFD1638" s="21"/>
      <c r="DFE1638" s="21"/>
      <c r="DFF1638" s="21"/>
      <c r="DFG1638" s="21"/>
      <c r="DFH1638" s="21"/>
      <c r="DFI1638" s="21"/>
      <c r="DFJ1638" s="21"/>
      <c r="DFK1638" s="21"/>
      <c r="DFL1638" s="21"/>
      <c r="DFM1638" s="21"/>
      <c r="DFN1638" s="21"/>
      <c r="DFO1638" s="21"/>
      <c r="DFP1638" s="21"/>
      <c r="DFQ1638" s="21"/>
      <c r="DFR1638" s="21"/>
      <c r="DFS1638" s="21"/>
      <c r="DFT1638" s="21"/>
      <c r="DFU1638" s="21"/>
      <c r="DFV1638" s="21"/>
      <c r="DFW1638" s="21"/>
      <c r="DFX1638" s="21"/>
      <c r="DFY1638" s="21"/>
      <c r="DFZ1638" s="21"/>
      <c r="DGA1638" s="21"/>
      <c r="DGB1638" s="21"/>
      <c r="DGC1638" s="21"/>
      <c r="DGD1638" s="21"/>
      <c r="DGE1638" s="21"/>
      <c r="DGF1638" s="21"/>
      <c r="DGG1638" s="21"/>
      <c r="DGH1638" s="21"/>
      <c r="DGI1638" s="21"/>
      <c r="DGJ1638" s="21"/>
      <c r="DGK1638" s="21"/>
      <c r="DGL1638" s="21"/>
      <c r="DGM1638" s="21"/>
      <c r="DGN1638" s="21"/>
      <c r="DGO1638" s="21"/>
      <c r="DGP1638" s="21"/>
      <c r="DGQ1638" s="21"/>
      <c r="DGR1638" s="21"/>
      <c r="DGS1638" s="21"/>
      <c r="DGT1638" s="21"/>
      <c r="DGU1638" s="21"/>
      <c r="DGV1638" s="21"/>
      <c r="DGW1638" s="21"/>
      <c r="DGX1638" s="21"/>
      <c r="DGY1638" s="21"/>
      <c r="DGZ1638" s="21"/>
      <c r="DHA1638" s="21"/>
      <c r="DHB1638" s="21"/>
      <c r="DHC1638" s="21"/>
      <c r="DHD1638" s="21"/>
      <c r="DHE1638" s="21"/>
      <c r="DHF1638" s="21"/>
      <c r="DHG1638" s="21"/>
      <c r="DHH1638" s="21"/>
      <c r="DHI1638" s="21"/>
      <c r="DHJ1638" s="21"/>
      <c r="DHK1638" s="21"/>
      <c r="DHL1638" s="21"/>
      <c r="DHM1638" s="21"/>
      <c r="DHN1638" s="21"/>
      <c r="DHO1638" s="21"/>
      <c r="DHP1638" s="21"/>
      <c r="DHQ1638" s="21"/>
      <c r="DHR1638" s="21"/>
      <c r="DHS1638" s="21"/>
      <c r="DHT1638" s="21"/>
      <c r="DHU1638" s="21"/>
      <c r="DHV1638" s="21"/>
      <c r="DHW1638" s="21"/>
      <c r="DHX1638" s="21"/>
      <c r="DHY1638" s="21"/>
      <c r="DHZ1638" s="21"/>
      <c r="DIA1638" s="21"/>
      <c r="DIB1638" s="21"/>
      <c r="DIC1638" s="21"/>
      <c r="DID1638" s="21"/>
      <c r="DIE1638" s="21"/>
      <c r="DIF1638" s="21"/>
      <c r="DIG1638" s="21"/>
      <c r="DIH1638" s="21"/>
      <c r="DII1638" s="21"/>
      <c r="DIJ1638" s="21"/>
      <c r="DIK1638" s="21"/>
      <c r="DIL1638" s="21"/>
      <c r="DIM1638" s="21"/>
      <c r="DIN1638" s="21"/>
      <c r="DIO1638" s="21"/>
      <c r="DIP1638" s="21"/>
      <c r="DIQ1638" s="21"/>
      <c r="DIR1638" s="21"/>
      <c r="DIS1638" s="21"/>
      <c r="DIT1638" s="21"/>
      <c r="DIU1638" s="21"/>
      <c r="DIV1638" s="21"/>
      <c r="DIW1638" s="21"/>
      <c r="DIX1638" s="21"/>
      <c r="DIY1638" s="21"/>
      <c r="DIZ1638" s="21"/>
      <c r="DJA1638" s="21"/>
      <c r="DJB1638" s="21"/>
      <c r="DJC1638" s="21"/>
      <c r="DJD1638" s="21"/>
      <c r="DJE1638" s="21"/>
      <c r="DJF1638" s="21"/>
      <c r="DJG1638" s="21"/>
      <c r="DJH1638" s="21"/>
      <c r="DJI1638" s="21"/>
      <c r="DJJ1638" s="21"/>
      <c r="DJK1638" s="21"/>
      <c r="DJL1638" s="21"/>
      <c r="DJM1638" s="21"/>
      <c r="DJN1638" s="21"/>
      <c r="DJO1638" s="21"/>
      <c r="DJP1638" s="21"/>
      <c r="DJQ1638" s="21"/>
      <c r="DJR1638" s="21"/>
      <c r="DJS1638" s="21"/>
      <c r="DJT1638" s="21"/>
      <c r="DJU1638" s="21"/>
      <c r="DJV1638" s="21"/>
      <c r="DJW1638" s="21"/>
      <c r="DJX1638" s="21"/>
      <c r="DJY1638" s="21"/>
      <c r="DJZ1638" s="21"/>
      <c r="DKA1638" s="21"/>
      <c r="DKB1638" s="21"/>
      <c r="DKC1638" s="21"/>
      <c r="DKD1638" s="21"/>
      <c r="DKE1638" s="21"/>
      <c r="DKF1638" s="21"/>
      <c r="DKG1638" s="21"/>
      <c r="DKH1638" s="21"/>
      <c r="DKI1638" s="21"/>
      <c r="DKJ1638" s="21"/>
      <c r="DKK1638" s="21"/>
      <c r="DKL1638" s="21"/>
      <c r="DKM1638" s="21"/>
      <c r="DKN1638" s="21"/>
      <c r="DKO1638" s="21"/>
      <c r="DKP1638" s="21"/>
      <c r="DKQ1638" s="21"/>
      <c r="DKR1638" s="21"/>
      <c r="DKS1638" s="21"/>
      <c r="DKT1638" s="21"/>
      <c r="DKU1638" s="21"/>
      <c r="DKV1638" s="21"/>
      <c r="DKW1638" s="21"/>
      <c r="DKX1638" s="21"/>
      <c r="DKY1638" s="21"/>
      <c r="DKZ1638" s="21"/>
      <c r="DLA1638" s="21"/>
      <c r="DLB1638" s="21"/>
      <c r="DLC1638" s="21"/>
      <c r="DLD1638" s="21"/>
      <c r="DLE1638" s="21"/>
      <c r="DLF1638" s="21"/>
      <c r="DLG1638" s="21"/>
      <c r="DLH1638" s="21"/>
      <c r="DLI1638" s="21"/>
      <c r="DLJ1638" s="21"/>
      <c r="DLK1638" s="21"/>
      <c r="DLL1638" s="21"/>
      <c r="DLM1638" s="21"/>
      <c r="DLN1638" s="21"/>
      <c r="DLO1638" s="21"/>
      <c r="DLP1638" s="21"/>
      <c r="DLQ1638" s="21"/>
      <c r="DLR1638" s="21"/>
      <c r="DLS1638" s="21"/>
      <c r="DLT1638" s="21"/>
      <c r="DLU1638" s="21"/>
      <c r="DLV1638" s="21"/>
      <c r="DLW1638" s="21"/>
      <c r="DLX1638" s="21"/>
      <c r="DLY1638" s="21"/>
      <c r="DLZ1638" s="21"/>
      <c r="DMA1638" s="21"/>
      <c r="DMB1638" s="21"/>
      <c r="DMC1638" s="21"/>
      <c r="DMD1638" s="21"/>
      <c r="DME1638" s="21"/>
      <c r="DMF1638" s="21"/>
      <c r="DMG1638" s="21"/>
      <c r="DMH1638" s="21"/>
      <c r="DMI1638" s="21"/>
      <c r="DMJ1638" s="21"/>
      <c r="DMK1638" s="21"/>
      <c r="DML1638" s="21"/>
      <c r="DMM1638" s="21"/>
      <c r="DMN1638" s="21"/>
      <c r="DMO1638" s="21"/>
      <c r="DMP1638" s="21"/>
      <c r="DMQ1638" s="21"/>
      <c r="DMR1638" s="21"/>
      <c r="DMS1638" s="21"/>
      <c r="DMT1638" s="21"/>
      <c r="DMU1638" s="21"/>
      <c r="DMV1638" s="21"/>
      <c r="DMW1638" s="21"/>
      <c r="DMX1638" s="21"/>
      <c r="DMY1638" s="21"/>
      <c r="DMZ1638" s="21"/>
      <c r="DNA1638" s="21"/>
      <c r="DNB1638" s="21"/>
      <c r="DNC1638" s="21"/>
      <c r="DND1638" s="21"/>
      <c r="DNE1638" s="21"/>
      <c r="DNF1638" s="21"/>
      <c r="DNG1638" s="21"/>
      <c r="DNH1638" s="21"/>
      <c r="DNI1638" s="21"/>
      <c r="DNJ1638" s="21"/>
      <c r="DNK1638" s="21"/>
      <c r="DNL1638" s="21"/>
      <c r="DNM1638" s="21"/>
      <c r="DNN1638" s="21"/>
      <c r="DNO1638" s="21"/>
      <c r="DNP1638" s="21"/>
      <c r="DNQ1638" s="21"/>
      <c r="DNR1638" s="21"/>
      <c r="DNS1638" s="21"/>
      <c r="DNT1638" s="21"/>
      <c r="DNU1638" s="21"/>
      <c r="DNV1638" s="21"/>
      <c r="DNW1638" s="21"/>
      <c r="DNX1638" s="21"/>
      <c r="DNY1638" s="21"/>
      <c r="DNZ1638" s="21"/>
      <c r="DOA1638" s="21"/>
      <c r="DOB1638" s="21"/>
      <c r="DOC1638" s="21"/>
      <c r="DOD1638" s="21"/>
      <c r="DOE1638" s="21"/>
      <c r="DOF1638" s="21"/>
      <c r="DOG1638" s="21"/>
      <c r="DOH1638" s="21"/>
      <c r="DOI1638" s="21"/>
      <c r="DOJ1638" s="21"/>
      <c r="DOK1638" s="21"/>
      <c r="DOL1638" s="21"/>
      <c r="DOM1638" s="21"/>
      <c r="DON1638" s="21"/>
      <c r="DOO1638" s="21"/>
      <c r="DOP1638" s="21"/>
      <c r="DOQ1638" s="21"/>
      <c r="DOR1638" s="21"/>
      <c r="DOS1638" s="21"/>
      <c r="DOT1638" s="21"/>
      <c r="DOU1638" s="21"/>
      <c r="DOV1638" s="21"/>
      <c r="DOW1638" s="21"/>
      <c r="DOX1638" s="21"/>
      <c r="DOY1638" s="21"/>
      <c r="DOZ1638" s="21"/>
      <c r="DPA1638" s="21"/>
      <c r="DPB1638" s="21"/>
      <c r="DPC1638" s="21"/>
      <c r="DPD1638" s="21"/>
      <c r="DPE1638" s="21"/>
      <c r="DPF1638" s="21"/>
      <c r="DPG1638" s="21"/>
      <c r="DPH1638" s="21"/>
      <c r="DPI1638" s="21"/>
      <c r="DPJ1638" s="21"/>
      <c r="DPK1638" s="21"/>
      <c r="DPL1638" s="21"/>
      <c r="DPM1638" s="21"/>
      <c r="DPN1638" s="21"/>
      <c r="DPO1638" s="21"/>
      <c r="DPP1638" s="21"/>
      <c r="DPQ1638" s="21"/>
      <c r="DPR1638" s="21"/>
      <c r="DPS1638" s="21"/>
      <c r="DPT1638" s="21"/>
      <c r="DPU1638" s="21"/>
      <c r="DPV1638" s="21"/>
      <c r="DPW1638" s="21"/>
      <c r="DPX1638" s="21"/>
      <c r="DPY1638" s="21"/>
      <c r="DPZ1638" s="21"/>
      <c r="DQA1638" s="21"/>
      <c r="DQB1638" s="21"/>
      <c r="DQC1638" s="21"/>
      <c r="DQD1638" s="21"/>
      <c r="DQE1638" s="21"/>
      <c r="DQF1638" s="21"/>
      <c r="DQG1638" s="21"/>
      <c r="DQH1638" s="21"/>
      <c r="DQI1638" s="21"/>
      <c r="DQJ1638" s="21"/>
      <c r="DQK1638" s="21"/>
      <c r="DQL1638" s="21"/>
      <c r="DQM1638" s="21"/>
      <c r="DQN1638" s="21"/>
      <c r="DQO1638" s="21"/>
      <c r="DQP1638" s="21"/>
      <c r="DQQ1638" s="21"/>
      <c r="DQR1638" s="21"/>
      <c r="DQS1638" s="21"/>
      <c r="DQT1638" s="21"/>
      <c r="DQU1638" s="21"/>
      <c r="DQV1638" s="21"/>
      <c r="DQW1638" s="21"/>
      <c r="DQX1638" s="21"/>
      <c r="DQY1638" s="21"/>
      <c r="DQZ1638" s="21"/>
      <c r="DRA1638" s="21"/>
      <c r="DRB1638" s="21"/>
      <c r="DRC1638" s="21"/>
      <c r="DRD1638" s="21"/>
      <c r="DRE1638" s="21"/>
      <c r="DRF1638" s="21"/>
      <c r="DRG1638" s="21"/>
      <c r="DRH1638" s="21"/>
      <c r="DRI1638" s="21"/>
      <c r="DRJ1638" s="21"/>
      <c r="DRK1638" s="21"/>
      <c r="DRL1638" s="21"/>
      <c r="DRM1638" s="21"/>
      <c r="DRN1638" s="21"/>
      <c r="DRO1638" s="21"/>
      <c r="DRP1638" s="21"/>
      <c r="DRQ1638" s="21"/>
      <c r="DRR1638" s="21"/>
      <c r="DRS1638" s="21"/>
      <c r="DRT1638" s="21"/>
      <c r="DRU1638" s="21"/>
      <c r="DRV1638" s="21"/>
      <c r="DRW1638" s="21"/>
      <c r="DRX1638" s="21"/>
      <c r="DRY1638" s="21"/>
      <c r="DRZ1638" s="21"/>
      <c r="DSA1638" s="21"/>
      <c r="DSB1638" s="21"/>
      <c r="DSC1638" s="21"/>
      <c r="DSD1638" s="21"/>
      <c r="DSE1638" s="21"/>
      <c r="DSF1638" s="21"/>
      <c r="DSG1638" s="21"/>
      <c r="DSH1638" s="21"/>
      <c r="DSI1638" s="21"/>
      <c r="DSJ1638" s="21"/>
      <c r="DSK1638" s="21"/>
      <c r="DSL1638" s="21"/>
      <c r="DSM1638" s="21"/>
      <c r="DSN1638" s="21"/>
      <c r="DSO1638" s="21"/>
      <c r="DSP1638" s="21"/>
      <c r="DSQ1638" s="21"/>
      <c r="DSR1638" s="21"/>
      <c r="DSS1638" s="21"/>
      <c r="DST1638" s="21"/>
      <c r="DSU1638" s="21"/>
      <c r="DSV1638" s="21"/>
      <c r="DSW1638" s="21"/>
      <c r="DSX1638" s="21"/>
      <c r="DSY1638" s="21"/>
      <c r="DSZ1638" s="21"/>
      <c r="DTA1638" s="21"/>
      <c r="DTB1638" s="21"/>
      <c r="DTC1638" s="21"/>
      <c r="DTD1638" s="21"/>
      <c r="DTE1638" s="21"/>
      <c r="DTF1638" s="21"/>
      <c r="DTG1638" s="21"/>
      <c r="DTH1638" s="21"/>
      <c r="DTI1638" s="21"/>
      <c r="DTJ1638" s="21"/>
      <c r="DTK1638" s="21"/>
      <c r="DTL1638" s="21"/>
      <c r="DTM1638" s="21"/>
      <c r="DTN1638" s="21"/>
      <c r="DTO1638" s="21"/>
      <c r="DTP1638" s="21"/>
      <c r="DTQ1638" s="21"/>
      <c r="DTR1638" s="21"/>
      <c r="DTS1638" s="21"/>
      <c r="DTT1638" s="21"/>
      <c r="DTU1638" s="21"/>
      <c r="DTV1638" s="21"/>
      <c r="DTW1638" s="21"/>
      <c r="DTX1638" s="21"/>
      <c r="DTY1638" s="21"/>
      <c r="DTZ1638" s="21"/>
      <c r="DUA1638" s="21"/>
      <c r="DUB1638" s="21"/>
      <c r="DUC1638" s="21"/>
      <c r="DUD1638" s="21"/>
      <c r="DUE1638" s="21"/>
      <c r="DUF1638" s="21"/>
      <c r="DUG1638" s="21"/>
      <c r="DUH1638" s="21"/>
      <c r="DUI1638" s="21"/>
      <c r="DUJ1638" s="21"/>
      <c r="DUK1638" s="21"/>
      <c r="DUL1638" s="21"/>
      <c r="DUM1638" s="21"/>
      <c r="DUN1638" s="21"/>
      <c r="DUO1638" s="21"/>
      <c r="DUP1638" s="21"/>
      <c r="DUQ1638" s="21"/>
      <c r="DUR1638" s="21"/>
      <c r="DUS1638" s="21"/>
      <c r="DUT1638" s="21"/>
      <c r="DUU1638" s="21"/>
      <c r="DUV1638" s="21"/>
      <c r="DUW1638" s="21"/>
      <c r="DUX1638" s="21"/>
      <c r="DUY1638" s="21"/>
      <c r="DUZ1638" s="21"/>
      <c r="DVA1638" s="21"/>
      <c r="DVB1638" s="21"/>
      <c r="DVC1638" s="21"/>
      <c r="DVD1638" s="21"/>
      <c r="DVE1638" s="21"/>
      <c r="DVF1638" s="21"/>
      <c r="DVG1638" s="21"/>
      <c r="DVH1638" s="21"/>
      <c r="DVI1638" s="21"/>
      <c r="DVJ1638" s="21"/>
      <c r="DVK1638" s="21"/>
      <c r="DVL1638" s="21"/>
      <c r="DVM1638" s="21"/>
      <c r="DVN1638" s="21"/>
      <c r="DVO1638" s="21"/>
      <c r="DVP1638" s="21"/>
      <c r="DVQ1638" s="21"/>
      <c r="DVR1638" s="21"/>
      <c r="DVS1638" s="21"/>
      <c r="DVT1638" s="21"/>
      <c r="DVU1638" s="21"/>
      <c r="DVV1638" s="21"/>
      <c r="DVW1638" s="21"/>
      <c r="DVX1638" s="21"/>
      <c r="DVY1638" s="21"/>
      <c r="DVZ1638" s="21"/>
      <c r="DWA1638" s="21"/>
      <c r="DWB1638" s="21"/>
      <c r="DWC1638" s="21"/>
      <c r="DWD1638" s="21"/>
      <c r="DWE1638" s="21"/>
      <c r="DWF1638" s="21"/>
      <c r="DWG1638" s="21"/>
      <c r="DWH1638" s="21"/>
      <c r="DWI1638" s="21"/>
      <c r="DWJ1638" s="21"/>
      <c r="DWK1638" s="21"/>
      <c r="DWL1638" s="21"/>
      <c r="DWM1638" s="21"/>
      <c r="DWN1638" s="21"/>
      <c r="DWO1638" s="21"/>
      <c r="DWP1638" s="21"/>
      <c r="DWQ1638" s="21"/>
      <c r="DWR1638" s="21"/>
      <c r="DWS1638" s="21"/>
      <c r="DWT1638" s="21"/>
      <c r="DWU1638" s="21"/>
      <c r="DWV1638" s="21"/>
      <c r="DWW1638" s="21"/>
      <c r="DWX1638" s="21"/>
      <c r="DWY1638" s="21"/>
      <c r="DWZ1638" s="21"/>
      <c r="DXA1638" s="21"/>
      <c r="DXB1638" s="21"/>
      <c r="DXC1638" s="21"/>
      <c r="DXD1638" s="21"/>
      <c r="DXE1638" s="21"/>
      <c r="DXF1638" s="21"/>
      <c r="DXG1638" s="21"/>
      <c r="DXH1638" s="21"/>
      <c r="DXI1638" s="21"/>
      <c r="DXJ1638" s="21"/>
      <c r="DXK1638" s="21"/>
      <c r="DXL1638" s="21"/>
      <c r="DXM1638" s="21"/>
      <c r="DXN1638" s="21"/>
      <c r="DXO1638" s="21"/>
      <c r="DXP1638" s="21"/>
      <c r="DXQ1638" s="21"/>
      <c r="DXR1638" s="21"/>
      <c r="DXS1638" s="21"/>
      <c r="DXT1638" s="21"/>
      <c r="DXU1638" s="21"/>
      <c r="DXV1638" s="21"/>
      <c r="DXW1638" s="21"/>
      <c r="DXX1638" s="21"/>
      <c r="DXY1638" s="21"/>
      <c r="DXZ1638" s="21"/>
      <c r="DYA1638" s="21"/>
      <c r="DYB1638" s="21"/>
      <c r="DYC1638" s="21"/>
      <c r="DYD1638" s="21"/>
      <c r="DYE1638" s="21"/>
      <c r="DYF1638" s="21"/>
      <c r="DYG1638" s="21"/>
      <c r="DYH1638" s="21"/>
      <c r="DYI1638" s="21"/>
      <c r="DYJ1638" s="21"/>
      <c r="DYK1638" s="21"/>
      <c r="DYL1638" s="21"/>
      <c r="DYM1638" s="21"/>
      <c r="DYN1638" s="21"/>
      <c r="DYO1638" s="21"/>
      <c r="DYP1638" s="21"/>
      <c r="DYQ1638" s="21"/>
      <c r="DYR1638" s="21"/>
      <c r="DYS1638" s="21"/>
      <c r="DYT1638" s="21"/>
      <c r="DYU1638" s="21"/>
      <c r="DYV1638" s="21"/>
      <c r="DYW1638" s="21"/>
      <c r="DYX1638" s="21"/>
      <c r="DYY1638" s="21"/>
      <c r="DYZ1638" s="21"/>
      <c r="DZA1638" s="21"/>
      <c r="DZB1638" s="21"/>
      <c r="DZC1638" s="21"/>
      <c r="DZD1638" s="21"/>
      <c r="DZE1638" s="21"/>
      <c r="DZF1638" s="21"/>
      <c r="DZG1638" s="21"/>
      <c r="DZH1638" s="21"/>
      <c r="DZI1638" s="21"/>
      <c r="DZJ1638" s="21"/>
      <c r="DZK1638" s="21"/>
      <c r="DZL1638" s="21"/>
      <c r="DZM1638" s="21"/>
      <c r="DZN1638" s="21"/>
      <c r="DZO1638" s="21"/>
      <c r="DZP1638" s="21"/>
      <c r="DZQ1638" s="21"/>
      <c r="DZR1638" s="21"/>
      <c r="DZS1638" s="21"/>
      <c r="DZT1638" s="21"/>
      <c r="DZU1638" s="21"/>
      <c r="DZV1638" s="21"/>
      <c r="DZW1638" s="21"/>
      <c r="DZX1638" s="21"/>
      <c r="DZY1638" s="21"/>
      <c r="DZZ1638" s="21"/>
      <c r="EAA1638" s="21"/>
      <c r="EAB1638" s="21"/>
      <c r="EAC1638" s="21"/>
      <c r="EAD1638" s="21"/>
      <c r="EAE1638" s="21"/>
      <c r="EAF1638" s="21"/>
      <c r="EAG1638" s="21"/>
      <c r="EAH1638" s="21"/>
      <c r="EAI1638" s="21"/>
      <c r="EAJ1638" s="21"/>
      <c r="EAK1638" s="21"/>
      <c r="EAL1638" s="21"/>
      <c r="EAM1638" s="21"/>
      <c r="EAN1638" s="21"/>
      <c r="EAO1638" s="21"/>
      <c r="EAP1638" s="21"/>
      <c r="EAQ1638" s="21"/>
      <c r="EAR1638" s="21"/>
      <c r="EAS1638" s="21"/>
      <c r="EAT1638" s="21"/>
      <c r="EAU1638" s="21"/>
      <c r="EAV1638" s="21"/>
      <c r="EAW1638" s="21"/>
      <c r="EAX1638" s="21"/>
      <c r="EAY1638" s="21"/>
      <c r="EAZ1638" s="21"/>
      <c r="EBA1638" s="21"/>
      <c r="EBB1638" s="21"/>
      <c r="EBC1638" s="21"/>
      <c r="EBD1638" s="21"/>
      <c r="EBE1638" s="21"/>
      <c r="EBF1638" s="21"/>
      <c r="EBG1638" s="21"/>
      <c r="EBH1638" s="21"/>
      <c r="EBI1638" s="21"/>
      <c r="EBJ1638" s="21"/>
      <c r="EBK1638" s="21"/>
      <c r="EBL1638" s="21"/>
      <c r="EBM1638" s="21"/>
      <c r="EBN1638" s="21"/>
      <c r="EBO1638" s="21"/>
      <c r="EBP1638" s="21"/>
      <c r="EBQ1638" s="21"/>
      <c r="EBR1638" s="21"/>
      <c r="EBS1638" s="21"/>
      <c r="EBT1638" s="21"/>
      <c r="EBU1638" s="21"/>
      <c r="EBV1638" s="21"/>
      <c r="EBW1638" s="21"/>
      <c r="EBX1638" s="21"/>
      <c r="EBY1638" s="21"/>
      <c r="EBZ1638" s="21"/>
      <c r="ECA1638" s="21"/>
      <c r="ECB1638" s="21"/>
      <c r="ECC1638" s="21"/>
      <c r="ECD1638" s="21"/>
      <c r="ECE1638" s="21"/>
      <c r="ECF1638" s="21"/>
      <c r="ECG1638" s="21"/>
      <c r="ECH1638" s="21"/>
      <c r="ECI1638" s="21"/>
      <c r="ECJ1638" s="21"/>
      <c r="ECK1638" s="21"/>
      <c r="ECL1638" s="21"/>
      <c r="ECM1638" s="21"/>
      <c r="ECN1638" s="21"/>
      <c r="ECO1638" s="21"/>
      <c r="ECP1638" s="21"/>
      <c r="ECQ1638" s="21"/>
      <c r="ECR1638" s="21"/>
      <c r="ECS1638" s="21"/>
      <c r="ECT1638" s="21"/>
      <c r="ECU1638" s="21"/>
      <c r="ECV1638" s="21"/>
      <c r="ECW1638" s="21"/>
      <c r="ECX1638" s="21"/>
      <c r="ECY1638" s="21"/>
      <c r="ECZ1638" s="21"/>
      <c r="EDA1638" s="21"/>
      <c r="EDB1638" s="21"/>
      <c r="EDC1638" s="21"/>
      <c r="EDD1638" s="21"/>
      <c r="EDE1638" s="21"/>
      <c r="EDF1638" s="21"/>
      <c r="EDG1638" s="21"/>
      <c r="EDH1638" s="21"/>
      <c r="EDI1638" s="21"/>
      <c r="EDJ1638" s="21"/>
      <c r="EDK1638" s="21"/>
      <c r="EDL1638" s="21"/>
      <c r="EDM1638" s="21"/>
      <c r="EDN1638" s="21"/>
      <c r="EDO1638" s="21"/>
      <c r="EDP1638" s="21"/>
      <c r="EDQ1638" s="21"/>
      <c r="EDR1638" s="21"/>
      <c r="EDS1638" s="21"/>
      <c r="EDT1638" s="21"/>
      <c r="EDU1638" s="21"/>
      <c r="EDV1638" s="21"/>
      <c r="EDW1638" s="21"/>
      <c r="EDX1638" s="21"/>
      <c r="EDY1638" s="21"/>
      <c r="EDZ1638" s="21"/>
      <c r="EEA1638" s="21"/>
      <c r="EEB1638" s="21"/>
      <c r="EEC1638" s="21"/>
      <c r="EED1638" s="21"/>
      <c r="EEE1638" s="21"/>
      <c r="EEF1638" s="21"/>
      <c r="EEG1638" s="21"/>
      <c r="EEH1638" s="21"/>
      <c r="EEI1638" s="21"/>
      <c r="EEJ1638" s="21"/>
      <c r="EEK1638" s="21"/>
      <c r="EEL1638" s="21"/>
      <c r="EEM1638" s="21"/>
      <c r="EEN1638" s="21"/>
      <c r="EEO1638" s="21"/>
      <c r="EEP1638" s="21"/>
      <c r="EEQ1638" s="21"/>
      <c r="EER1638" s="21"/>
      <c r="EES1638" s="21"/>
      <c r="EET1638" s="21"/>
      <c r="EEU1638" s="21"/>
      <c r="EEV1638" s="21"/>
      <c r="EEW1638" s="21"/>
      <c r="EEX1638" s="21"/>
      <c r="EEY1638" s="21"/>
      <c r="EEZ1638" s="21"/>
      <c r="EFA1638" s="21"/>
      <c r="EFB1638" s="21"/>
      <c r="EFC1638" s="21"/>
      <c r="EFD1638" s="21"/>
      <c r="EFE1638" s="21"/>
      <c r="EFF1638" s="21"/>
      <c r="EFG1638" s="21"/>
      <c r="EFH1638" s="21"/>
      <c r="EFI1638" s="21"/>
      <c r="EFJ1638" s="21"/>
      <c r="EFK1638" s="21"/>
      <c r="EFL1638" s="21"/>
      <c r="EFM1638" s="21"/>
      <c r="EFN1638" s="21"/>
      <c r="EFO1638" s="21"/>
      <c r="EFP1638" s="21"/>
      <c r="EFQ1638" s="21"/>
      <c r="EFR1638" s="21"/>
      <c r="EFS1638" s="21"/>
      <c r="EFT1638" s="21"/>
      <c r="EFU1638" s="21"/>
      <c r="EFV1638" s="21"/>
      <c r="EFW1638" s="21"/>
      <c r="EFX1638" s="21"/>
      <c r="EFY1638" s="21"/>
      <c r="EFZ1638" s="21"/>
      <c r="EGA1638" s="21"/>
      <c r="EGB1638" s="21"/>
      <c r="EGC1638" s="21"/>
      <c r="EGD1638" s="21"/>
      <c r="EGE1638" s="21"/>
      <c r="EGF1638" s="21"/>
      <c r="EGG1638" s="21"/>
      <c r="EGH1638" s="21"/>
      <c r="EGI1638" s="21"/>
      <c r="EGJ1638" s="21"/>
      <c r="EGK1638" s="21"/>
      <c r="EGL1638" s="21"/>
      <c r="EGM1638" s="21"/>
      <c r="EGN1638" s="21"/>
      <c r="EGO1638" s="21"/>
      <c r="EGP1638" s="21"/>
      <c r="EGQ1638" s="21"/>
      <c r="EGR1638" s="21"/>
      <c r="EGS1638" s="21"/>
      <c r="EGT1638" s="21"/>
      <c r="EGU1638" s="21"/>
      <c r="EGV1638" s="21"/>
      <c r="EGW1638" s="21"/>
      <c r="EGX1638" s="21"/>
      <c r="EGY1638" s="21"/>
      <c r="EGZ1638" s="21"/>
      <c r="EHA1638" s="21"/>
      <c r="EHB1638" s="21"/>
      <c r="EHC1638" s="21"/>
      <c r="EHD1638" s="21"/>
      <c r="EHE1638" s="21"/>
      <c r="EHF1638" s="21"/>
      <c r="EHG1638" s="21"/>
      <c r="EHH1638" s="21"/>
      <c r="EHI1638" s="21"/>
      <c r="EHJ1638" s="21"/>
      <c r="EHK1638" s="21"/>
      <c r="EHL1638" s="21"/>
      <c r="EHM1638" s="21"/>
      <c r="EHN1638" s="21"/>
      <c r="EHO1638" s="21"/>
      <c r="EHP1638" s="21"/>
      <c r="EHQ1638" s="21"/>
      <c r="EHR1638" s="21"/>
      <c r="EHS1638" s="21"/>
      <c r="EHT1638" s="21"/>
      <c r="EHU1638" s="21"/>
      <c r="EHV1638" s="21"/>
      <c r="EHW1638" s="21"/>
      <c r="EHX1638" s="21"/>
      <c r="EHY1638" s="21"/>
      <c r="EHZ1638" s="21"/>
      <c r="EIA1638" s="21"/>
      <c r="EIB1638" s="21"/>
      <c r="EIC1638" s="21"/>
      <c r="EID1638" s="21"/>
      <c r="EIE1638" s="21"/>
      <c r="EIF1638" s="21"/>
      <c r="EIG1638" s="21"/>
      <c r="EIH1638" s="21"/>
      <c r="EII1638" s="21"/>
      <c r="EIJ1638" s="21"/>
      <c r="EIK1638" s="21"/>
      <c r="EIL1638" s="21"/>
      <c r="EIM1638" s="21"/>
      <c r="EIN1638" s="21"/>
      <c r="EIO1638" s="21"/>
      <c r="EIP1638" s="21"/>
      <c r="EIQ1638" s="21"/>
      <c r="EIR1638" s="21"/>
      <c r="EIS1638" s="21"/>
      <c r="EIT1638" s="21"/>
      <c r="EIU1638" s="21"/>
      <c r="EIV1638" s="21"/>
      <c r="EIW1638" s="21"/>
      <c r="EIX1638" s="21"/>
      <c r="EIY1638" s="21"/>
      <c r="EIZ1638" s="21"/>
      <c r="EJA1638" s="21"/>
      <c r="EJB1638" s="21"/>
      <c r="EJC1638" s="21"/>
      <c r="EJD1638" s="21"/>
      <c r="EJE1638" s="21"/>
      <c r="EJF1638" s="21"/>
      <c r="EJG1638" s="21"/>
      <c r="EJH1638" s="21"/>
      <c r="EJI1638" s="21"/>
      <c r="EJJ1638" s="21"/>
      <c r="EJK1638" s="21"/>
      <c r="EJL1638" s="21"/>
      <c r="EJM1638" s="21"/>
      <c r="EJN1638" s="21"/>
      <c r="EJO1638" s="21"/>
      <c r="EJP1638" s="21"/>
      <c r="EJQ1638" s="21"/>
      <c r="EJR1638" s="21"/>
      <c r="EJS1638" s="21"/>
      <c r="EJT1638" s="21"/>
      <c r="EJU1638" s="21"/>
      <c r="EJV1638" s="21"/>
      <c r="EJW1638" s="21"/>
      <c r="EJX1638" s="21"/>
      <c r="EJY1638" s="21"/>
      <c r="EJZ1638" s="21"/>
      <c r="EKA1638" s="21"/>
      <c r="EKB1638" s="21"/>
      <c r="EKC1638" s="21"/>
      <c r="EKD1638" s="21"/>
      <c r="EKE1638" s="21"/>
      <c r="EKF1638" s="21"/>
      <c r="EKG1638" s="21"/>
      <c r="EKH1638" s="21"/>
      <c r="EKI1638" s="21"/>
      <c r="EKJ1638" s="21"/>
      <c r="EKK1638" s="21"/>
      <c r="EKL1638" s="21"/>
      <c r="EKM1638" s="21"/>
      <c r="EKN1638" s="21"/>
      <c r="EKO1638" s="21"/>
      <c r="EKP1638" s="21"/>
      <c r="EKQ1638" s="21"/>
      <c r="EKR1638" s="21"/>
      <c r="EKS1638" s="21"/>
      <c r="EKT1638" s="21"/>
      <c r="EKU1638" s="21"/>
      <c r="EKV1638" s="21"/>
      <c r="EKW1638" s="21"/>
      <c r="EKX1638" s="21"/>
      <c r="EKY1638" s="21"/>
      <c r="EKZ1638" s="21"/>
      <c r="ELA1638" s="21"/>
      <c r="ELB1638" s="21"/>
      <c r="ELC1638" s="21"/>
      <c r="ELD1638" s="21"/>
      <c r="ELE1638" s="21"/>
      <c r="ELF1638" s="21"/>
      <c r="ELG1638" s="21"/>
      <c r="ELH1638" s="21"/>
      <c r="ELI1638" s="21"/>
      <c r="ELJ1638" s="21"/>
      <c r="ELK1638" s="21"/>
      <c r="ELL1638" s="21"/>
      <c r="ELM1638" s="21"/>
      <c r="ELN1638" s="21"/>
      <c r="ELO1638" s="21"/>
      <c r="ELP1638" s="21"/>
      <c r="ELQ1638" s="21"/>
      <c r="ELR1638" s="21"/>
      <c r="ELS1638" s="21"/>
      <c r="ELT1638" s="21"/>
      <c r="ELU1638" s="21"/>
      <c r="ELV1638" s="21"/>
      <c r="ELW1638" s="21"/>
      <c r="ELX1638" s="21"/>
      <c r="ELY1638" s="21"/>
      <c r="ELZ1638" s="21"/>
      <c r="EMA1638" s="21"/>
      <c r="EMB1638" s="21"/>
      <c r="EMC1638" s="21"/>
      <c r="EMD1638" s="21"/>
      <c r="EME1638" s="21"/>
      <c r="EMF1638" s="21"/>
      <c r="EMG1638" s="21"/>
      <c r="EMH1638" s="21"/>
      <c r="EMI1638" s="21"/>
      <c r="EMJ1638" s="21"/>
      <c r="EMK1638" s="21"/>
      <c r="EML1638" s="21"/>
      <c r="EMM1638" s="21"/>
      <c r="EMN1638" s="21"/>
      <c r="EMO1638" s="21"/>
      <c r="EMP1638" s="21"/>
      <c r="EMQ1638" s="21"/>
      <c r="EMR1638" s="21"/>
      <c r="EMS1638" s="21"/>
      <c r="EMT1638" s="21"/>
      <c r="EMU1638" s="21"/>
      <c r="EMV1638" s="21"/>
      <c r="EMW1638" s="21"/>
      <c r="EMX1638" s="21"/>
      <c r="EMY1638" s="21"/>
      <c r="EMZ1638" s="21"/>
      <c r="ENA1638" s="21"/>
      <c r="ENB1638" s="21"/>
      <c r="ENC1638" s="21"/>
      <c r="END1638" s="21"/>
      <c r="ENE1638" s="21"/>
      <c r="ENF1638" s="21"/>
      <c r="ENG1638" s="21"/>
      <c r="ENH1638" s="21"/>
      <c r="ENI1638" s="21"/>
      <c r="ENJ1638" s="21"/>
      <c r="ENK1638" s="21"/>
      <c r="ENL1638" s="21"/>
      <c r="ENM1638" s="21"/>
      <c r="ENN1638" s="21"/>
      <c r="ENO1638" s="21"/>
      <c r="ENP1638" s="21"/>
      <c r="ENQ1638" s="21"/>
      <c r="ENR1638" s="21"/>
      <c r="ENS1638" s="21"/>
      <c r="ENT1638" s="21"/>
      <c r="ENU1638" s="21"/>
      <c r="ENV1638" s="21"/>
      <c r="ENW1638" s="21"/>
      <c r="ENX1638" s="21"/>
      <c r="ENY1638" s="21"/>
      <c r="ENZ1638" s="21"/>
      <c r="EOA1638" s="21"/>
      <c r="EOB1638" s="21"/>
      <c r="EOC1638" s="21"/>
      <c r="EOD1638" s="21"/>
      <c r="EOE1638" s="21"/>
      <c r="EOF1638" s="21"/>
      <c r="EOG1638" s="21"/>
      <c r="EOH1638" s="21"/>
      <c r="EOI1638" s="21"/>
      <c r="EOJ1638" s="21"/>
      <c r="EOK1638" s="21"/>
      <c r="EOL1638" s="21"/>
      <c r="EOM1638" s="21"/>
      <c r="EON1638" s="21"/>
      <c r="EOO1638" s="21"/>
      <c r="EOP1638" s="21"/>
      <c r="EOQ1638" s="21"/>
      <c r="EOR1638" s="21"/>
      <c r="EOS1638" s="21"/>
      <c r="EOT1638" s="21"/>
      <c r="EOU1638" s="21"/>
      <c r="EOV1638" s="21"/>
      <c r="EOW1638" s="21"/>
      <c r="EOX1638" s="21"/>
      <c r="EOY1638" s="21"/>
      <c r="EOZ1638" s="21"/>
      <c r="EPA1638" s="21"/>
      <c r="EPB1638" s="21"/>
      <c r="EPC1638" s="21"/>
      <c r="EPD1638" s="21"/>
      <c r="EPE1638" s="21"/>
      <c r="EPF1638" s="21"/>
      <c r="EPG1638" s="21"/>
      <c r="EPH1638" s="21"/>
      <c r="EPI1638" s="21"/>
      <c r="EPJ1638" s="21"/>
      <c r="EPK1638" s="21"/>
      <c r="EPL1638" s="21"/>
      <c r="EPM1638" s="21"/>
      <c r="EPN1638" s="21"/>
      <c r="EPO1638" s="21"/>
      <c r="EPP1638" s="21"/>
      <c r="EPQ1638" s="21"/>
      <c r="EPR1638" s="21"/>
      <c r="EPS1638" s="21"/>
      <c r="EPT1638" s="21"/>
      <c r="EPU1638" s="21"/>
      <c r="EPV1638" s="21"/>
      <c r="EPW1638" s="21"/>
      <c r="EPX1638" s="21"/>
      <c r="EPY1638" s="21"/>
      <c r="EPZ1638" s="21"/>
      <c r="EQA1638" s="21"/>
      <c r="EQB1638" s="21"/>
      <c r="EQC1638" s="21"/>
      <c r="EQD1638" s="21"/>
      <c r="EQE1638" s="21"/>
      <c r="EQF1638" s="21"/>
      <c r="EQG1638" s="21"/>
      <c r="EQH1638" s="21"/>
      <c r="EQI1638" s="21"/>
      <c r="EQJ1638" s="21"/>
      <c r="EQK1638" s="21"/>
      <c r="EQL1638" s="21"/>
      <c r="EQM1638" s="21"/>
      <c r="EQN1638" s="21"/>
      <c r="EQO1638" s="21"/>
      <c r="EQP1638" s="21"/>
      <c r="EQQ1638" s="21"/>
      <c r="EQR1638" s="21"/>
      <c r="EQS1638" s="21"/>
      <c r="EQT1638" s="21"/>
      <c r="EQU1638" s="21"/>
      <c r="EQV1638" s="21"/>
      <c r="EQW1638" s="21"/>
      <c r="EQX1638" s="21"/>
      <c r="EQY1638" s="21"/>
      <c r="EQZ1638" s="21"/>
      <c r="ERA1638" s="21"/>
      <c r="ERB1638" s="21"/>
      <c r="ERC1638" s="21"/>
      <c r="ERD1638" s="21"/>
      <c r="ERE1638" s="21"/>
      <c r="ERF1638" s="21"/>
      <c r="ERG1638" s="21"/>
      <c r="ERH1638" s="21"/>
      <c r="ERI1638" s="21"/>
      <c r="ERJ1638" s="21"/>
      <c r="ERK1638" s="21"/>
      <c r="ERL1638" s="21"/>
      <c r="ERM1638" s="21"/>
      <c r="ERN1638" s="21"/>
      <c r="ERO1638" s="21"/>
      <c r="ERP1638" s="21"/>
      <c r="ERQ1638" s="21"/>
      <c r="ERR1638" s="21"/>
      <c r="ERS1638" s="21"/>
      <c r="ERT1638" s="21"/>
      <c r="ERU1638" s="21"/>
      <c r="ERV1638" s="21"/>
      <c r="ERW1638" s="21"/>
      <c r="ERX1638" s="21"/>
      <c r="ERY1638" s="21"/>
      <c r="ERZ1638" s="21"/>
      <c r="ESA1638" s="21"/>
      <c r="ESB1638" s="21"/>
      <c r="ESC1638" s="21"/>
      <c r="ESD1638" s="21"/>
      <c r="ESE1638" s="21"/>
      <c r="ESF1638" s="21"/>
      <c r="ESG1638" s="21"/>
      <c r="ESH1638" s="21"/>
      <c r="ESI1638" s="21"/>
      <c r="ESJ1638" s="21"/>
      <c r="ESK1638" s="21"/>
      <c r="ESL1638" s="21"/>
      <c r="ESM1638" s="21"/>
      <c r="ESN1638" s="21"/>
      <c r="ESO1638" s="21"/>
      <c r="ESP1638" s="21"/>
      <c r="ESQ1638" s="21"/>
      <c r="ESR1638" s="21"/>
      <c r="ESS1638" s="21"/>
      <c r="EST1638" s="21"/>
      <c r="ESU1638" s="21"/>
      <c r="ESV1638" s="21"/>
      <c r="ESW1638" s="21"/>
      <c r="ESX1638" s="21"/>
      <c r="ESY1638" s="21"/>
      <c r="ESZ1638" s="21"/>
      <c r="ETA1638" s="21"/>
      <c r="ETB1638" s="21"/>
      <c r="ETC1638" s="21"/>
      <c r="ETD1638" s="21"/>
      <c r="ETE1638" s="21"/>
      <c r="ETF1638" s="21"/>
      <c r="ETG1638" s="21"/>
      <c r="ETH1638" s="21"/>
      <c r="ETI1638" s="21"/>
      <c r="ETJ1638" s="21"/>
      <c r="ETK1638" s="21"/>
      <c r="ETL1638" s="21"/>
      <c r="ETM1638" s="21"/>
      <c r="ETN1638" s="21"/>
      <c r="ETO1638" s="21"/>
      <c r="ETP1638" s="21"/>
      <c r="ETQ1638" s="21"/>
      <c r="ETR1638" s="21"/>
      <c r="ETS1638" s="21"/>
      <c r="ETT1638" s="21"/>
      <c r="ETU1638" s="21"/>
      <c r="ETV1638" s="21"/>
      <c r="ETW1638" s="21"/>
      <c r="ETX1638" s="21"/>
      <c r="ETY1638" s="21"/>
      <c r="ETZ1638" s="21"/>
      <c r="EUA1638" s="21"/>
      <c r="EUB1638" s="21"/>
      <c r="EUC1638" s="21"/>
      <c r="EUD1638" s="21"/>
      <c r="EUE1638" s="21"/>
      <c r="EUF1638" s="21"/>
      <c r="EUG1638" s="21"/>
      <c r="EUH1638" s="21"/>
      <c r="EUI1638" s="21"/>
      <c r="EUJ1638" s="21"/>
      <c r="EUK1638" s="21"/>
      <c r="EUL1638" s="21"/>
      <c r="EUM1638" s="21"/>
      <c r="EUN1638" s="21"/>
      <c r="EUO1638" s="21"/>
      <c r="EUP1638" s="21"/>
      <c r="EUQ1638" s="21"/>
      <c r="EUR1638" s="21"/>
      <c r="EUS1638" s="21"/>
      <c r="EUT1638" s="21"/>
      <c r="EUU1638" s="21"/>
      <c r="EUV1638" s="21"/>
      <c r="EUW1638" s="21"/>
      <c r="EUX1638" s="21"/>
      <c r="EUY1638" s="21"/>
      <c r="EUZ1638" s="21"/>
      <c r="EVA1638" s="21"/>
      <c r="EVB1638" s="21"/>
      <c r="EVC1638" s="21"/>
      <c r="EVD1638" s="21"/>
      <c r="EVE1638" s="21"/>
      <c r="EVF1638" s="21"/>
      <c r="EVG1638" s="21"/>
      <c r="EVH1638" s="21"/>
      <c r="EVI1638" s="21"/>
      <c r="EVJ1638" s="21"/>
      <c r="EVK1638" s="21"/>
      <c r="EVL1638" s="21"/>
      <c r="EVM1638" s="21"/>
      <c r="EVN1638" s="21"/>
      <c r="EVO1638" s="21"/>
      <c r="EVP1638" s="21"/>
      <c r="EVQ1638" s="21"/>
      <c r="EVR1638" s="21"/>
      <c r="EVS1638" s="21"/>
      <c r="EVT1638" s="21"/>
      <c r="EVU1638" s="21"/>
      <c r="EVV1638" s="21"/>
      <c r="EVW1638" s="21"/>
      <c r="EVX1638" s="21"/>
      <c r="EVY1638" s="21"/>
      <c r="EVZ1638" s="21"/>
      <c r="EWA1638" s="21"/>
      <c r="EWB1638" s="21"/>
      <c r="EWC1638" s="21"/>
      <c r="EWD1638" s="21"/>
      <c r="EWE1638" s="21"/>
      <c r="EWF1638" s="21"/>
      <c r="EWG1638" s="21"/>
      <c r="EWH1638" s="21"/>
      <c r="EWI1638" s="21"/>
      <c r="EWJ1638" s="21"/>
      <c r="EWK1638" s="21"/>
      <c r="EWL1638" s="21"/>
      <c r="EWM1638" s="21"/>
      <c r="EWN1638" s="21"/>
      <c r="EWO1638" s="21"/>
      <c r="EWP1638" s="21"/>
      <c r="EWQ1638" s="21"/>
      <c r="EWR1638" s="21"/>
      <c r="EWS1638" s="21"/>
      <c r="EWT1638" s="21"/>
      <c r="EWU1638" s="21"/>
      <c r="EWV1638" s="21"/>
      <c r="EWW1638" s="21"/>
      <c r="EWX1638" s="21"/>
      <c r="EWY1638" s="21"/>
      <c r="EWZ1638" s="21"/>
      <c r="EXA1638" s="21"/>
      <c r="EXB1638" s="21"/>
      <c r="EXC1638" s="21"/>
      <c r="EXD1638" s="21"/>
      <c r="EXE1638" s="21"/>
      <c r="EXF1638" s="21"/>
      <c r="EXG1638" s="21"/>
      <c r="EXH1638" s="21"/>
      <c r="EXI1638" s="21"/>
      <c r="EXJ1638" s="21"/>
      <c r="EXK1638" s="21"/>
      <c r="EXL1638" s="21"/>
      <c r="EXM1638" s="21"/>
      <c r="EXN1638" s="21"/>
      <c r="EXO1638" s="21"/>
      <c r="EXP1638" s="21"/>
      <c r="EXQ1638" s="21"/>
      <c r="EXR1638" s="21"/>
      <c r="EXS1638" s="21"/>
      <c r="EXT1638" s="21"/>
      <c r="EXU1638" s="21"/>
      <c r="EXV1638" s="21"/>
      <c r="EXW1638" s="21"/>
      <c r="EXX1638" s="21"/>
      <c r="EXY1638" s="21"/>
      <c r="EXZ1638" s="21"/>
      <c r="EYA1638" s="21"/>
      <c r="EYB1638" s="21"/>
      <c r="EYC1638" s="21"/>
      <c r="EYD1638" s="21"/>
      <c r="EYE1638" s="21"/>
      <c r="EYF1638" s="21"/>
      <c r="EYG1638" s="21"/>
      <c r="EYH1638" s="21"/>
      <c r="EYI1638" s="21"/>
      <c r="EYJ1638" s="21"/>
      <c r="EYK1638" s="21"/>
      <c r="EYL1638" s="21"/>
      <c r="EYM1638" s="21"/>
      <c r="EYN1638" s="21"/>
      <c r="EYO1638" s="21"/>
      <c r="EYP1638" s="21"/>
      <c r="EYQ1638" s="21"/>
      <c r="EYR1638" s="21"/>
      <c r="EYS1638" s="21"/>
      <c r="EYT1638" s="21"/>
      <c r="EYU1638" s="21"/>
      <c r="EYV1638" s="21"/>
      <c r="EYW1638" s="21"/>
      <c r="EYX1638" s="21"/>
      <c r="EYY1638" s="21"/>
      <c r="EYZ1638" s="21"/>
      <c r="EZA1638" s="21"/>
      <c r="EZB1638" s="21"/>
      <c r="EZC1638" s="21"/>
      <c r="EZD1638" s="21"/>
      <c r="EZE1638" s="21"/>
      <c r="EZF1638" s="21"/>
      <c r="EZG1638" s="21"/>
      <c r="EZH1638" s="21"/>
      <c r="EZI1638" s="21"/>
      <c r="EZJ1638" s="21"/>
      <c r="EZK1638" s="21"/>
      <c r="EZL1638" s="21"/>
      <c r="EZM1638" s="21"/>
      <c r="EZN1638" s="21"/>
      <c r="EZO1638" s="21"/>
      <c r="EZP1638" s="21"/>
      <c r="EZQ1638" s="21"/>
      <c r="EZR1638" s="21"/>
      <c r="EZS1638" s="21"/>
      <c r="EZT1638" s="21"/>
      <c r="EZU1638" s="21"/>
      <c r="EZV1638" s="21"/>
      <c r="EZW1638" s="21"/>
      <c r="EZX1638" s="21"/>
      <c r="EZY1638" s="21"/>
      <c r="EZZ1638" s="21"/>
      <c r="FAA1638" s="21"/>
      <c r="FAB1638" s="21"/>
      <c r="FAC1638" s="21"/>
      <c r="FAD1638" s="21"/>
      <c r="FAE1638" s="21"/>
      <c r="FAF1638" s="21"/>
      <c r="FAG1638" s="21"/>
      <c r="FAH1638" s="21"/>
      <c r="FAI1638" s="21"/>
      <c r="FAJ1638" s="21"/>
      <c r="FAK1638" s="21"/>
      <c r="FAL1638" s="21"/>
      <c r="FAM1638" s="21"/>
      <c r="FAN1638" s="21"/>
      <c r="FAO1638" s="21"/>
      <c r="FAP1638" s="21"/>
      <c r="FAQ1638" s="21"/>
      <c r="FAR1638" s="21"/>
      <c r="FAS1638" s="21"/>
      <c r="FAT1638" s="21"/>
      <c r="FAU1638" s="21"/>
      <c r="FAV1638" s="21"/>
      <c r="FAW1638" s="21"/>
      <c r="FAX1638" s="21"/>
      <c r="FAY1638" s="21"/>
      <c r="FAZ1638" s="21"/>
      <c r="FBA1638" s="21"/>
      <c r="FBB1638" s="21"/>
      <c r="FBC1638" s="21"/>
      <c r="FBD1638" s="21"/>
      <c r="FBE1638" s="21"/>
      <c r="FBF1638" s="21"/>
      <c r="FBG1638" s="21"/>
      <c r="FBH1638" s="21"/>
      <c r="FBI1638" s="21"/>
      <c r="FBJ1638" s="21"/>
      <c r="FBK1638" s="21"/>
      <c r="FBL1638" s="21"/>
      <c r="FBM1638" s="21"/>
      <c r="FBN1638" s="21"/>
      <c r="FBO1638" s="21"/>
      <c r="FBP1638" s="21"/>
      <c r="FBQ1638" s="21"/>
      <c r="FBR1638" s="21"/>
      <c r="FBS1638" s="21"/>
      <c r="FBT1638" s="21"/>
      <c r="FBU1638" s="21"/>
      <c r="FBV1638" s="21"/>
      <c r="FBW1638" s="21"/>
      <c r="FBX1638" s="21"/>
      <c r="FBY1638" s="21"/>
      <c r="FBZ1638" s="21"/>
      <c r="FCA1638" s="21"/>
      <c r="FCB1638" s="21"/>
      <c r="FCC1638" s="21"/>
      <c r="FCD1638" s="21"/>
      <c r="FCE1638" s="21"/>
      <c r="FCF1638" s="21"/>
      <c r="FCG1638" s="21"/>
      <c r="FCH1638" s="21"/>
      <c r="FCI1638" s="21"/>
      <c r="FCJ1638" s="21"/>
      <c r="FCK1638" s="21"/>
      <c r="FCL1638" s="21"/>
      <c r="FCM1638" s="21"/>
      <c r="FCN1638" s="21"/>
      <c r="FCO1638" s="21"/>
      <c r="FCP1638" s="21"/>
      <c r="FCQ1638" s="21"/>
      <c r="FCR1638" s="21"/>
      <c r="FCS1638" s="21"/>
      <c r="FCT1638" s="21"/>
      <c r="FCU1638" s="21"/>
      <c r="FCV1638" s="21"/>
      <c r="FCW1638" s="21"/>
      <c r="FCX1638" s="21"/>
      <c r="FCY1638" s="21"/>
      <c r="FCZ1638" s="21"/>
      <c r="FDA1638" s="21"/>
      <c r="FDB1638" s="21"/>
      <c r="FDC1638" s="21"/>
      <c r="FDD1638" s="21"/>
      <c r="FDE1638" s="21"/>
      <c r="FDF1638" s="21"/>
      <c r="FDG1638" s="21"/>
      <c r="FDH1638" s="21"/>
      <c r="FDI1638" s="21"/>
      <c r="FDJ1638" s="21"/>
      <c r="FDK1638" s="21"/>
      <c r="FDL1638" s="21"/>
      <c r="FDM1638" s="21"/>
      <c r="FDN1638" s="21"/>
      <c r="FDO1638" s="21"/>
      <c r="FDP1638" s="21"/>
      <c r="FDQ1638" s="21"/>
      <c r="FDR1638" s="21"/>
      <c r="FDS1638" s="21"/>
      <c r="FDT1638" s="21"/>
      <c r="FDU1638" s="21"/>
      <c r="FDV1638" s="21"/>
      <c r="FDW1638" s="21"/>
      <c r="FDX1638" s="21"/>
      <c r="FDY1638" s="21"/>
      <c r="FDZ1638" s="21"/>
      <c r="FEA1638" s="21"/>
      <c r="FEB1638" s="21"/>
      <c r="FEC1638" s="21"/>
      <c r="FED1638" s="21"/>
      <c r="FEE1638" s="21"/>
      <c r="FEF1638" s="21"/>
      <c r="FEG1638" s="21"/>
      <c r="FEH1638" s="21"/>
      <c r="FEI1638" s="21"/>
      <c r="FEJ1638" s="21"/>
      <c r="FEK1638" s="21"/>
      <c r="FEL1638" s="21"/>
      <c r="FEM1638" s="21"/>
      <c r="FEN1638" s="21"/>
      <c r="FEO1638" s="21"/>
      <c r="FEP1638" s="21"/>
      <c r="FEQ1638" s="21"/>
      <c r="FER1638" s="21"/>
      <c r="FES1638" s="21"/>
      <c r="FET1638" s="21"/>
      <c r="FEU1638" s="21"/>
      <c r="FEV1638" s="21"/>
      <c r="FEW1638" s="21"/>
      <c r="FEX1638" s="21"/>
      <c r="FEY1638" s="21"/>
      <c r="FEZ1638" s="21"/>
      <c r="FFA1638" s="21"/>
      <c r="FFB1638" s="21"/>
      <c r="FFC1638" s="21"/>
      <c r="FFD1638" s="21"/>
      <c r="FFE1638" s="21"/>
      <c r="FFF1638" s="21"/>
      <c r="FFG1638" s="21"/>
      <c r="FFH1638" s="21"/>
      <c r="FFI1638" s="21"/>
      <c r="FFJ1638" s="21"/>
      <c r="FFK1638" s="21"/>
      <c r="FFL1638" s="21"/>
      <c r="FFM1638" s="21"/>
      <c r="FFN1638" s="21"/>
      <c r="FFO1638" s="21"/>
      <c r="FFP1638" s="21"/>
      <c r="FFQ1638" s="21"/>
      <c r="FFR1638" s="21"/>
      <c r="FFS1638" s="21"/>
      <c r="FFT1638" s="21"/>
      <c r="FFU1638" s="21"/>
      <c r="FFV1638" s="21"/>
      <c r="FFW1638" s="21"/>
      <c r="FFX1638" s="21"/>
      <c r="FFY1638" s="21"/>
      <c r="FFZ1638" s="21"/>
      <c r="FGA1638" s="21"/>
      <c r="FGB1638" s="21"/>
      <c r="FGC1638" s="21"/>
      <c r="FGD1638" s="21"/>
      <c r="FGE1638" s="21"/>
      <c r="FGF1638" s="21"/>
      <c r="FGG1638" s="21"/>
      <c r="FGH1638" s="21"/>
      <c r="FGI1638" s="21"/>
      <c r="FGJ1638" s="21"/>
      <c r="FGK1638" s="21"/>
      <c r="FGL1638" s="21"/>
      <c r="FGM1638" s="21"/>
      <c r="FGN1638" s="21"/>
      <c r="FGO1638" s="21"/>
      <c r="FGP1638" s="21"/>
      <c r="FGQ1638" s="21"/>
      <c r="FGR1638" s="21"/>
      <c r="FGS1638" s="21"/>
      <c r="FGT1638" s="21"/>
      <c r="FGU1638" s="21"/>
      <c r="FGV1638" s="21"/>
      <c r="FGW1638" s="21"/>
      <c r="FGX1638" s="21"/>
      <c r="FGY1638" s="21"/>
      <c r="FGZ1638" s="21"/>
      <c r="FHA1638" s="21"/>
      <c r="FHB1638" s="21"/>
      <c r="FHC1638" s="21"/>
      <c r="FHD1638" s="21"/>
      <c r="FHE1638" s="21"/>
      <c r="FHF1638" s="21"/>
      <c r="FHG1638" s="21"/>
      <c r="FHH1638" s="21"/>
      <c r="FHI1638" s="21"/>
      <c r="FHJ1638" s="21"/>
      <c r="FHK1638" s="21"/>
      <c r="FHL1638" s="21"/>
      <c r="FHM1638" s="21"/>
      <c r="FHN1638" s="21"/>
      <c r="FHO1638" s="21"/>
      <c r="FHP1638" s="21"/>
      <c r="FHQ1638" s="21"/>
      <c r="FHR1638" s="21"/>
      <c r="FHS1638" s="21"/>
      <c r="FHT1638" s="21"/>
      <c r="FHU1638" s="21"/>
      <c r="FHV1638" s="21"/>
      <c r="FHW1638" s="21"/>
      <c r="FHX1638" s="21"/>
      <c r="FHY1638" s="21"/>
      <c r="FHZ1638" s="21"/>
      <c r="FIA1638" s="21"/>
      <c r="FIB1638" s="21"/>
      <c r="FIC1638" s="21"/>
      <c r="FID1638" s="21"/>
      <c r="FIE1638" s="21"/>
      <c r="FIF1638" s="21"/>
      <c r="FIG1638" s="21"/>
      <c r="FIH1638" s="21"/>
      <c r="FII1638" s="21"/>
      <c r="FIJ1638" s="21"/>
      <c r="FIK1638" s="21"/>
      <c r="FIL1638" s="21"/>
      <c r="FIM1638" s="21"/>
      <c r="FIN1638" s="21"/>
      <c r="FIO1638" s="21"/>
      <c r="FIP1638" s="21"/>
      <c r="FIQ1638" s="21"/>
      <c r="FIR1638" s="21"/>
      <c r="FIS1638" s="21"/>
      <c r="FIT1638" s="21"/>
      <c r="FIU1638" s="21"/>
      <c r="FIV1638" s="21"/>
      <c r="FIW1638" s="21"/>
      <c r="FIX1638" s="21"/>
      <c r="FIY1638" s="21"/>
      <c r="FIZ1638" s="21"/>
      <c r="FJA1638" s="21"/>
      <c r="FJB1638" s="21"/>
      <c r="FJC1638" s="21"/>
      <c r="FJD1638" s="21"/>
      <c r="FJE1638" s="21"/>
      <c r="FJF1638" s="21"/>
      <c r="FJG1638" s="21"/>
      <c r="FJH1638" s="21"/>
      <c r="FJI1638" s="21"/>
      <c r="FJJ1638" s="21"/>
      <c r="FJK1638" s="21"/>
      <c r="FJL1638" s="21"/>
      <c r="FJM1638" s="21"/>
      <c r="FJN1638" s="21"/>
      <c r="FJO1638" s="21"/>
      <c r="FJP1638" s="21"/>
      <c r="FJQ1638" s="21"/>
      <c r="FJR1638" s="21"/>
      <c r="FJS1638" s="21"/>
      <c r="FJT1638" s="21"/>
      <c r="FJU1638" s="21"/>
      <c r="FJV1638" s="21"/>
      <c r="FJW1638" s="21"/>
      <c r="FJX1638" s="21"/>
      <c r="FJY1638" s="21"/>
      <c r="FJZ1638" s="21"/>
      <c r="FKA1638" s="21"/>
      <c r="FKB1638" s="21"/>
      <c r="FKC1638" s="21"/>
      <c r="FKD1638" s="21"/>
      <c r="FKE1638" s="21"/>
      <c r="FKF1638" s="21"/>
      <c r="FKG1638" s="21"/>
      <c r="FKH1638" s="21"/>
      <c r="FKI1638" s="21"/>
      <c r="FKJ1638" s="21"/>
      <c r="FKK1638" s="21"/>
      <c r="FKL1638" s="21"/>
      <c r="FKM1638" s="21"/>
      <c r="FKN1638" s="21"/>
      <c r="FKO1638" s="21"/>
      <c r="FKP1638" s="21"/>
      <c r="FKQ1638" s="21"/>
      <c r="FKR1638" s="21"/>
      <c r="FKS1638" s="21"/>
      <c r="FKT1638" s="21"/>
      <c r="FKU1638" s="21"/>
      <c r="FKV1638" s="21"/>
      <c r="FKW1638" s="21"/>
      <c r="FKX1638" s="21"/>
      <c r="FKY1638" s="21"/>
      <c r="FKZ1638" s="21"/>
      <c r="FLA1638" s="21"/>
      <c r="FLB1638" s="21"/>
      <c r="FLC1638" s="21"/>
      <c r="FLD1638" s="21"/>
      <c r="FLE1638" s="21"/>
      <c r="FLF1638" s="21"/>
      <c r="FLG1638" s="21"/>
      <c r="FLH1638" s="21"/>
      <c r="FLI1638" s="21"/>
      <c r="FLJ1638" s="21"/>
      <c r="FLK1638" s="21"/>
      <c r="FLL1638" s="21"/>
      <c r="FLM1638" s="21"/>
      <c r="FLN1638" s="21"/>
      <c r="FLO1638" s="21"/>
      <c r="FLP1638" s="21"/>
      <c r="FLQ1638" s="21"/>
      <c r="FLR1638" s="21"/>
      <c r="FLS1638" s="21"/>
      <c r="FLT1638" s="21"/>
      <c r="FLU1638" s="21"/>
      <c r="FLV1638" s="21"/>
      <c r="FLW1638" s="21"/>
      <c r="FLX1638" s="21"/>
      <c r="FLY1638" s="21"/>
      <c r="FLZ1638" s="21"/>
      <c r="FMA1638" s="21"/>
      <c r="FMB1638" s="21"/>
      <c r="FMC1638" s="21"/>
      <c r="FMD1638" s="21"/>
      <c r="FME1638" s="21"/>
      <c r="FMF1638" s="21"/>
      <c r="FMG1638" s="21"/>
      <c r="FMH1638" s="21"/>
      <c r="FMI1638" s="21"/>
      <c r="FMJ1638" s="21"/>
      <c r="FMK1638" s="21"/>
      <c r="FML1638" s="21"/>
      <c r="FMM1638" s="21"/>
      <c r="FMN1638" s="21"/>
      <c r="FMO1638" s="21"/>
      <c r="FMP1638" s="21"/>
      <c r="FMQ1638" s="21"/>
      <c r="FMR1638" s="21"/>
      <c r="FMS1638" s="21"/>
      <c r="FMT1638" s="21"/>
      <c r="FMU1638" s="21"/>
      <c r="FMV1638" s="21"/>
      <c r="FMW1638" s="21"/>
      <c r="FMX1638" s="21"/>
      <c r="FMY1638" s="21"/>
      <c r="FMZ1638" s="21"/>
      <c r="FNA1638" s="21"/>
      <c r="FNB1638" s="21"/>
      <c r="FNC1638" s="21"/>
      <c r="FND1638" s="21"/>
      <c r="FNE1638" s="21"/>
      <c r="FNF1638" s="21"/>
      <c r="FNG1638" s="21"/>
      <c r="FNH1638" s="21"/>
      <c r="FNI1638" s="21"/>
      <c r="FNJ1638" s="21"/>
      <c r="FNK1638" s="21"/>
      <c r="FNL1638" s="21"/>
      <c r="FNM1638" s="21"/>
      <c r="FNN1638" s="21"/>
      <c r="FNO1638" s="21"/>
      <c r="FNP1638" s="21"/>
      <c r="FNQ1638" s="21"/>
      <c r="FNR1638" s="21"/>
      <c r="FNS1638" s="21"/>
      <c r="FNT1638" s="21"/>
      <c r="FNU1638" s="21"/>
      <c r="FNV1638" s="21"/>
      <c r="FNW1638" s="21"/>
      <c r="FNX1638" s="21"/>
      <c r="FNY1638" s="21"/>
      <c r="FNZ1638" s="21"/>
      <c r="FOA1638" s="21"/>
      <c r="FOB1638" s="21"/>
      <c r="FOC1638" s="21"/>
      <c r="FOD1638" s="21"/>
      <c r="FOE1638" s="21"/>
      <c r="FOF1638" s="21"/>
      <c r="FOG1638" s="21"/>
      <c r="FOH1638" s="21"/>
      <c r="FOI1638" s="21"/>
      <c r="FOJ1638" s="21"/>
      <c r="FOK1638" s="21"/>
      <c r="FOL1638" s="21"/>
      <c r="FOM1638" s="21"/>
      <c r="FON1638" s="21"/>
      <c r="FOO1638" s="21"/>
      <c r="FOP1638" s="21"/>
      <c r="FOQ1638" s="21"/>
      <c r="FOR1638" s="21"/>
      <c r="FOS1638" s="21"/>
      <c r="FOT1638" s="21"/>
      <c r="FOU1638" s="21"/>
      <c r="FOV1638" s="21"/>
      <c r="FOW1638" s="21"/>
      <c r="FOX1638" s="21"/>
      <c r="FOY1638" s="21"/>
      <c r="FOZ1638" s="21"/>
      <c r="FPA1638" s="21"/>
      <c r="FPB1638" s="21"/>
      <c r="FPC1638" s="21"/>
      <c r="FPD1638" s="21"/>
      <c r="FPE1638" s="21"/>
      <c r="FPF1638" s="21"/>
      <c r="FPG1638" s="21"/>
      <c r="FPH1638" s="21"/>
      <c r="FPI1638" s="21"/>
      <c r="FPJ1638" s="21"/>
      <c r="FPK1638" s="21"/>
      <c r="FPL1638" s="21"/>
      <c r="FPM1638" s="21"/>
      <c r="FPN1638" s="21"/>
      <c r="FPO1638" s="21"/>
      <c r="FPP1638" s="21"/>
      <c r="FPQ1638" s="21"/>
      <c r="FPR1638" s="21"/>
      <c r="FPS1638" s="21"/>
      <c r="FPT1638" s="21"/>
      <c r="FPU1638" s="21"/>
      <c r="FPV1638" s="21"/>
      <c r="FPW1638" s="21"/>
      <c r="FPX1638" s="21"/>
      <c r="FPY1638" s="21"/>
      <c r="FPZ1638" s="21"/>
      <c r="FQA1638" s="21"/>
      <c r="FQB1638" s="21"/>
      <c r="FQC1638" s="21"/>
      <c r="FQD1638" s="21"/>
      <c r="FQE1638" s="21"/>
      <c r="FQF1638" s="21"/>
      <c r="FQG1638" s="21"/>
      <c r="FQH1638" s="21"/>
      <c r="FQI1638" s="21"/>
      <c r="FQJ1638" s="21"/>
      <c r="FQK1638" s="21"/>
      <c r="FQL1638" s="21"/>
      <c r="FQM1638" s="21"/>
      <c r="FQN1638" s="21"/>
      <c r="FQO1638" s="21"/>
      <c r="FQP1638" s="21"/>
      <c r="FQQ1638" s="21"/>
      <c r="FQR1638" s="21"/>
      <c r="FQS1638" s="21"/>
      <c r="FQT1638" s="21"/>
      <c r="FQU1638" s="21"/>
      <c r="FQV1638" s="21"/>
      <c r="FQW1638" s="21"/>
      <c r="FQX1638" s="21"/>
      <c r="FQY1638" s="21"/>
      <c r="FQZ1638" s="21"/>
      <c r="FRA1638" s="21"/>
      <c r="FRB1638" s="21"/>
      <c r="FRC1638" s="21"/>
      <c r="FRD1638" s="21"/>
      <c r="FRE1638" s="21"/>
      <c r="FRF1638" s="21"/>
      <c r="FRG1638" s="21"/>
      <c r="FRH1638" s="21"/>
      <c r="FRI1638" s="21"/>
      <c r="FRJ1638" s="21"/>
      <c r="FRK1638" s="21"/>
      <c r="FRL1638" s="21"/>
      <c r="FRM1638" s="21"/>
      <c r="FRN1638" s="21"/>
      <c r="FRO1638" s="21"/>
      <c r="FRP1638" s="21"/>
      <c r="FRQ1638" s="21"/>
      <c r="FRR1638" s="21"/>
      <c r="FRS1638" s="21"/>
      <c r="FRT1638" s="21"/>
      <c r="FRU1638" s="21"/>
      <c r="FRV1638" s="21"/>
      <c r="FRW1638" s="21"/>
      <c r="FRX1638" s="21"/>
      <c r="FRY1638" s="21"/>
      <c r="FRZ1638" s="21"/>
      <c r="FSA1638" s="21"/>
      <c r="FSB1638" s="21"/>
      <c r="FSC1638" s="21"/>
      <c r="FSD1638" s="21"/>
      <c r="FSE1638" s="21"/>
      <c r="FSF1638" s="21"/>
      <c r="FSG1638" s="21"/>
      <c r="FSH1638" s="21"/>
      <c r="FSI1638" s="21"/>
      <c r="FSJ1638" s="21"/>
      <c r="FSK1638" s="21"/>
      <c r="FSL1638" s="21"/>
      <c r="FSM1638" s="21"/>
      <c r="FSN1638" s="21"/>
      <c r="FSO1638" s="21"/>
      <c r="FSP1638" s="21"/>
      <c r="FSQ1638" s="21"/>
      <c r="FSR1638" s="21"/>
      <c r="FSS1638" s="21"/>
      <c r="FST1638" s="21"/>
      <c r="FSU1638" s="21"/>
      <c r="FSV1638" s="21"/>
      <c r="FSW1638" s="21"/>
      <c r="FSX1638" s="21"/>
      <c r="FSY1638" s="21"/>
      <c r="FSZ1638" s="21"/>
      <c r="FTA1638" s="21"/>
      <c r="FTB1638" s="21"/>
      <c r="FTC1638" s="21"/>
      <c r="FTD1638" s="21"/>
      <c r="FTE1638" s="21"/>
      <c r="FTF1638" s="21"/>
      <c r="FTG1638" s="21"/>
      <c r="FTH1638" s="21"/>
      <c r="FTI1638" s="21"/>
      <c r="FTJ1638" s="21"/>
      <c r="FTK1638" s="21"/>
      <c r="FTL1638" s="21"/>
      <c r="FTM1638" s="21"/>
      <c r="FTN1638" s="21"/>
      <c r="FTO1638" s="21"/>
      <c r="FTP1638" s="21"/>
      <c r="FTQ1638" s="21"/>
      <c r="FTR1638" s="21"/>
      <c r="FTS1638" s="21"/>
      <c r="FTT1638" s="21"/>
      <c r="FTU1638" s="21"/>
      <c r="FTV1638" s="21"/>
      <c r="FTW1638" s="21"/>
      <c r="FTX1638" s="21"/>
      <c r="FTY1638" s="21"/>
      <c r="FTZ1638" s="21"/>
      <c r="FUA1638" s="21"/>
      <c r="FUB1638" s="21"/>
      <c r="FUC1638" s="21"/>
      <c r="FUD1638" s="21"/>
      <c r="FUE1638" s="21"/>
      <c r="FUF1638" s="21"/>
      <c r="FUG1638" s="21"/>
      <c r="FUH1638" s="21"/>
      <c r="FUI1638" s="21"/>
      <c r="FUJ1638" s="21"/>
      <c r="FUK1638" s="21"/>
      <c r="FUL1638" s="21"/>
      <c r="FUM1638" s="21"/>
      <c r="FUN1638" s="21"/>
      <c r="FUO1638" s="21"/>
      <c r="FUP1638" s="21"/>
      <c r="FUQ1638" s="21"/>
      <c r="FUR1638" s="21"/>
      <c r="FUS1638" s="21"/>
      <c r="FUT1638" s="21"/>
      <c r="FUU1638" s="21"/>
      <c r="FUV1638" s="21"/>
      <c r="FUW1638" s="21"/>
      <c r="FUX1638" s="21"/>
      <c r="FUY1638" s="21"/>
      <c r="FUZ1638" s="21"/>
      <c r="FVA1638" s="21"/>
      <c r="FVB1638" s="21"/>
      <c r="FVC1638" s="21"/>
      <c r="FVD1638" s="21"/>
      <c r="FVE1638" s="21"/>
      <c r="FVF1638" s="21"/>
      <c r="FVG1638" s="21"/>
      <c r="FVH1638" s="21"/>
      <c r="FVI1638" s="21"/>
      <c r="FVJ1638" s="21"/>
      <c r="FVK1638" s="21"/>
      <c r="FVL1638" s="21"/>
      <c r="FVM1638" s="21"/>
      <c r="FVN1638" s="21"/>
      <c r="FVO1638" s="21"/>
      <c r="FVP1638" s="21"/>
      <c r="FVQ1638" s="21"/>
      <c r="FVR1638" s="21"/>
      <c r="FVS1638" s="21"/>
      <c r="FVT1638" s="21"/>
      <c r="FVU1638" s="21"/>
      <c r="FVV1638" s="21"/>
      <c r="FVW1638" s="21"/>
      <c r="FVX1638" s="21"/>
      <c r="FVY1638" s="21"/>
      <c r="FVZ1638" s="21"/>
      <c r="FWA1638" s="21"/>
      <c r="FWB1638" s="21"/>
      <c r="FWC1638" s="21"/>
      <c r="FWD1638" s="21"/>
      <c r="FWE1638" s="21"/>
      <c r="FWF1638" s="21"/>
      <c r="FWG1638" s="21"/>
      <c r="FWH1638" s="21"/>
      <c r="FWI1638" s="21"/>
      <c r="FWJ1638" s="21"/>
      <c r="FWK1638" s="21"/>
      <c r="FWL1638" s="21"/>
      <c r="FWM1638" s="21"/>
      <c r="FWN1638" s="21"/>
      <c r="FWO1638" s="21"/>
      <c r="FWP1638" s="21"/>
      <c r="FWQ1638" s="21"/>
      <c r="FWR1638" s="21"/>
      <c r="FWS1638" s="21"/>
      <c r="FWT1638" s="21"/>
      <c r="FWU1638" s="21"/>
      <c r="FWV1638" s="21"/>
      <c r="FWW1638" s="21"/>
      <c r="FWX1638" s="21"/>
      <c r="FWY1638" s="21"/>
      <c r="FWZ1638" s="21"/>
      <c r="FXA1638" s="21"/>
      <c r="FXB1638" s="21"/>
      <c r="FXC1638" s="21"/>
      <c r="FXD1638" s="21"/>
      <c r="FXE1638" s="21"/>
      <c r="FXF1638" s="21"/>
      <c r="FXG1638" s="21"/>
      <c r="FXH1638" s="21"/>
      <c r="FXI1638" s="21"/>
      <c r="FXJ1638" s="21"/>
      <c r="FXK1638" s="21"/>
      <c r="FXL1638" s="21"/>
      <c r="FXM1638" s="21"/>
      <c r="FXN1638" s="21"/>
      <c r="FXO1638" s="21"/>
      <c r="FXP1638" s="21"/>
      <c r="FXQ1638" s="21"/>
      <c r="FXR1638" s="21"/>
      <c r="FXS1638" s="21"/>
      <c r="FXT1638" s="21"/>
      <c r="FXU1638" s="21"/>
      <c r="FXV1638" s="21"/>
      <c r="FXW1638" s="21"/>
      <c r="FXX1638" s="21"/>
      <c r="FXY1638" s="21"/>
      <c r="FXZ1638" s="21"/>
      <c r="FYA1638" s="21"/>
      <c r="FYB1638" s="21"/>
      <c r="FYC1638" s="21"/>
      <c r="FYD1638" s="21"/>
      <c r="FYE1638" s="21"/>
      <c r="FYF1638" s="21"/>
      <c r="FYG1638" s="21"/>
      <c r="FYH1638" s="21"/>
      <c r="FYI1638" s="21"/>
      <c r="FYJ1638" s="21"/>
      <c r="FYK1638" s="21"/>
      <c r="FYL1638" s="21"/>
      <c r="FYM1638" s="21"/>
      <c r="FYN1638" s="21"/>
      <c r="FYO1638" s="21"/>
      <c r="FYP1638" s="21"/>
      <c r="FYQ1638" s="21"/>
      <c r="FYR1638" s="21"/>
      <c r="FYS1638" s="21"/>
      <c r="FYT1638" s="21"/>
      <c r="FYU1638" s="21"/>
      <c r="FYV1638" s="21"/>
      <c r="FYW1638" s="21"/>
      <c r="FYX1638" s="21"/>
      <c r="FYY1638" s="21"/>
      <c r="FYZ1638" s="21"/>
      <c r="FZA1638" s="21"/>
      <c r="FZB1638" s="21"/>
      <c r="FZC1638" s="21"/>
      <c r="FZD1638" s="21"/>
      <c r="FZE1638" s="21"/>
      <c r="FZF1638" s="21"/>
      <c r="FZG1638" s="21"/>
      <c r="FZH1638" s="21"/>
      <c r="FZI1638" s="21"/>
      <c r="FZJ1638" s="21"/>
      <c r="FZK1638" s="21"/>
      <c r="FZL1638" s="21"/>
      <c r="FZM1638" s="21"/>
      <c r="FZN1638" s="21"/>
      <c r="FZO1638" s="21"/>
      <c r="FZP1638" s="21"/>
      <c r="FZQ1638" s="21"/>
      <c r="FZR1638" s="21"/>
      <c r="FZS1638" s="21"/>
      <c r="FZT1638" s="21"/>
      <c r="FZU1638" s="21"/>
      <c r="FZV1638" s="21"/>
      <c r="FZW1638" s="21"/>
      <c r="FZX1638" s="21"/>
      <c r="FZY1638" s="21"/>
      <c r="FZZ1638" s="21"/>
      <c r="GAA1638" s="21"/>
      <c r="GAB1638" s="21"/>
      <c r="GAC1638" s="21"/>
      <c r="GAD1638" s="21"/>
      <c r="GAE1638" s="21"/>
      <c r="GAF1638" s="21"/>
      <c r="GAG1638" s="21"/>
      <c r="GAH1638" s="21"/>
      <c r="GAI1638" s="21"/>
      <c r="GAJ1638" s="21"/>
      <c r="GAK1638" s="21"/>
      <c r="GAL1638" s="21"/>
      <c r="GAM1638" s="21"/>
      <c r="GAN1638" s="21"/>
      <c r="GAO1638" s="21"/>
      <c r="GAP1638" s="21"/>
      <c r="GAQ1638" s="21"/>
      <c r="GAR1638" s="21"/>
      <c r="GAS1638" s="21"/>
      <c r="GAT1638" s="21"/>
      <c r="GAU1638" s="21"/>
      <c r="GAV1638" s="21"/>
      <c r="GAW1638" s="21"/>
      <c r="GAX1638" s="21"/>
      <c r="GAY1638" s="21"/>
      <c r="GAZ1638" s="21"/>
      <c r="GBA1638" s="21"/>
      <c r="GBB1638" s="21"/>
      <c r="GBC1638" s="21"/>
      <c r="GBD1638" s="21"/>
      <c r="GBE1638" s="21"/>
      <c r="GBF1638" s="21"/>
      <c r="GBG1638" s="21"/>
      <c r="GBH1638" s="21"/>
      <c r="GBI1638" s="21"/>
      <c r="GBJ1638" s="21"/>
      <c r="GBK1638" s="21"/>
      <c r="GBL1638" s="21"/>
      <c r="GBM1638" s="21"/>
      <c r="GBN1638" s="21"/>
      <c r="GBO1638" s="21"/>
      <c r="GBP1638" s="21"/>
      <c r="GBQ1638" s="21"/>
      <c r="GBR1638" s="21"/>
      <c r="GBS1638" s="21"/>
      <c r="GBT1638" s="21"/>
      <c r="GBU1638" s="21"/>
      <c r="GBV1638" s="21"/>
      <c r="GBW1638" s="21"/>
      <c r="GBX1638" s="21"/>
      <c r="GBY1638" s="21"/>
      <c r="GBZ1638" s="21"/>
      <c r="GCA1638" s="21"/>
      <c r="GCB1638" s="21"/>
      <c r="GCC1638" s="21"/>
      <c r="GCD1638" s="21"/>
      <c r="GCE1638" s="21"/>
      <c r="GCF1638" s="21"/>
      <c r="GCG1638" s="21"/>
      <c r="GCH1638" s="21"/>
      <c r="GCI1638" s="21"/>
      <c r="GCJ1638" s="21"/>
      <c r="GCK1638" s="21"/>
      <c r="GCL1638" s="21"/>
      <c r="GCM1638" s="21"/>
      <c r="GCN1638" s="21"/>
      <c r="GCO1638" s="21"/>
      <c r="GCP1638" s="21"/>
      <c r="GCQ1638" s="21"/>
      <c r="GCR1638" s="21"/>
      <c r="GCS1638" s="21"/>
      <c r="GCT1638" s="21"/>
      <c r="GCU1638" s="21"/>
      <c r="GCV1638" s="21"/>
      <c r="GCW1638" s="21"/>
      <c r="GCX1638" s="21"/>
      <c r="GCY1638" s="21"/>
      <c r="GCZ1638" s="21"/>
      <c r="GDA1638" s="21"/>
      <c r="GDB1638" s="21"/>
      <c r="GDC1638" s="21"/>
      <c r="GDD1638" s="21"/>
      <c r="GDE1638" s="21"/>
      <c r="GDF1638" s="21"/>
      <c r="GDG1638" s="21"/>
      <c r="GDH1638" s="21"/>
      <c r="GDI1638" s="21"/>
      <c r="GDJ1638" s="21"/>
      <c r="GDK1638" s="21"/>
      <c r="GDL1638" s="21"/>
      <c r="GDM1638" s="21"/>
      <c r="GDN1638" s="21"/>
      <c r="GDO1638" s="21"/>
      <c r="GDP1638" s="21"/>
      <c r="GDQ1638" s="21"/>
      <c r="GDR1638" s="21"/>
      <c r="GDS1638" s="21"/>
      <c r="GDT1638" s="21"/>
      <c r="GDU1638" s="21"/>
      <c r="GDV1638" s="21"/>
      <c r="GDW1638" s="21"/>
      <c r="GDX1638" s="21"/>
      <c r="GDY1638" s="21"/>
      <c r="GDZ1638" s="21"/>
      <c r="GEA1638" s="21"/>
      <c r="GEB1638" s="21"/>
      <c r="GEC1638" s="21"/>
      <c r="GED1638" s="21"/>
      <c r="GEE1638" s="21"/>
      <c r="GEF1638" s="21"/>
      <c r="GEG1638" s="21"/>
      <c r="GEH1638" s="21"/>
      <c r="GEI1638" s="21"/>
      <c r="GEJ1638" s="21"/>
      <c r="GEK1638" s="21"/>
      <c r="GEL1638" s="21"/>
      <c r="GEM1638" s="21"/>
      <c r="GEN1638" s="21"/>
      <c r="GEO1638" s="21"/>
      <c r="GEP1638" s="21"/>
      <c r="GEQ1638" s="21"/>
      <c r="GER1638" s="21"/>
      <c r="GES1638" s="21"/>
      <c r="GET1638" s="21"/>
      <c r="GEU1638" s="21"/>
      <c r="GEV1638" s="21"/>
      <c r="GEW1638" s="21"/>
      <c r="GEX1638" s="21"/>
      <c r="GEY1638" s="21"/>
      <c r="GEZ1638" s="21"/>
      <c r="GFA1638" s="21"/>
      <c r="GFB1638" s="21"/>
      <c r="GFC1638" s="21"/>
      <c r="GFD1638" s="21"/>
      <c r="GFE1638" s="21"/>
      <c r="GFF1638" s="21"/>
      <c r="GFG1638" s="21"/>
      <c r="GFH1638" s="21"/>
      <c r="GFI1638" s="21"/>
      <c r="GFJ1638" s="21"/>
      <c r="GFK1638" s="21"/>
      <c r="GFL1638" s="21"/>
      <c r="GFM1638" s="21"/>
      <c r="GFN1638" s="21"/>
      <c r="GFO1638" s="21"/>
      <c r="GFP1638" s="21"/>
      <c r="GFQ1638" s="21"/>
      <c r="GFR1638" s="21"/>
      <c r="GFS1638" s="21"/>
      <c r="GFT1638" s="21"/>
      <c r="GFU1638" s="21"/>
      <c r="GFV1638" s="21"/>
      <c r="GFW1638" s="21"/>
      <c r="GFX1638" s="21"/>
      <c r="GFY1638" s="21"/>
      <c r="GFZ1638" s="21"/>
      <c r="GGA1638" s="21"/>
      <c r="GGB1638" s="21"/>
      <c r="GGC1638" s="21"/>
      <c r="GGD1638" s="21"/>
      <c r="GGE1638" s="21"/>
      <c r="GGF1638" s="21"/>
      <c r="GGG1638" s="21"/>
      <c r="GGH1638" s="21"/>
      <c r="GGI1638" s="21"/>
      <c r="GGJ1638" s="21"/>
      <c r="GGK1638" s="21"/>
      <c r="GGL1638" s="21"/>
      <c r="GGM1638" s="21"/>
      <c r="GGN1638" s="21"/>
      <c r="GGO1638" s="21"/>
      <c r="GGP1638" s="21"/>
      <c r="GGQ1638" s="21"/>
      <c r="GGR1638" s="21"/>
      <c r="GGS1638" s="21"/>
      <c r="GGT1638" s="21"/>
      <c r="GGU1638" s="21"/>
      <c r="GGV1638" s="21"/>
      <c r="GGW1638" s="21"/>
      <c r="GGX1638" s="21"/>
      <c r="GGY1638" s="21"/>
      <c r="GGZ1638" s="21"/>
      <c r="GHA1638" s="21"/>
      <c r="GHB1638" s="21"/>
      <c r="GHC1638" s="21"/>
      <c r="GHD1638" s="21"/>
      <c r="GHE1638" s="21"/>
      <c r="GHF1638" s="21"/>
      <c r="GHG1638" s="21"/>
      <c r="GHH1638" s="21"/>
      <c r="GHI1638" s="21"/>
      <c r="GHJ1638" s="21"/>
      <c r="GHK1638" s="21"/>
      <c r="GHL1638" s="21"/>
      <c r="GHM1638" s="21"/>
      <c r="GHN1638" s="21"/>
      <c r="GHO1638" s="21"/>
      <c r="GHP1638" s="21"/>
      <c r="GHQ1638" s="21"/>
      <c r="GHR1638" s="21"/>
      <c r="GHS1638" s="21"/>
      <c r="GHT1638" s="21"/>
      <c r="GHU1638" s="21"/>
      <c r="GHV1638" s="21"/>
      <c r="GHW1638" s="21"/>
      <c r="GHX1638" s="21"/>
      <c r="GHY1638" s="21"/>
      <c r="GHZ1638" s="21"/>
      <c r="GIA1638" s="21"/>
      <c r="GIB1638" s="21"/>
      <c r="GIC1638" s="21"/>
      <c r="GID1638" s="21"/>
      <c r="GIE1638" s="21"/>
      <c r="GIF1638" s="21"/>
      <c r="GIG1638" s="21"/>
      <c r="GIH1638" s="21"/>
      <c r="GII1638" s="21"/>
      <c r="GIJ1638" s="21"/>
      <c r="GIK1638" s="21"/>
      <c r="GIL1638" s="21"/>
      <c r="GIM1638" s="21"/>
      <c r="GIN1638" s="21"/>
      <c r="GIO1638" s="21"/>
      <c r="GIP1638" s="21"/>
      <c r="GIQ1638" s="21"/>
      <c r="GIR1638" s="21"/>
      <c r="GIS1638" s="21"/>
      <c r="GIT1638" s="21"/>
      <c r="GIU1638" s="21"/>
      <c r="GIV1638" s="21"/>
      <c r="GIW1638" s="21"/>
      <c r="GIX1638" s="21"/>
      <c r="GIY1638" s="21"/>
      <c r="GIZ1638" s="21"/>
      <c r="GJA1638" s="21"/>
      <c r="GJB1638" s="21"/>
      <c r="GJC1638" s="21"/>
      <c r="GJD1638" s="21"/>
      <c r="GJE1638" s="21"/>
      <c r="GJF1638" s="21"/>
      <c r="GJG1638" s="21"/>
      <c r="GJH1638" s="21"/>
      <c r="GJI1638" s="21"/>
      <c r="GJJ1638" s="21"/>
      <c r="GJK1638" s="21"/>
      <c r="GJL1638" s="21"/>
      <c r="GJM1638" s="21"/>
      <c r="GJN1638" s="21"/>
      <c r="GJO1638" s="21"/>
      <c r="GJP1638" s="21"/>
      <c r="GJQ1638" s="21"/>
      <c r="GJR1638" s="21"/>
      <c r="GJS1638" s="21"/>
      <c r="GJT1638" s="21"/>
      <c r="GJU1638" s="21"/>
      <c r="GJV1638" s="21"/>
      <c r="GJW1638" s="21"/>
      <c r="GJX1638" s="21"/>
      <c r="GJY1638" s="21"/>
      <c r="GJZ1638" s="21"/>
      <c r="GKA1638" s="21"/>
      <c r="GKB1638" s="21"/>
      <c r="GKC1638" s="21"/>
      <c r="GKD1638" s="21"/>
      <c r="GKE1638" s="21"/>
      <c r="GKF1638" s="21"/>
      <c r="GKG1638" s="21"/>
      <c r="GKH1638" s="21"/>
      <c r="GKI1638" s="21"/>
      <c r="GKJ1638" s="21"/>
      <c r="GKK1638" s="21"/>
      <c r="GKL1638" s="21"/>
      <c r="GKM1638" s="21"/>
      <c r="GKN1638" s="21"/>
      <c r="GKO1638" s="21"/>
      <c r="GKP1638" s="21"/>
      <c r="GKQ1638" s="21"/>
      <c r="GKR1638" s="21"/>
      <c r="GKS1638" s="21"/>
      <c r="GKT1638" s="21"/>
      <c r="GKU1638" s="21"/>
      <c r="GKV1638" s="21"/>
      <c r="GKW1638" s="21"/>
      <c r="GKX1638" s="21"/>
      <c r="GKY1638" s="21"/>
      <c r="GKZ1638" s="21"/>
      <c r="GLA1638" s="21"/>
      <c r="GLB1638" s="21"/>
      <c r="GLC1638" s="21"/>
      <c r="GLD1638" s="21"/>
      <c r="GLE1638" s="21"/>
      <c r="GLF1638" s="21"/>
      <c r="GLG1638" s="21"/>
      <c r="GLH1638" s="21"/>
      <c r="GLI1638" s="21"/>
      <c r="GLJ1638" s="21"/>
      <c r="GLK1638" s="21"/>
      <c r="GLL1638" s="21"/>
      <c r="GLM1638" s="21"/>
      <c r="GLN1638" s="21"/>
      <c r="GLO1638" s="21"/>
      <c r="GLP1638" s="21"/>
      <c r="GLQ1638" s="21"/>
      <c r="GLR1638" s="21"/>
      <c r="GLS1638" s="21"/>
      <c r="GLT1638" s="21"/>
      <c r="GLU1638" s="21"/>
      <c r="GLV1638" s="21"/>
      <c r="GLW1638" s="21"/>
      <c r="GLX1638" s="21"/>
      <c r="GLY1638" s="21"/>
      <c r="GLZ1638" s="21"/>
      <c r="GMA1638" s="21"/>
      <c r="GMB1638" s="21"/>
      <c r="GMC1638" s="21"/>
      <c r="GMD1638" s="21"/>
      <c r="GME1638" s="21"/>
      <c r="GMF1638" s="21"/>
      <c r="GMG1638" s="21"/>
      <c r="GMH1638" s="21"/>
      <c r="GMI1638" s="21"/>
      <c r="GMJ1638" s="21"/>
      <c r="GMK1638" s="21"/>
      <c r="GML1638" s="21"/>
      <c r="GMM1638" s="21"/>
      <c r="GMN1638" s="21"/>
      <c r="GMO1638" s="21"/>
      <c r="GMP1638" s="21"/>
      <c r="GMQ1638" s="21"/>
      <c r="GMR1638" s="21"/>
      <c r="GMS1638" s="21"/>
      <c r="GMT1638" s="21"/>
      <c r="GMU1638" s="21"/>
      <c r="GMV1638" s="21"/>
      <c r="GMW1638" s="21"/>
      <c r="GMX1638" s="21"/>
      <c r="GMY1638" s="21"/>
      <c r="GMZ1638" s="21"/>
      <c r="GNA1638" s="21"/>
      <c r="GNB1638" s="21"/>
      <c r="GNC1638" s="21"/>
      <c r="GND1638" s="21"/>
      <c r="GNE1638" s="21"/>
      <c r="GNF1638" s="21"/>
      <c r="GNG1638" s="21"/>
      <c r="GNH1638" s="21"/>
      <c r="GNI1638" s="21"/>
      <c r="GNJ1638" s="21"/>
      <c r="GNK1638" s="21"/>
      <c r="GNL1638" s="21"/>
      <c r="GNM1638" s="21"/>
      <c r="GNN1638" s="21"/>
      <c r="GNO1638" s="21"/>
      <c r="GNP1638" s="21"/>
      <c r="GNQ1638" s="21"/>
      <c r="GNR1638" s="21"/>
      <c r="GNS1638" s="21"/>
      <c r="GNT1638" s="21"/>
      <c r="GNU1638" s="21"/>
      <c r="GNV1638" s="21"/>
      <c r="GNW1638" s="21"/>
      <c r="GNX1638" s="21"/>
      <c r="GNY1638" s="21"/>
      <c r="GNZ1638" s="21"/>
      <c r="GOA1638" s="21"/>
      <c r="GOB1638" s="21"/>
      <c r="GOC1638" s="21"/>
      <c r="GOD1638" s="21"/>
      <c r="GOE1638" s="21"/>
      <c r="GOF1638" s="21"/>
      <c r="GOG1638" s="21"/>
      <c r="GOH1638" s="21"/>
      <c r="GOI1638" s="21"/>
      <c r="GOJ1638" s="21"/>
      <c r="GOK1638" s="21"/>
      <c r="GOL1638" s="21"/>
      <c r="GOM1638" s="21"/>
      <c r="GON1638" s="21"/>
      <c r="GOO1638" s="21"/>
      <c r="GOP1638" s="21"/>
      <c r="GOQ1638" s="21"/>
      <c r="GOR1638" s="21"/>
      <c r="GOS1638" s="21"/>
      <c r="GOT1638" s="21"/>
      <c r="GOU1638" s="21"/>
      <c r="GOV1638" s="21"/>
      <c r="GOW1638" s="21"/>
      <c r="GOX1638" s="21"/>
      <c r="GOY1638" s="21"/>
      <c r="GOZ1638" s="21"/>
      <c r="GPA1638" s="21"/>
      <c r="GPB1638" s="21"/>
      <c r="GPC1638" s="21"/>
      <c r="GPD1638" s="21"/>
      <c r="GPE1638" s="21"/>
      <c r="GPF1638" s="21"/>
      <c r="GPG1638" s="21"/>
      <c r="GPH1638" s="21"/>
      <c r="GPI1638" s="21"/>
      <c r="GPJ1638" s="21"/>
      <c r="GPK1638" s="21"/>
      <c r="GPL1638" s="21"/>
      <c r="GPM1638" s="21"/>
      <c r="GPN1638" s="21"/>
      <c r="GPO1638" s="21"/>
      <c r="GPP1638" s="21"/>
      <c r="GPQ1638" s="21"/>
      <c r="GPR1638" s="21"/>
      <c r="GPS1638" s="21"/>
      <c r="GPT1638" s="21"/>
      <c r="GPU1638" s="21"/>
      <c r="GPV1638" s="21"/>
      <c r="GPW1638" s="21"/>
      <c r="GPX1638" s="21"/>
      <c r="GPY1638" s="21"/>
      <c r="GPZ1638" s="21"/>
      <c r="GQA1638" s="21"/>
      <c r="GQB1638" s="21"/>
      <c r="GQC1638" s="21"/>
      <c r="GQD1638" s="21"/>
      <c r="GQE1638" s="21"/>
      <c r="GQF1638" s="21"/>
      <c r="GQG1638" s="21"/>
      <c r="GQH1638" s="21"/>
      <c r="GQI1638" s="21"/>
      <c r="GQJ1638" s="21"/>
      <c r="GQK1638" s="21"/>
      <c r="GQL1638" s="21"/>
      <c r="GQM1638" s="21"/>
      <c r="GQN1638" s="21"/>
      <c r="GQO1638" s="21"/>
      <c r="GQP1638" s="21"/>
      <c r="GQQ1638" s="21"/>
      <c r="GQR1638" s="21"/>
      <c r="GQS1638" s="21"/>
      <c r="GQT1638" s="21"/>
      <c r="GQU1638" s="21"/>
      <c r="GQV1638" s="21"/>
      <c r="GQW1638" s="21"/>
      <c r="GQX1638" s="21"/>
      <c r="GQY1638" s="21"/>
      <c r="GQZ1638" s="21"/>
      <c r="GRA1638" s="21"/>
      <c r="GRB1638" s="21"/>
      <c r="GRC1638" s="21"/>
      <c r="GRD1638" s="21"/>
      <c r="GRE1638" s="21"/>
      <c r="GRF1638" s="21"/>
      <c r="GRG1638" s="21"/>
      <c r="GRH1638" s="21"/>
      <c r="GRI1638" s="21"/>
      <c r="GRJ1638" s="21"/>
      <c r="GRK1638" s="21"/>
      <c r="GRL1638" s="21"/>
      <c r="GRM1638" s="21"/>
      <c r="GRN1638" s="21"/>
      <c r="GRO1638" s="21"/>
      <c r="GRP1638" s="21"/>
      <c r="GRQ1638" s="21"/>
      <c r="GRR1638" s="21"/>
      <c r="GRS1638" s="21"/>
      <c r="GRT1638" s="21"/>
      <c r="GRU1638" s="21"/>
      <c r="GRV1638" s="21"/>
      <c r="GRW1638" s="21"/>
      <c r="GRX1638" s="21"/>
      <c r="GRY1638" s="21"/>
      <c r="GRZ1638" s="21"/>
      <c r="GSA1638" s="21"/>
      <c r="GSB1638" s="21"/>
      <c r="GSC1638" s="21"/>
      <c r="GSD1638" s="21"/>
      <c r="GSE1638" s="21"/>
      <c r="GSF1638" s="21"/>
      <c r="GSG1638" s="21"/>
      <c r="GSH1638" s="21"/>
      <c r="GSI1638" s="21"/>
      <c r="GSJ1638" s="21"/>
      <c r="GSK1638" s="21"/>
      <c r="GSL1638" s="21"/>
      <c r="GSM1638" s="21"/>
      <c r="GSN1638" s="21"/>
      <c r="GSO1638" s="21"/>
      <c r="GSP1638" s="21"/>
      <c r="GSQ1638" s="21"/>
      <c r="GSR1638" s="21"/>
      <c r="GSS1638" s="21"/>
      <c r="GST1638" s="21"/>
      <c r="GSU1638" s="21"/>
      <c r="GSV1638" s="21"/>
      <c r="GSW1638" s="21"/>
      <c r="GSX1638" s="21"/>
      <c r="GSY1638" s="21"/>
      <c r="GSZ1638" s="21"/>
      <c r="GTA1638" s="21"/>
      <c r="GTB1638" s="21"/>
      <c r="GTC1638" s="21"/>
      <c r="GTD1638" s="21"/>
      <c r="GTE1638" s="21"/>
      <c r="GTF1638" s="21"/>
      <c r="GTG1638" s="21"/>
      <c r="GTH1638" s="21"/>
      <c r="GTI1638" s="21"/>
      <c r="GTJ1638" s="21"/>
      <c r="GTK1638" s="21"/>
      <c r="GTL1638" s="21"/>
      <c r="GTM1638" s="21"/>
      <c r="GTN1638" s="21"/>
      <c r="GTO1638" s="21"/>
      <c r="GTP1638" s="21"/>
      <c r="GTQ1638" s="21"/>
      <c r="GTR1638" s="21"/>
      <c r="GTS1638" s="21"/>
      <c r="GTT1638" s="21"/>
      <c r="GTU1638" s="21"/>
      <c r="GTV1638" s="21"/>
      <c r="GTW1638" s="21"/>
      <c r="GTX1638" s="21"/>
      <c r="GTY1638" s="21"/>
      <c r="GTZ1638" s="21"/>
      <c r="GUA1638" s="21"/>
      <c r="GUB1638" s="21"/>
      <c r="GUC1638" s="21"/>
      <c r="GUD1638" s="21"/>
      <c r="GUE1638" s="21"/>
      <c r="GUF1638" s="21"/>
      <c r="GUG1638" s="21"/>
      <c r="GUH1638" s="21"/>
      <c r="GUI1638" s="21"/>
      <c r="GUJ1638" s="21"/>
      <c r="GUK1638" s="21"/>
      <c r="GUL1638" s="21"/>
      <c r="GUM1638" s="21"/>
      <c r="GUN1638" s="21"/>
      <c r="GUO1638" s="21"/>
      <c r="GUP1638" s="21"/>
      <c r="GUQ1638" s="21"/>
      <c r="GUR1638" s="21"/>
      <c r="GUS1638" s="21"/>
      <c r="GUT1638" s="21"/>
      <c r="GUU1638" s="21"/>
      <c r="GUV1638" s="21"/>
      <c r="GUW1638" s="21"/>
      <c r="GUX1638" s="21"/>
      <c r="GUY1638" s="21"/>
      <c r="GUZ1638" s="21"/>
      <c r="GVA1638" s="21"/>
      <c r="GVB1638" s="21"/>
      <c r="GVC1638" s="21"/>
      <c r="GVD1638" s="21"/>
      <c r="GVE1638" s="21"/>
      <c r="GVF1638" s="21"/>
      <c r="GVG1638" s="21"/>
      <c r="GVH1638" s="21"/>
      <c r="GVI1638" s="21"/>
      <c r="GVJ1638" s="21"/>
      <c r="GVK1638" s="21"/>
      <c r="GVL1638" s="21"/>
      <c r="GVM1638" s="21"/>
      <c r="GVN1638" s="21"/>
      <c r="GVO1638" s="21"/>
      <c r="GVP1638" s="21"/>
      <c r="GVQ1638" s="21"/>
      <c r="GVR1638" s="21"/>
      <c r="GVS1638" s="21"/>
      <c r="GVT1638" s="21"/>
      <c r="GVU1638" s="21"/>
      <c r="GVV1638" s="21"/>
      <c r="GVW1638" s="21"/>
      <c r="GVX1638" s="21"/>
      <c r="GVY1638" s="21"/>
      <c r="GVZ1638" s="21"/>
      <c r="GWA1638" s="21"/>
      <c r="GWB1638" s="21"/>
      <c r="GWC1638" s="21"/>
      <c r="GWD1638" s="21"/>
      <c r="GWE1638" s="21"/>
      <c r="GWF1638" s="21"/>
      <c r="GWG1638" s="21"/>
      <c r="GWH1638" s="21"/>
      <c r="GWI1638" s="21"/>
      <c r="GWJ1638" s="21"/>
      <c r="GWK1638" s="21"/>
      <c r="GWL1638" s="21"/>
      <c r="GWM1638" s="21"/>
      <c r="GWN1638" s="21"/>
      <c r="GWO1638" s="21"/>
      <c r="GWP1638" s="21"/>
      <c r="GWQ1638" s="21"/>
      <c r="GWR1638" s="21"/>
      <c r="GWS1638" s="21"/>
      <c r="GWT1638" s="21"/>
      <c r="GWU1638" s="21"/>
      <c r="GWV1638" s="21"/>
      <c r="GWW1638" s="21"/>
      <c r="GWX1638" s="21"/>
      <c r="GWY1638" s="21"/>
      <c r="GWZ1638" s="21"/>
      <c r="GXA1638" s="21"/>
      <c r="GXB1638" s="21"/>
      <c r="GXC1638" s="21"/>
      <c r="GXD1638" s="21"/>
      <c r="GXE1638" s="21"/>
      <c r="GXF1638" s="21"/>
      <c r="GXG1638" s="21"/>
      <c r="GXH1638" s="21"/>
      <c r="GXI1638" s="21"/>
      <c r="GXJ1638" s="21"/>
      <c r="GXK1638" s="21"/>
      <c r="GXL1638" s="21"/>
      <c r="GXM1638" s="21"/>
      <c r="GXN1638" s="21"/>
      <c r="GXO1638" s="21"/>
      <c r="GXP1638" s="21"/>
      <c r="GXQ1638" s="21"/>
      <c r="GXR1638" s="21"/>
      <c r="GXS1638" s="21"/>
      <c r="GXT1638" s="21"/>
      <c r="GXU1638" s="21"/>
      <c r="GXV1638" s="21"/>
      <c r="GXW1638" s="21"/>
      <c r="GXX1638" s="21"/>
      <c r="GXY1638" s="21"/>
      <c r="GXZ1638" s="21"/>
      <c r="GYA1638" s="21"/>
      <c r="GYB1638" s="21"/>
      <c r="GYC1638" s="21"/>
      <c r="GYD1638" s="21"/>
      <c r="GYE1638" s="21"/>
      <c r="GYF1638" s="21"/>
      <c r="GYG1638" s="21"/>
      <c r="GYH1638" s="21"/>
      <c r="GYI1638" s="21"/>
      <c r="GYJ1638" s="21"/>
      <c r="GYK1638" s="21"/>
      <c r="GYL1638" s="21"/>
      <c r="GYM1638" s="21"/>
      <c r="GYN1638" s="21"/>
      <c r="GYO1638" s="21"/>
      <c r="GYP1638" s="21"/>
      <c r="GYQ1638" s="21"/>
      <c r="GYR1638" s="21"/>
      <c r="GYS1638" s="21"/>
      <c r="GYT1638" s="21"/>
      <c r="GYU1638" s="21"/>
      <c r="GYV1638" s="21"/>
      <c r="GYW1638" s="21"/>
      <c r="GYX1638" s="21"/>
      <c r="GYY1638" s="21"/>
      <c r="GYZ1638" s="21"/>
      <c r="GZA1638" s="21"/>
      <c r="GZB1638" s="21"/>
      <c r="GZC1638" s="21"/>
      <c r="GZD1638" s="21"/>
      <c r="GZE1638" s="21"/>
      <c r="GZF1638" s="21"/>
      <c r="GZG1638" s="21"/>
      <c r="GZH1638" s="21"/>
      <c r="GZI1638" s="21"/>
      <c r="GZJ1638" s="21"/>
      <c r="GZK1638" s="21"/>
      <c r="GZL1638" s="21"/>
      <c r="GZM1638" s="21"/>
      <c r="GZN1638" s="21"/>
      <c r="GZO1638" s="21"/>
      <c r="GZP1638" s="21"/>
      <c r="GZQ1638" s="21"/>
      <c r="GZR1638" s="21"/>
      <c r="GZS1638" s="21"/>
      <c r="GZT1638" s="21"/>
      <c r="GZU1638" s="21"/>
      <c r="GZV1638" s="21"/>
      <c r="GZW1638" s="21"/>
      <c r="GZX1638" s="21"/>
      <c r="GZY1638" s="21"/>
      <c r="GZZ1638" s="21"/>
      <c r="HAA1638" s="21"/>
      <c r="HAB1638" s="21"/>
      <c r="HAC1638" s="21"/>
      <c r="HAD1638" s="21"/>
      <c r="HAE1638" s="21"/>
      <c r="HAF1638" s="21"/>
      <c r="HAG1638" s="21"/>
      <c r="HAH1638" s="21"/>
      <c r="HAI1638" s="21"/>
      <c r="HAJ1638" s="21"/>
      <c r="HAK1638" s="21"/>
      <c r="HAL1638" s="21"/>
      <c r="HAM1638" s="21"/>
      <c r="HAN1638" s="21"/>
      <c r="HAO1638" s="21"/>
      <c r="HAP1638" s="21"/>
      <c r="HAQ1638" s="21"/>
      <c r="HAR1638" s="21"/>
      <c r="HAS1638" s="21"/>
      <c r="HAT1638" s="21"/>
      <c r="HAU1638" s="21"/>
      <c r="HAV1638" s="21"/>
      <c r="HAW1638" s="21"/>
      <c r="HAX1638" s="21"/>
      <c r="HAY1638" s="21"/>
      <c r="HAZ1638" s="21"/>
      <c r="HBA1638" s="21"/>
      <c r="HBB1638" s="21"/>
      <c r="HBC1638" s="21"/>
      <c r="HBD1638" s="21"/>
      <c r="HBE1638" s="21"/>
      <c r="HBF1638" s="21"/>
      <c r="HBG1638" s="21"/>
      <c r="HBH1638" s="21"/>
      <c r="HBI1638" s="21"/>
      <c r="HBJ1638" s="21"/>
      <c r="HBK1638" s="21"/>
      <c r="HBL1638" s="21"/>
      <c r="HBM1638" s="21"/>
      <c r="HBN1638" s="21"/>
      <c r="HBO1638" s="21"/>
      <c r="HBP1638" s="21"/>
      <c r="HBQ1638" s="21"/>
      <c r="HBR1638" s="21"/>
      <c r="HBS1638" s="21"/>
      <c r="HBT1638" s="21"/>
      <c r="HBU1638" s="21"/>
      <c r="HBV1638" s="21"/>
      <c r="HBW1638" s="21"/>
      <c r="HBX1638" s="21"/>
      <c r="HBY1638" s="21"/>
      <c r="HBZ1638" s="21"/>
      <c r="HCA1638" s="21"/>
      <c r="HCB1638" s="21"/>
      <c r="HCC1638" s="21"/>
      <c r="HCD1638" s="21"/>
      <c r="HCE1638" s="21"/>
      <c r="HCF1638" s="21"/>
      <c r="HCG1638" s="21"/>
      <c r="HCH1638" s="21"/>
      <c r="HCI1638" s="21"/>
      <c r="HCJ1638" s="21"/>
      <c r="HCK1638" s="21"/>
      <c r="HCL1638" s="21"/>
      <c r="HCM1638" s="21"/>
      <c r="HCN1638" s="21"/>
      <c r="HCO1638" s="21"/>
      <c r="HCP1638" s="21"/>
      <c r="HCQ1638" s="21"/>
      <c r="HCR1638" s="21"/>
      <c r="HCS1638" s="21"/>
      <c r="HCT1638" s="21"/>
      <c r="HCU1638" s="21"/>
      <c r="HCV1638" s="21"/>
      <c r="HCW1638" s="21"/>
      <c r="HCX1638" s="21"/>
      <c r="HCY1638" s="21"/>
      <c r="HCZ1638" s="21"/>
      <c r="HDA1638" s="21"/>
      <c r="HDB1638" s="21"/>
      <c r="HDC1638" s="21"/>
      <c r="HDD1638" s="21"/>
      <c r="HDE1638" s="21"/>
      <c r="HDF1638" s="21"/>
      <c r="HDG1638" s="21"/>
      <c r="HDH1638" s="21"/>
      <c r="HDI1638" s="21"/>
      <c r="HDJ1638" s="21"/>
      <c r="HDK1638" s="21"/>
      <c r="HDL1638" s="21"/>
      <c r="HDM1638" s="21"/>
      <c r="HDN1638" s="21"/>
      <c r="HDO1638" s="21"/>
      <c r="HDP1638" s="21"/>
      <c r="HDQ1638" s="21"/>
      <c r="HDR1638" s="21"/>
      <c r="HDS1638" s="21"/>
      <c r="HDT1638" s="21"/>
      <c r="HDU1638" s="21"/>
      <c r="HDV1638" s="21"/>
      <c r="HDW1638" s="21"/>
      <c r="HDX1638" s="21"/>
      <c r="HDY1638" s="21"/>
      <c r="HDZ1638" s="21"/>
      <c r="HEA1638" s="21"/>
      <c r="HEB1638" s="21"/>
      <c r="HEC1638" s="21"/>
      <c r="HED1638" s="21"/>
      <c r="HEE1638" s="21"/>
      <c r="HEF1638" s="21"/>
      <c r="HEG1638" s="21"/>
      <c r="HEH1638" s="21"/>
      <c r="HEI1638" s="21"/>
      <c r="HEJ1638" s="21"/>
      <c r="HEK1638" s="21"/>
      <c r="HEL1638" s="21"/>
      <c r="HEM1638" s="21"/>
      <c r="HEN1638" s="21"/>
      <c r="HEO1638" s="21"/>
      <c r="HEP1638" s="21"/>
      <c r="HEQ1638" s="21"/>
      <c r="HER1638" s="21"/>
      <c r="HES1638" s="21"/>
      <c r="HET1638" s="21"/>
      <c r="HEU1638" s="21"/>
      <c r="HEV1638" s="21"/>
      <c r="HEW1638" s="21"/>
      <c r="HEX1638" s="21"/>
      <c r="HEY1638" s="21"/>
      <c r="HEZ1638" s="21"/>
      <c r="HFA1638" s="21"/>
      <c r="HFB1638" s="21"/>
      <c r="HFC1638" s="21"/>
      <c r="HFD1638" s="21"/>
      <c r="HFE1638" s="21"/>
      <c r="HFF1638" s="21"/>
      <c r="HFG1638" s="21"/>
      <c r="HFH1638" s="21"/>
      <c r="HFI1638" s="21"/>
      <c r="HFJ1638" s="21"/>
      <c r="HFK1638" s="21"/>
      <c r="HFL1638" s="21"/>
      <c r="HFM1638" s="21"/>
      <c r="HFN1638" s="21"/>
      <c r="HFO1638" s="21"/>
      <c r="HFP1638" s="21"/>
      <c r="HFQ1638" s="21"/>
      <c r="HFR1638" s="21"/>
      <c r="HFS1638" s="21"/>
      <c r="HFT1638" s="21"/>
      <c r="HFU1638" s="21"/>
      <c r="HFV1638" s="21"/>
      <c r="HFW1638" s="21"/>
      <c r="HFX1638" s="21"/>
      <c r="HFY1638" s="21"/>
      <c r="HFZ1638" s="21"/>
      <c r="HGA1638" s="21"/>
      <c r="HGB1638" s="21"/>
      <c r="HGC1638" s="21"/>
      <c r="HGD1638" s="21"/>
      <c r="HGE1638" s="21"/>
      <c r="HGF1638" s="21"/>
      <c r="HGG1638" s="21"/>
      <c r="HGH1638" s="21"/>
      <c r="HGI1638" s="21"/>
      <c r="HGJ1638" s="21"/>
      <c r="HGK1638" s="21"/>
      <c r="HGL1638" s="21"/>
      <c r="HGM1638" s="21"/>
      <c r="HGN1638" s="21"/>
      <c r="HGO1638" s="21"/>
      <c r="HGP1638" s="21"/>
      <c r="HGQ1638" s="21"/>
      <c r="HGR1638" s="21"/>
      <c r="HGS1638" s="21"/>
      <c r="HGT1638" s="21"/>
      <c r="HGU1638" s="21"/>
      <c r="HGV1638" s="21"/>
      <c r="HGW1638" s="21"/>
      <c r="HGX1638" s="21"/>
      <c r="HGY1638" s="21"/>
      <c r="HGZ1638" s="21"/>
      <c r="HHA1638" s="21"/>
      <c r="HHB1638" s="21"/>
      <c r="HHC1638" s="21"/>
      <c r="HHD1638" s="21"/>
      <c r="HHE1638" s="21"/>
      <c r="HHF1638" s="21"/>
      <c r="HHG1638" s="21"/>
      <c r="HHH1638" s="21"/>
      <c r="HHI1638" s="21"/>
      <c r="HHJ1638" s="21"/>
      <c r="HHK1638" s="21"/>
      <c r="HHL1638" s="21"/>
      <c r="HHM1638" s="21"/>
      <c r="HHN1638" s="21"/>
      <c r="HHO1638" s="21"/>
      <c r="HHP1638" s="21"/>
      <c r="HHQ1638" s="21"/>
      <c r="HHR1638" s="21"/>
      <c r="HHS1638" s="21"/>
      <c r="HHT1638" s="21"/>
      <c r="HHU1638" s="21"/>
      <c r="HHV1638" s="21"/>
      <c r="HHW1638" s="21"/>
      <c r="HHX1638" s="21"/>
      <c r="HHY1638" s="21"/>
      <c r="HHZ1638" s="21"/>
      <c r="HIA1638" s="21"/>
      <c r="HIB1638" s="21"/>
      <c r="HIC1638" s="21"/>
      <c r="HID1638" s="21"/>
      <c r="HIE1638" s="21"/>
      <c r="HIF1638" s="21"/>
      <c r="HIG1638" s="21"/>
      <c r="HIH1638" s="21"/>
      <c r="HII1638" s="21"/>
      <c r="HIJ1638" s="21"/>
      <c r="HIK1638" s="21"/>
      <c r="HIL1638" s="21"/>
      <c r="HIM1638" s="21"/>
      <c r="HIN1638" s="21"/>
      <c r="HIO1638" s="21"/>
      <c r="HIP1638" s="21"/>
      <c r="HIQ1638" s="21"/>
      <c r="HIR1638" s="21"/>
      <c r="HIS1638" s="21"/>
      <c r="HIT1638" s="21"/>
      <c r="HIU1638" s="21"/>
      <c r="HIV1638" s="21"/>
      <c r="HIW1638" s="21"/>
      <c r="HIX1638" s="21"/>
      <c r="HIY1638" s="21"/>
      <c r="HIZ1638" s="21"/>
      <c r="HJA1638" s="21"/>
      <c r="HJB1638" s="21"/>
      <c r="HJC1638" s="21"/>
      <c r="HJD1638" s="21"/>
      <c r="HJE1638" s="21"/>
      <c r="HJF1638" s="21"/>
      <c r="HJG1638" s="21"/>
      <c r="HJH1638" s="21"/>
      <c r="HJI1638" s="21"/>
      <c r="HJJ1638" s="21"/>
      <c r="HJK1638" s="21"/>
      <c r="HJL1638" s="21"/>
      <c r="HJM1638" s="21"/>
      <c r="HJN1638" s="21"/>
      <c r="HJO1638" s="21"/>
      <c r="HJP1638" s="21"/>
      <c r="HJQ1638" s="21"/>
      <c r="HJR1638" s="21"/>
      <c r="HJS1638" s="21"/>
      <c r="HJT1638" s="21"/>
      <c r="HJU1638" s="21"/>
      <c r="HJV1638" s="21"/>
      <c r="HJW1638" s="21"/>
      <c r="HJX1638" s="21"/>
      <c r="HJY1638" s="21"/>
      <c r="HJZ1638" s="21"/>
      <c r="HKA1638" s="21"/>
      <c r="HKB1638" s="21"/>
      <c r="HKC1638" s="21"/>
      <c r="HKD1638" s="21"/>
      <c r="HKE1638" s="21"/>
      <c r="HKF1638" s="21"/>
      <c r="HKG1638" s="21"/>
      <c r="HKH1638" s="21"/>
      <c r="HKI1638" s="21"/>
      <c r="HKJ1638" s="21"/>
      <c r="HKK1638" s="21"/>
      <c r="HKL1638" s="21"/>
      <c r="HKM1638" s="21"/>
      <c r="HKN1638" s="21"/>
      <c r="HKO1638" s="21"/>
      <c r="HKP1638" s="21"/>
      <c r="HKQ1638" s="21"/>
      <c r="HKR1638" s="21"/>
      <c r="HKS1638" s="21"/>
      <c r="HKT1638" s="21"/>
      <c r="HKU1638" s="21"/>
      <c r="HKV1638" s="21"/>
      <c r="HKW1638" s="21"/>
      <c r="HKX1638" s="21"/>
      <c r="HKY1638" s="21"/>
      <c r="HKZ1638" s="21"/>
      <c r="HLA1638" s="21"/>
      <c r="HLB1638" s="21"/>
      <c r="HLC1638" s="21"/>
      <c r="HLD1638" s="21"/>
      <c r="HLE1638" s="21"/>
      <c r="HLF1638" s="21"/>
      <c r="HLG1638" s="21"/>
      <c r="HLH1638" s="21"/>
      <c r="HLI1638" s="21"/>
      <c r="HLJ1638" s="21"/>
      <c r="HLK1638" s="21"/>
      <c r="HLL1638" s="21"/>
      <c r="HLM1638" s="21"/>
      <c r="HLN1638" s="21"/>
      <c r="HLO1638" s="21"/>
      <c r="HLP1638" s="21"/>
      <c r="HLQ1638" s="21"/>
      <c r="HLR1638" s="21"/>
      <c r="HLS1638" s="21"/>
      <c r="HLT1638" s="21"/>
      <c r="HLU1638" s="21"/>
      <c r="HLV1638" s="21"/>
      <c r="HLW1638" s="21"/>
      <c r="HLX1638" s="21"/>
      <c r="HLY1638" s="21"/>
      <c r="HLZ1638" s="21"/>
      <c r="HMA1638" s="21"/>
      <c r="HMB1638" s="21"/>
      <c r="HMC1638" s="21"/>
      <c r="HMD1638" s="21"/>
      <c r="HME1638" s="21"/>
      <c r="HMF1638" s="21"/>
      <c r="HMG1638" s="21"/>
      <c r="HMH1638" s="21"/>
      <c r="HMI1638" s="21"/>
      <c r="HMJ1638" s="21"/>
      <c r="HMK1638" s="21"/>
      <c r="HML1638" s="21"/>
      <c r="HMM1638" s="21"/>
      <c r="HMN1638" s="21"/>
      <c r="HMO1638" s="21"/>
      <c r="HMP1638" s="21"/>
      <c r="HMQ1638" s="21"/>
      <c r="HMR1638" s="21"/>
      <c r="HMS1638" s="21"/>
      <c r="HMT1638" s="21"/>
      <c r="HMU1638" s="21"/>
      <c r="HMV1638" s="21"/>
      <c r="HMW1638" s="21"/>
      <c r="HMX1638" s="21"/>
      <c r="HMY1638" s="21"/>
      <c r="HMZ1638" s="21"/>
      <c r="HNA1638" s="21"/>
      <c r="HNB1638" s="21"/>
      <c r="HNC1638" s="21"/>
      <c r="HND1638" s="21"/>
      <c r="HNE1638" s="21"/>
      <c r="HNF1638" s="21"/>
      <c r="HNG1638" s="21"/>
      <c r="HNH1638" s="21"/>
      <c r="HNI1638" s="21"/>
      <c r="HNJ1638" s="21"/>
      <c r="HNK1638" s="21"/>
      <c r="HNL1638" s="21"/>
      <c r="HNM1638" s="21"/>
      <c r="HNN1638" s="21"/>
      <c r="HNO1638" s="21"/>
      <c r="HNP1638" s="21"/>
      <c r="HNQ1638" s="21"/>
      <c r="HNR1638" s="21"/>
      <c r="HNS1638" s="21"/>
      <c r="HNT1638" s="21"/>
      <c r="HNU1638" s="21"/>
      <c r="HNV1638" s="21"/>
      <c r="HNW1638" s="21"/>
      <c r="HNX1638" s="21"/>
      <c r="HNY1638" s="21"/>
      <c r="HNZ1638" s="21"/>
      <c r="HOA1638" s="21"/>
      <c r="HOB1638" s="21"/>
      <c r="HOC1638" s="21"/>
      <c r="HOD1638" s="21"/>
      <c r="HOE1638" s="21"/>
      <c r="HOF1638" s="21"/>
      <c r="HOG1638" s="21"/>
      <c r="HOH1638" s="21"/>
      <c r="HOI1638" s="21"/>
      <c r="HOJ1638" s="21"/>
      <c r="HOK1638" s="21"/>
      <c r="HOL1638" s="21"/>
      <c r="HOM1638" s="21"/>
      <c r="HON1638" s="21"/>
      <c r="HOO1638" s="21"/>
      <c r="HOP1638" s="21"/>
      <c r="HOQ1638" s="21"/>
      <c r="HOR1638" s="21"/>
      <c r="HOS1638" s="21"/>
      <c r="HOT1638" s="21"/>
      <c r="HOU1638" s="21"/>
      <c r="HOV1638" s="21"/>
      <c r="HOW1638" s="21"/>
      <c r="HOX1638" s="21"/>
      <c r="HOY1638" s="21"/>
      <c r="HOZ1638" s="21"/>
      <c r="HPA1638" s="21"/>
      <c r="HPB1638" s="21"/>
      <c r="HPC1638" s="21"/>
      <c r="HPD1638" s="21"/>
      <c r="HPE1638" s="21"/>
      <c r="HPF1638" s="21"/>
      <c r="HPG1638" s="21"/>
      <c r="HPH1638" s="21"/>
      <c r="HPI1638" s="21"/>
      <c r="HPJ1638" s="21"/>
      <c r="HPK1638" s="21"/>
      <c r="HPL1638" s="21"/>
      <c r="HPM1638" s="21"/>
      <c r="HPN1638" s="21"/>
      <c r="HPO1638" s="21"/>
      <c r="HPP1638" s="21"/>
      <c r="HPQ1638" s="21"/>
      <c r="HPR1638" s="21"/>
      <c r="HPS1638" s="21"/>
      <c r="HPT1638" s="21"/>
      <c r="HPU1638" s="21"/>
      <c r="HPV1638" s="21"/>
      <c r="HPW1638" s="21"/>
      <c r="HPX1638" s="21"/>
      <c r="HPY1638" s="21"/>
      <c r="HPZ1638" s="21"/>
      <c r="HQA1638" s="21"/>
      <c r="HQB1638" s="21"/>
      <c r="HQC1638" s="21"/>
      <c r="HQD1638" s="21"/>
      <c r="HQE1638" s="21"/>
      <c r="HQF1638" s="21"/>
      <c r="HQG1638" s="21"/>
      <c r="HQH1638" s="21"/>
      <c r="HQI1638" s="21"/>
      <c r="HQJ1638" s="21"/>
      <c r="HQK1638" s="21"/>
      <c r="HQL1638" s="21"/>
      <c r="HQM1638" s="21"/>
      <c r="HQN1638" s="21"/>
      <c r="HQO1638" s="21"/>
      <c r="HQP1638" s="21"/>
      <c r="HQQ1638" s="21"/>
      <c r="HQR1638" s="21"/>
      <c r="HQS1638" s="21"/>
      <c r="HQT1638" s="21"/>
      <c r="HQU1638" s="21"/>
      <c r="HQV1638" s="21"/>
      <c r="HQW1638" s="21"/>
      <c r="HQX1638" s="21"/>
      <c r="HQY1638" s="21"/>
      <c r="HQZ1638" s="21"/>
      <c r="HRA1638" s="21"/>
      <c r="HRB1638" s="21"/>
      <c r="HRC1638" s="21"/>
      <c r="HRD1638" s="21"/>
      <c r="HRE1638" s="21"/>
      <c r="HRF1638" s="21"/>
      <c r="HRG1638" s="21"/>
      <c r="HRH1638" s="21"/>
      <c r="HRI1638" s="21"/>
      <c r="HRJ1638" s="21"/>
      <c r="HRK1638" s="21"/>
      <c r="HRL1638" s="21"/>
      <c r="HRM1638" s="21"/>
      <c r="HRN1638" s="21"/>
      <c r="HRO1638" s="21"/>
      <c r="HRP1638" s="21"/>
      <c r="HRQ1638" s="21"/>
      <c r="HRR1638" s="21"/>
      <c r="HRS1638" s="21"/>
      <c r="HRT1638" s="21"/>
      <c r="HRU1638" s="21"/>
      <c r="HRV1638" s="21"/>
      <c r="HRW1638" s="21"/>
      <c r="HRX1638" s="21"/>
      <c r="HRY1638" s="21"/>
      <c r="HRZ1638" s="21"/>
      <c r="HSA1638" s="21"/>
      <c r="HSB1638" s="21"/>
      <c r="HSC1638" s="21"/>
      <c r="HSD1638" s="21"/>
      <c r="HSE1638" s="21"/>
      <c r="HSF1638" s="21"/>
      <c r="HSG1638" s="21"/>
      <c r="HSH1638" s="21"/>
      <c r="HSI1638" s="21"/>
      <c r="HSJ1638" s="21"/>
      <c r="HSK1638" s="21"/>
      <c r="HSL1638" s="21"/>
      <c r="HSM1638" s="21"/>
      <c r="HSN1638" s="21"/>
      <c r="HSO1638" s="21"/>
      <c r="HSP1638" s="21"/>
      <c r="HSQ1638" s="21"/>
      <c r="HSR1638" s="21"/>
      <c r="HSS1638" s="21"/>
      <c r="HST1638" s="21"/>
      <c r="HSU1638" s="21"/>
      <c r="HSV1638" s="21"/>
      <c r="HSW1638" s="21"/>
      <c r="HSX1638" s="21"/>
      <c r="HSY1638" s="21"/>
      <c r="HSZ1638" s="21"/>
      <c r="HTA1638" s="21"/>
      <c r="HTB1638" s="21"/>
      <c r="HTC1638" s="21"/>
      <c r="HTD1638" s="21"/>
      <c r="HTE1638" s="21"/>
      <c r="HTF1638" s="21"/>
      <c r="HTG1638" s="21"/>
      <c r="HTH1638" s="21"/>
      <c r="HTI1638" s="21"/>
      <c r="HTJ1638" s="21"/>
      <c r="HTK1638" s="21"/>
      <c r="HTL1638" s="21"/>
      <c r="HTM1638" s="21"/>
      <c r="HTN1638" s="21"/>
      <c r="HTO1638" s="21"/>
      <c r="HTP1638" s="21"/>
      <c r="HTQ1638" s="21"/>
      <c r="HTR1638" s="21"/>
      <c r="HTS1638" s="21"/>
      <c r="HTT1638" s="21"/>
      <c r="HTU1638" s="21"/>
      <c r="HTV1638" s="21"/>
      <c r="HTW1638" s="21"/>
      <c r="HTX1638" s="21"/>
      <c r="HTY1638" s="21"/>
      <c r="HTZ1638" s="21"/>
      <c r="HUA1638" s="21"/>
      <c r="HUB1638" s="21"/>
      <c r="HUC1638" s="21"/>
      <c r="HUD1638" s="21"/>
      <c r="HUE1638" s="21"/>
      <c r="HUF1638" s="21"/>
      <c r="HUG1638" s="21"/>
      <c r="HUH1638" s="21"/>
      <c r="HUI1638" s="21"/>
      <c r="HUJ1638" s="21"/>
      <c r="HUK1638" s="21"/>
      <c r="HUL1638" s="21"/>
      <c r="HUM1638" s="21"/>
      <c r="HUN1638" s="21"/>
      <c r="HUO1638" s="21"/>
      <c r="HUP1638" s="21"/>
      <c r="HUQ1638" s="21"/>
      <c r="HUR1638" s="21"/>
      <c r="HUS1638" s="21"/>
      <c r="HUT1638" s="21"/>
      <c r="HUU1638" s="21"/>
      <c r="HUV1638" s="21"/>
      <c r="HUW1638" s="21"/>
      <c r="HUX1638" s="21"/>
      <c r="HUY1638" s="21"/>
      <c r="HUZ1638" s="21"/>
      <c r="HVA1638" s="21"/>
      <c r="HVB1638" s="21"/>
      <c r="HVC1638" s="21"/>
      <c r="HVD1638" s="21"/>
      <c r="HVE1638" s="21"/>
      <c r="HVF1638" s="21"/>
      <c r="HVG1638" s="21"/>
      <c r="HVH1638" s="21"/>
      <c r="HVI1638" s="21"/>
      <c r="HVJ1638" s="21"/>
      <c r="HVK1638" s="21"/>
      <c r="HVL1638" s="21"/>
      <c r="HVM1638" s="21"/>
      <c r="HVN1638" s="21"/>
      <c r="HVO1638" s="21"/>
      <c r="HVP1638" s="21"/>
      <c r="HVQ1638" s="21"/>
      <c r="HVR1638" s="21"/>
      <c r="HVS1638" s="21"/>
      <c r="HVT1638" s="21"/>
      <c r="HVU1638" s="21"/>
      <c r="HVV1638" s="21"/>
      <c r="HVW1638" s="21"/>
      <c r="HVX1638" s="21"/>
      <c r="HVY1638" s="21"/>
      <c r="HVZ1638" s="21"/>
      <c r="HWA1638" s="21"/>
      <c r="HWB1638" s="21"/>
      <c r="HWC1638" s="21"/>
      <c r="HWD1638" s="21"/>
      <c r="HWE1638" s="21"/>
      <c r="HWF1638" s="21"/>
      <c r="HWG1638" s="21"/>
      <c r="HWH1638" s="21"/>
      <c r="HWI1638" s="21"/>
      <c r="HWJ1638" s="21"/>
      <c r="HWK1638" s="21"/>
      <c r="HWL1638" s="21"/>
      <c r="HWM1638" s="21"/>
      <c r="HWN1638" s="21"/>
      <c r="HWO1638" s="21"/>
      <c r="HWP1638" s="21"/>
      <c r="HWQ1638" s="21"/>
      <c r="HWR1638" s="21"/>
      <c r="HWS1638" s="21"/>
      <c r="HWT1638" s="21"/>
      <c r="HWU1638" s="21"/>
      <c r="HWV1638" s="21"/>
      <c r="HWW1638" s="21"/>
      <c r="HWX1638" s="21"/>
      <c r="HWY1638" s="21"/>
      <c r="HWZ1638" s="21"/>
      <c r="HXA1638" s="21"/>
      <c r="HXB1638" s="21"/>
      <c r="HXC1638" s="21"/>
      <c r="HXD1638" s="21"/>
      <c r="HXE1638" s="21"/>
      <c r="HXF1638" s="21"/>
      <c r="HXG1638" s="21"/>
      <c r="HXH1638" s="21"/>
      <c r="HXI1638" s="21"/>
      <c r="HXJ1638" s="21"/>
      <c r="HXK1638" s="21"/>
      <c r="HXL1638" s="21"/>
      <c r="HXM1638" s="21"/>
      <c r="HXN1638" s="21"/>
      <c r="HXO1638" s="21"/>
      <c r="HXP1638" s="21"/>
      <c r="HXQ1638" s="21"/>
      <c r="HXR1638" s="21"/>
      <c r="HXS1638" s="21"/>
      <c r="HXT1638" s="21"/>
      <c r="HXU1638" s="21"/>
      <c r="HXV1638" s="21"/>
      <c r="HXW1638" s="21"/>
      <c r="HXX1638" s="21"/>
      <c r="HXY1638" s="21"/>
      <c r="HXZ1638" s="21"/>
      <c r="HYA1638" s="21"/>
      <c r="HYB1638" s="21"/>
      <c r="HYC1638" s="21"/>
      <c r="HYD1638" s="21"/>
      <c r="HYE1638" s="21"/>
      <c r="HYF1638" s="21"/>
      <c r="HYG1638" s="21"/>
      <c r="HYH1638" s="21"/>
      <c r="HYI1638" s="21"/>
      <c r="HYJ1638" s="21"/>
      <c r="HYK1638" s="21"/>
      <c r="HYL1638" s="21"/>
      <c r="HYM1638" s="21"/>
      <c r="HYN1638" s="21"/>
      <c r="HYO1638" s="21"/>
      <c r="HYP1638" s="21"/>
      <c r="HYQ1638" s="21"/>
      <c r="HYR1638" s="21"/>
      <c r="HYS1638" s="21"/>
      <c r="HYT1638" s="21"/>
      <c r="HYU1638" s="21"/>
      <c r="HYV1638" s="21"/>
      <c r="HYW1638" s="21"/>
      <c r="HYX1638" s="21"/>
      <c r="HYY1638" s="21"/>
      <c r="HYZ1638" s="21"/>
      <c r="HZA1638" s="21"/>
      <c r="HZB1638" s="21"/>
      <c r="HZC1638" s="21"/>
      <c r="HZD1638" s="21"/>
      <c r="HZE1638" s="21"/>
      <c r="HZF1638" s="21"/>
      <c r="HZG1638" s="21"/>
      <c r="HZH1638" s="21"/>
      <c r="HZI1638" s="21"/>
      <c r="HZJ1638" s="21"/>
      <c r="HZK1638" s="21"/>
      <c r="HZL1638" s="21"/>
      <c r="HZM1638" s="21"/>
      <c r="HZN1638" s="21"/>
      <c r="HZO1638" s="21"/>
      <c r="HZP1638" s="21"/>
      <c r="HZQ1638" s="21"/>
      <c r="HZR1638" s="21"/>
      <c r="HZS1638" s="21"/>
      <c r="HZT1638" s="21"/>
      <c r="HZU1638" s="21"/>
      <c r="HZV1638" s="21"/>
      <c r="HZW1638" s="21"/>
      <c r="HZX1638" s="21"/>
      <c r="HZY1638" s="21"/>
      <c r="HZZ1638" s="21"/>
      <c r="IAA1638" s="21"/>
      <c r="IAB1638" s="21"/>
      <c r="IAC1638" s="21"/>
      <c r="IAD1638" s="21"/>
      <c r="IAE1638" s="21"/>
      <c r="IAF1638" s="21"/>
      <c r="IAG1638" s="21"/>
      <c r="IAH1638" s="21"/>
      <c r="IAI1638" s="21"/>
      <c r="IAJ1638" s="21"/>
      <c r="IAK1638" s="21"/>
      <c r="IAL1638" s="21"/>
      <c r="IAM1638" s="21"/>
      <c r="IAN1638" s="21"/>
      <c r="IAO1638" s="21"/>
      <c r="IAP1638" s="21"/>
      <c r="IAQ1638" s="21"/>
      <c r="IAR1638" s="21"/>
      <c r="IAS1638" s="21"/>
      <c r="IAT1638" s="21"/>
      <c r="IAU1638" s="21"/>
      <c r="IAV1638" s="21"/>
      <c r="IAW1638" s="21"/>
      <c r="IAX1638" s="21"/>
      <c r="IAY1638" s="21"/>
      <c r="IAZ1638" s="21"/>
      <c r="IBA1638" s="21"/>
      <c r="IBB1638" s="21"/>
      <c r="IBC1638" s="21"/>
      <c r="IBD1638" s="21"/>
      <c r="IBE1638" s="21"/>
      <c r="IBF1638" s="21"/>
      <c r="IBG1638" s="21"/>
      <c r="IBH1638" s="21"/>
      <c r="IBI1638" s="21"/>
      <c r="IBJ1638" s="21"/>
      <c r="IBK1638" s="21"/>
      <c r="IBL1638" s="21"/>
      <c r="IBM1638" s="21"/>
      <c r="IBN1638" s="21"/>
      <c r="IBO1638" s="21"/>
      <c r="IBP1638" s="21"/>
      <c r="IBQ1638" s="21"/>
      <c r="IBR1638" s="21"/>
      <c r="IBS1638" s="21"/>
      <c r="IBT1638" s="21"/>
      <c r="IBU1638" s="21"/>
      <c r="IBV1638" s="21"/>
      <c r="IBW1638" s="21"/>
      <c r="IBX1638" s="21"/>
      <c r="IBY1638" s="21"/>
      <c r="IBZ1638" s="21"/>
      <c r="ICA1638" s="21"/>
      <c r="ICB1638" s="21"/>
      <c r="ICC1638" s="21"/>
      <c r="ICD1638" s="21"/>
      <c r="ICE1638" s="21"/>
      <c r="ICF1638" s="21"/>
      <c r="ICG1638" s="21"/>
      <c r="ICH1638" s="21"/>
      <c r="ICI1638" s="21"/>
      <c r="ICJ1638" s="21"/>
      <c r="ICK1638" s="21"/>
      <c r="ICL1638" s="21"/>
      <c r="ICM1638" s="21"/>
      <c r="ICN1638" s="21"/>
      <c r="ICO1638" s="21"/>
      <c r="ICP1638" s="21"/>
      <c r="ICQ1638" s="21"/>
      <c r="ICR1638" s="21"/>
      <c r="ICS1638" s="21"/>
      <c r="ICT1638" s="21"/>
      <c r="ICU1638" s="21"/>
      <c r="ICV1638" s="21"/>
      <c r="ICW1638" s="21"/>
      <c r="ICX1638" s="21"/>
      <c r="ICY1638" s="21"/>
      <c r="ICZ1638" s="21"/>
      <c r="IDA1638" s="21"/>
      <c r="IDB1638" s="21"/>
      <c r="IDC1638" s="21"/>
      <c r="IDD1638" s="21"/>
      <c r="IDE1638" s="21"/>
      <c r="IDF1638" s="21"/>
      <c r="IDG1638" s="21"/>
      <c r="IDH1638" s="21"/>
      <c r="IDI1638" s="21"/>
      <c r="IDJ1638" s="21"/>
      <c r="IDK1638" s="21"/>
      <c r="IDL1638" s="21"/>
      <c r="IDM1638" s="21"/>
      <c r="IDN1638" s="21"/>
      <c r="IDO1638" s="21"/>
      <c r="IDP1638" s="21"/>
      <c r="IDQ1638" s="21"/>
      <c r="IDR1638" s="21"/>
      <c r="IDS1638" s="21"/>
      <c r="IDT1638" s="21"/>
      <c r="IDU1638" s="21"/>
      <c r="IDV1638" s="21"/>
      <c r="IDW1638" s="21"/>
      <c r="IDX1638" s="21"/>
      <c r="IDY1638" s="21"/>
      <c r="IDZ1638" s="21"/>
      <c r="IEA1638" s="21"/>
      <c r="IEB1638" s="21"/>
      <c r="IEC1638" s="21"/>
      <c r="IED1638" s="21"/>
      <c r="IEE1638" s="21"/>
      <c r="IEF1638" s="21"/>
      <c r="IEG1638" s="21"/>
      <c r="IEH1638" s="21"/>
      <c r="IEI1638" s="21"/>
      <c r="IEJ1638" s="21"/>
      <c r="IEK1638" s="21"/>
      <c r="IEL1638" s="21"/>
      <c r="IEM1638" s="21"/>
      <c r="IEN1638" s="21"/>
      <c r="IEO1638" s="21"/>
      <c r="IEP1638" s="21"/>
      <c r="IEQ1638" s="21"/>
      <c r="IER1638" s="21"/>
      <c r="IES1638" s="21"/>
      <c r="IET1638" s="21"/>
      <c r="IEU1638" s="21"/>
      <c r="IEV1638" s="21"/>
      <c r="IEW1638" s="21"/>
      <c r="IEX1638" s="21"/>
      <c r="IEY1638" s="21"/>
      <c r="IEZ1638" s="21"/>
      <c r="IFA1638" s="21"/>
      <c r="IFB1638" s="21"/>
      <c r="IFC1638" s="21"/>
      <c r="IFD1638" s="21"/>
      <c r="IFE1638" s="21"/>
      <c r="IFF1638" s="21"/>
      <c r="IFG1638" s="21"/>
      <c r="IFH1638" s="21"/>
      <c r="IFI1638" s="21"/>
      <c r="IFJ1638" s="21"/>
      <c r="IFK1638" s="21"/>
      <c r="IFL1638" s="21"/>
      <c r="IFM1638" s="21"/>
      <c r="IFN1638" s="21"/>
      <c r="IFO1638" s="21"/>
      <c r="IFP1638" s="21"/>
      <c r="IFQ1638" s="21"/>
      <c r="IFR1638" s="21"/>
      <c r="IFS1638" s="21"/>
      <c r="IFT1638" s="21"/>
      <c r="IFU1638" s="21"/>
      <c r="IFV1638" s="21"/>
      <c r="IFW1638" s="21"/>
      <c r="IFX1638" s="21"/>
      <c r="IFY1638" s="21"/>
      <c r="IFZ1638" s="21"/>
      <c r="IGA1638" s="21"/>
      <c r="IGB1638" s="21"/>
      <c r="IGC1638" s="21"/>
      <c r="IGD1638" s="21"/>
      <c r="IGE1638" s="21"/>
      <c r="IGF1638" s="21"/>
      <c r="IGG1638" s="21"/>
      <c r="IGH1638" s="21"/>
      <c r="IGI1638" s="21"/>
      <c r="IGJ1638" s="21"/>
      <c r="IGK1638" s="21"/>
      <c r="IGL1638" s="21"/>
      <c r="IGM1638" s="21"/>
      <c r="IGN1638" s="21"/>
      <c r="IGO1638" s="21"/>
      <c r="IGP1638" s="21"/>
      <c r="IGQ1638" s="21"/>
      <c r="IGR1638" s="21"/>
      <c r="IGS1638" s="21"/>
      <c r="IGT1638" s="21"/>
      <c r="IGU1638" s="21"/>
      <c r="IGV1638" s="21"/>
      <c r="IGW1638" s="21"/>
      <c r="IGX1638" s="21"/>
      <c r="IGY1638" s="21"/>
      <c r="IGZ1638" s="21"/>
      <c r="IHA1638" s="21"/>
      <c r="IHB1638" s="21"/>
      <c r="IHC1638" s="21"/>
      <c r="IHD1638" s="21"/>
      <c r="IHE1638" s="21"/>
      <c r="IHF1638" s="21"/>
      <c r="IHG1638" s="21"/>
      <c r="IHH1638" s="21"/>
      <c r="IHI1638" s="21"/>
      <c r="IHJ1638" s="21"/>
      <c r="IHK1638" s="21"/>
      <c r="IHL1638" s="21"/>
      <c r="IHM1638" s="21"/>
      <c r="IHN1638" s="21"/>
      <c r="IHO1638" s="21"/>
      <c r="IHP1638" s="21"/>
      <c r="IHQ1638" s="21"/>
      <c r="IHR1638" s="21"/>
      <c r="IHS1638" s="21"/>
      <c r="IHT1638" s="21"/>
      <c r="IHU1638" s="21"/>
      <c r="IHV1638" s="21"/>
      <c r="IHW1638" s="21"/>
      <c r="IHX1638" s="21"/>
      <c r="IHY1638" s="21"/>
      <c r="IHZ1638" s="21"/>
      <c r="IIA1638" s="21"/>
      <c r="IIB1638" s="21"/>
      <c r="IIC1638" s="21"/>
      <c r="IID1638" s="21"/>
      <c r="IIE1638" s="21"/>
      <c r="IIF1638" s="21"/>
      <c r="IIG1638" s="21"/>
      <c r="IIH1638" s="21"/>
      <c r="III1638" s="21"/>
      <c r="IIJ1638" s="21"/>
      <c r="IIK1638" s="21"/>
      <c r="IIL1638" s="21"/>
      <c r="IIM1638" s="21"/>
      <c r="IIN1638" s="21"/>
      <c r="IIO1638" s="21"/>
      <c r="IIP1638" s="21"/>
      <c r="IIQ1638" s="21"/>
      <c r="IIR1638" s="21"/>
      <c r="IIS1638" s="21"/>
      <c r="IIT1638" s="21"/>
      <c r="IIU1638" s="21"/>
      <c r="IIV1638" s="21"/>
      <c r="IIW1638" s="21"/>
      <c r="IIX1638" s="21"/>
      <c r="IIY1638" s="21"/>
      <c r="IIZ1638" s="21"/>
      <c r="IJA1638" s="21"/>
      <c r="IJB1638" s="21"/>
      <c r="IJC1638" s="21"/>
      <c r="IJD1638" s="21"/>
      <c r="IJE1638" s="21"/>
      <c r="IJF1638" s="21"/>
      <c r="IJG1638" s="21"/>
      <c r="IJH1638" s="21"/>
      <c r="IJI1638" s="21"/>
      <c r="IJJ1638" s="21"/>
      <c r="IJK1638" s="21"/>
      <c r="IJL1638" s="21"/>
      <c r="IJM1638" s="21"/>
      <c r="IJN1638" s="21"/>
      <c r="IJO1638" s="21"/>
      <c r="IJP1638" s="21"/>
      <c r="IJQ1638" s="21"/>
      <c r="IJR1638" s="21"/>
      <c r="IJS1638" s="21"/>
      <c r="IJT1638" s="21"/>
      <c r="IJU1638" s="21"/>
      <c r="IJV1638" s="21"/>
      <c r="IJW1638" s="21"/>
      <c r="IJX1638" s="21"/>
      <c r="IJY1638" s="21"/>
      <c r="IJZ1638" s="21"/>
      <c r="IKA1638" s="21"/>
      <c r="IKB1638" s="21"/>
      <c r="IKC1638" s="21"/>
      <c r="IKD1638" s="21"/>
      <c r="IKE1638" s="21"/>
      <c r="IKF1638" s="21"/>
      <c r="IKG1638" s="21"/>
      <c r="IKH1638" s="21"/>
      <c r="IKI1638" s="21"/>
      <c r="IKJ1638" s="21"/>
      <c r="IKK1638" s="21"/>
      <c r="IKL1638" s="21"/>
      <c r="IKM1638" s="21"/>
      <c r="IKN1638" s="21"/>
      <c r="IKO1638" s="21"/>
      <c r="IKP1638" s="21"/>
      <c r="IKQ1638" s="21"/>
      <c r="IKR1638" s="21"/>
      <c r="IKS1638" s="21"/>
      <c r="IKT1638" s="21"/>
      <c r="IKU1638" s="21"/>
      <c r="IKV1638" s="21"/>
      <c r="IKW1638" s="21"/>
      <c r="IKX1638" s="21"/>
      <c r="IKY1638" s="21"/>
      <c r="IKZ1638" s="21"/>
      <c r="ILA1638" s="21"/>
      <c r="ILB1638" s="21"/>
      <c r="ILC1638" s="21"/>
      <c r="ILD1638" s="21"/>
      <c r="ILE1638" s="21"/>
      <c r="ILF1638" s="21"/>
      <c r="ILG1638" s="21"/>
      <c r="ILH1638" s="21"/>
      <c r="ILI1638" s="21"/>
      <c r="ILJ1638" s="21"/>
      <c r="ILK1638" s="21"/>
      <c r="ILL1638" s="21"/>
      <c r="ILM1638" s="21"/>
      <c r="ILN1638" s="21"/>
      <c r="ILO1638" s="21"/>
      <c r="ILP1638" s="21"/>
      <c r="ILQ1638" s="21"/>
      <c r="ILR1638" s="21"/>
      <c r="ILS1638" s="21"/>
      <c r="ILT1638" s="21"/>
      <c r="ILU1638" s="21"/>
      <c r="ILV1638" s="21"/>
      <c r="ILW1638" s="21"/>
      <c r="ILX1638" s="21"/>
      <c r="ILY1638" s="21"/>
      <c r="ILZ1638" s="21"/>
      <c r="IMA1638" s="21"/>
      <c r="IMB1638" s="21"/>
      <c r="IMC1638" s="21"/>
      <c r="IMD1638" s="21"/>
      <c r="IME1638" s="21"/>
      <c r="IMF1638" s="21"/>
      <c r="IMG1638" s="21"/>
      <c r="IMH1638" s="21"/>
      <c r="IMI1638" s="21"/>
      <c r="IMJ1638" s="21"/>
      <c r="IMK1638" s="21"/>
      <c r="IML1638" s="21"/>
      <c r="IMM1638" s="21"/>
      <c r="IMN1638" s="21"/>
      <c r="IMO1638" s="21"/>
      <c r="IMP1638" s="21"/>
      <c r="IMQ1638" s="21"/>
      <c r="IMR1638" s="21"/>
      <c r="IMS1638" s="21"/>
      <c r="IMT1638" s="21"/>
      <c r="IMU1638" s="21"/>
      <c r="IMV1638" s="21"/>
      <c r="IMW1638" s="21"/>
      <c r="IMX1638" s="21"/>
      <c r="IMY1638" s="21"/>
      <c r="IMZ1638" s="21"/>
      <c r="INA1638" s="21"/>
      <c r="INB1638" s="21"/>
      <c r="INC1638" s="21"/>
      <c r="IND1638" s="21"/>
      <c r="INE1638" s="21"/>
      <c r="INF1638" s="21"/>
      <c r="ING1638" s="21"/>
      <c r="INH1638" s="21"/>
      <c r="INI1638" s="21"/>
      <c r="INJ1638" s="21"/>
      <c r="INK1638" s="21"/>
      <c r="INL1638" s="21"/>
      <c r="INM1638" s="21"/>
      <c r="INN1638" s="21"/>
      <c r="INO1638" s="21"/>
      <c r="INP1638" s="21"/>
      <c r="INQ1638" s="21"/>
      <c r="INR1638" s="21"/>
      <c r="INS1638" s="21"/>
      <c r="INT1638" s="21"/>
      <c r="INU1638" s="21"/>
      <c r="INV1638" s="21"/>
      <c r="INW1638" s="21"/>
      <c r="INX1638" s="21"/>
      <c r="INY1638" s="21"/>
      <c r="INZ1638" s="21"/>
      <c r="IOA1638" s="21"/>
      <c r="IOB1638" s="21"/>
      <c r="IOC1638" s="21"/>
      <c r="IOD1638" s="21"/>
      <c r="IOE1638" s="21"/>
      <c r="IOF1638" s="21"/>
      <c r="IOG1638" s="21"/>
      <c r="IOH1638" s="21"/>
      <c r="IOI1638" s="21"/>
      <c r="IOJ1638" s="21"/>
      <c r="IOK1638" s="21"/>
      <c r="IOL1638" s="21"/>
      <c r="IOM1638" s="21"/>
      <c r="ION1638" s="21"/>
      <c r="IOO1638" s="21"/>
      <c r="IOP1638" s="21"/>
      <c r="IOQ1638" s="21"/>
      <c r="IOR1638" s="21"/>
      <c r="IOS1638" s="21"/>
      <c r="IOT1638" s="21"/>
      <c r="IOU1638" s="21"/>
      <c r="IOV1638" s="21"/>
      <c r="IOW1638" s="21"/>
      <c r="IOX1638" s="21"/>
      <c r="IOY1638" s="21"/>
      <c r="IOZ1638" s="21"/>
      <c r="IPA1638" s="21"/>
      <c r="IPB1638" s="21"/>
      <c r="IPC1638" s="21"/>
      <c r="IPD1638" s="21"/>
      <c r="IPE1638" s="21"/>
      <c r="IPF1638" s="21"/>
      <c r="IPG1638" s="21"/>
      <c r="IPH1638" s="21"/>
      <c r="IPI1638" s="21"/>
      <c r="IPJ1638" s="21"/>
      <c r="IPK1638" s="21"/>
      <c r="IPL1638" s="21"/>
      <c r="IPM1638" s="21"/>
      <c r="IPN1638" s="21"/>
      <c r="IPO1638" s="21"/>
      <c r="IPP1638" s="21"/>
      <c r="IPQ1638" s="21"/>
      <c r="IPR1638" s="21"/>
      <c r="IPS1638" s="21"/>
      <c r="IPT1638" s="21"/>
      <c r="IPU1638" s="21"/>
      <c r="IPV1638" s="21"/>
      <c r="IPW1638" s="21"/>
      <c r="IPX1638" s="21"/>
      <c r="IPY1638" s="21"/>
      <c r="IPZ1638" s="21"/>
      <c r="IQA1638" s="21"/>
      <c r="IQB1638" s="21"/>
      <c r="IQC1638" s="21"/>
      <c r="IQD1638" s="21"/>
      <c r="IQE1638" s="21"/>
      <c r="IQF1638" s="21"/>
      <c r="IQG1638" s="21"/>
      <c r="IQH1638" s="21"/>
      <c r="IQI1638" s="21"/>
      <c r="IQJ1638" s="21"/>
      <c r="IQK1638" s="21"/>
      <c r="IQL1638" s="21"/>
      <c r="IQM1638" s="21"/>
      <c r="IQN1638" s="21"/>
      <c r="IQO1638" s="21"/>
      <c r="IQP1638" s="21"/>
      <c r="IQQ1638" s="21"/>
      <c r="IQR1638" s="21"/>
      <c r="IQS1638" s="21"/>
      <c r="IQT1638" s="21"/>
      <c r="IQU1638" s="21"/>
      <c r="IQV1638" s="21"/>
      <c r="IQW1638" s="21"/>
      <c r="IQX1638" s="21"/>
      <c r="IQY1638" s="21"/>
      <c r="IQZ1638" s="21"/>
      <c r="IRA1638" s="21"/>
      <c r="IRB1638" s="21"/>
      <c r="IRC1638" s="21"/>
      <c r="IRD1638" s="21"/>
      <c r="IRE1638" s="21"/>
      <c r="IRF1638" s="21"/>
      <c r="IRG1638" s="21"/>
      <c r="IRH1638" s="21"/>
      <c r="IRI1638" s="21"/>
      <c r="IRJ1638" s="21"/>
      <c r="IRK1638" s="21"/>
      <c r="IRL1638" s="21"/>
      <c r="IRM1638" s="21"/>
      <c r="IRN1638" s="21"/>
      <c r="IRO1638" s="21"/>
      <c r="IRP1638" s="21"/>
      <c r="IRQ1638" s="21"/>
      <c r="IRR1638" s="21"/>
      <c r="IRS1638" s="21"/>
      <c r="IRT1638" s="21"/>
      <c r="IRU1638" s="21"/>
      <c r="IRV1638" s="21"/>
      <c r="IRW1638" s="21"/>
      <c r="IRX1638" s="21"/>
      <c r="IRY1638" s="21"/>
      <c r="IRZ1638" s="21"/>
      <c r="ISA1638" s="21"/>
      <c r="ISB1638" s="21"/>
      <c r="ISC1638" s="21"/>
      <c r="ISD1638" s="21"/>
      <c r="ISE1638" s="21"/>
      <c r="ISF1638" s="21"/>
      <c r="ISG1638" s="21"/>
      <c r="ISH1638" s="21"/>
      <c r="ISI1638" s="21"/>
      <c r="ISJ1638" s="21"/>
      <c r="ISK1638" s="21"/>
      <c r="ISL1638" s="21"/>
      <c r="ISM1638" s="21"/>
      <c r="ISN1638" s="21"/>
      <c r="ISO1638" s="21"/>
      <c r="ISP1638" s="21"/>
      <c r="ISQ1638" s="21"/>
      <c r="ISR1638" s="21"/>
      <c r="ISS1638" s="21"/>
      <c r="IST1638" s="21"/>
      <c r="ISU1638" s="21"/>
      <c r="ISV1638" s="21"/>
      <c r="ISW1638" s="21"/>
      <c r="ISX1638" s="21"/>
      <c r="ISY1638" s="21"/>
      <c r="ISZ1638" s="21"/>
      <c r="ITA1638" s="21"/>
      <c r="ITB1638" s="21"/>
      <c r="ITC1638" s="21"/>
      <c r="ITD1638" s="21"/>
      <c r="ITE1638" s="21"/>
      <c r="ITF1638" s="21"/>
      <c r="ITG1638" s="21"/>
      <c r="ITH1638" s="21"/>
      <c r="ITI1638" s="21"/>
      <c r="ITJ1638" s="21"/>
      <c r="ITK1638" s="21"/>
      <c r="ITL1638" s="21"/>
      <c r="ITM1638" s="21"/>
      <c r="ITN1638" s="21"/>
      <c r="ITO1638" s="21"/>
      <c r="ITP1638" s="21"/>
      <c r="ITQ1638" s="21"/>
      <c r="ITR1638" s="21"/>
      <c r="ITS1638" s="21"/>
      <c r="ITT1638" s="21"/>
      <c r="ITU1638" s="21"/>
      <c r="ITV1638" s="21"/>
      <c r="ITW1638" s="21"/>
      <c r="ITX1638" s="21"/>
      <c r="ITY1638" s="21"/>
      <c r="ITZ1638" s="21"/>
      <c r="IUA1638" s="21"/>
      <c r="IUB1638" s="21"/>
      <c r="IUC1638" s="21"/>
      <c r="IUD1638" s="21"/>
      <c r="IUE1638" s="21"/>
      <c r="IUF1638" s="21"/>
      <c r="IUG1638" s="21"/>
      <c r="IUH1638" s="21"/>
      <c r="IUI1638" s="21"/>
      <c r="IUJ1638" s="21"/>
      <c r="IUK1638" s="21"/>
      <c r="IUL1638" s="21"/>
      <c r="IUM1638" s="21"/>
      <c r="IUN1638" s="21"/>
      <c r="IUO1638" s="21"/>
      <c r="IUP1638" s="21"/>
      <c r="IUQ1638" s="21"/>
      <c r="IUR1638" s="21"/>
      <c r="IUS1638" s="21"/>
      <c r="IUT1638" s="21"/>
      <c r="IUU1638" s="21"/>
      <c r="IUV1638" s="21"/>
      <c r="IUW1638" s="21"/>
      <c r="IUX1638" s="21"/>
      <c r="IUY1638" s="21"/>
      <c r="IUZ1638" s="21"/>
      <c r="IVA1638" s="21"/>
      <c r="IVB1638" s="21"/>
      <c r="IVC1638" s="21"/>
      <c r="IVD1638" s="21"/>
      <c r="IVE1638" s="21"/>
      <c r="IVF1638" s="21"/>
      <c r="IVG1638" s="21"/>
      <c r="IVH1638" s="21"/>
      <c r="IVI1638" s="21"/>
      <c r="IVJ1638" s="21"/>
      <c r="IVK1638" s="21"/>
      <c r="IVL1638" s="21"/>
      <c r="IVM1638" s="21"/>
      <c r="IVN1638" s="21"/>
      <c r="IVO1638" s="21"/>
      <c r="IVP1638" s="21"/>
      <c r="IVQ1638" s="21"/>
      <c r="IVR1638" s="21"/>
      <c r="IVS1638" s="21"/>
      <c r="IVT1638" s="21"/>
      <c r="IVU1638" s="21"/>
      <c r="IVV1638" s="21"/>
      <c r="IVW1638" s="21"/>
      <c r="IVX1638" s="21"/>
      <c r="IVY1638" s="21"/>
      <c r="IVZ1638" s="21"/>
      <c r="IWA1638" s="21"/>
      <c r="IWB1638" s="21"/>
      <c r="IWC1638" s="21"/>
      <c r="IWD1638" s="21"/>
      <c r="IWE1638" s="21"/>
      <c r="IWF1638" s="21"/>
      <c r="IWG1638" s="21"/>
      <c r="IWH1638" s="21"/>
      <c r="IWI1638" s="21"/>
      <c r="IWJ1638" s="21"/>
      <c r="IWK1638" s="21"/>
      <c r="IWL1638" s="21"/>
      <c r="IWM1638" s="21"/>
      <c r="IWN1638" s="21"/>
      <c r="IWO1638" s="21"/>
      <c r="IWP1638" s="21"/>
      <c r="IWQ1638" s="21"/>
      <c r="IWR1638" s="21"/>
      <c r="IWS1638" s="21"/>
      <c r="IWT1638" s="21"/>
      <c r="IWU1638" s="21"/>
      <c r="IWV1638" s="21"/>
      <c r="IWW1638" s="21"/>
      <c r="IWX1638" s="21"/>
      <c r="IWY1638" s="21"/>
      <c r="IWZ1638" s="21"/>
      <c r="IXA1638" s="21"/>
      <c r="IXB1638" s="21"/>
      <c r="IXC1638" s="21"/>
      <c r="IXD1638" s="21"/>
      <c r="IXE1638" s="21"/>
      <c r="IXF1638" s="21"/>
      <c r="IXG1638" s="21"/>
      <c r="IXH1638" s="21"/>
      <c r="IXI1638" s="21"/>
      <c r="IXJ1638" s="21"/>
      <c r="IXK1638" s="21"/>
      <c r="IXL1638" s="21"/>
      <c r="IXM1638" s="21"/>
      <c r="IXN1638" s="21"/>
      <c r="IXO1638" s="21"/>
      <c r="IXP1638" s="21"/>
      <c r="IXQ1638" s="21"/>
      <c r="IXR1638" s="21"/>
      <c r="IXS1638" s="21"/>
      <c r="IXT1638" s="21"/>
      <c r="IXU1638" s="21"/>
      <c r="IXV1638" s="21"/>
      <c r="IXW1638" s="21"/>
      <c r="IXX1638" s="21"/>
      <c r="IXY1638" s="21"/>
      <c r="IXZ1638" s="21"/>
      <c r="IYA1638" s="21"/>
      <c r="IYB1638" s="21"/>
      <c r="IYC1638" s="21"/>
      <c r="IYD1638" s="21"/>
      <c r="IYE1638" s="21"/>
      <c r="IYF1638" s="21"/>
      <c r="IYG1638" s="21"/>
      <c r="IYH1638" s="21"/>
      <c r="IYI1638" s="21"/>
      <c r="IYJ1638" s="21"/>
      <c r="IYK1638" s="21"/>
      <c r="IYL1638" s="21"/>
      <c r="IYM1638" s="21"/>
      <c r="IYN1638" s="21"/>
      <c r="IYO1638" s="21"/>
      <c r="IYP1638" s="21"/>
      <c r="IYQ1638" s="21"/>
      <c r="IYR1638" s="21"/>
      <c r="IYS1638" s="21"/>
      <c r="IYT1638" s="21"/>
      <c r="IYU1638" s="21"/>
      <c r="IYV1638" s="21"/>
      <c r="IYW1638" s="21"/>
      <c r="IYX1638" s="21"/>
      <c r="IYY1638" s="21"/>
      <c r="IYZ1638" s="21"/>
      <c r="IZA1638" s="21"/>
      <c r="IZB1638" s="21"/>
      <c r="IZC1638" s="21"/>
      <c r="IZD1638" s="21"/>
      <c r="IZE1638" s="21"/>
      <c r="IZF1638" s="21"/>
      <c r="IZG1638" s="21"/>
      <c r="IZH1638" s="21"/>
      <c r="IZI1638" s="21"/>
      <c r="IZJ1638" s="21"/>
      <c r="IZK1638" s="21"/>
      <c r="IZL1638" s="21"/>
      <c r="IZM1638" s="21"/>
      <c r="IZN1638" s="21"/>
      <c r="IZO1638" s="21"/>
      <c r="IZP1638" s="21"/>
      <c r="IZQ1638" s="21"/>
      <c r="IZR1638" s="21"/>
      <c r="IZS1638" s="21"/>
      <c r="IZT1638" s="21"/>
      <c r="IZU1638" s="21"/>
      <c r="IZV1638" s="21"/>
      <c r="IZW1638" s="21"/>
      <c r="IZX1638" s="21"/>
      <c r="IZY1638" s="21"/>
      <c r="IZZ1638" s="21"/>
      <c r="JAA1638" s="21"/>
      <c r="JAB1638" s="21"/>
      <c r="JAC1638" s="21"/>
      <c r="JAD1638" s="21"/>
      <c r="JAE1638" s="21"/>
      <c r="JAF1638" s="21"/>
      <c r="JAG1638" s="21"/>
      <c r="JAH1638" s="21"/>
      <c r="JAI1638" s="21"/>
      <c r="JAJ1638" s="21"/>
      <c r="JAK1638" s="21"/>
      <c r="JAL1638" s="21"/>
      <c r="JAM1638" s="21"/>
      <c r="JAN1638" s="21"/>
      <c r="JAO1638" s="21"/>
      <c r="JAP1638" s="21"/>
      <c r="JAQ1638" s="21"/>
      <c r="JAR1638" s="21"/>
      <c r="JAS1638" s="21"/>
      <c r="JAT1638" s="21"/>
      <c r="JAU1638" s="21"/>
      <c r="JAV1638" s="21"/>
      <c r="JAW1638" s="21"/>
      <c r="JAX1638" s="21"/>
      <c r="JAY1638" s="21"/>
      <c r="JAZ1638" s="21"/>
      <c r="JBA1638" s="21"/>
      <c r="JBB1638" s="21"/>
      <c r="JBC1638" s="21"/>
      <c r="JBD1638" s="21"/>
      <c r="JBE1638" s="21"/>
      <c r="JBF1638" s="21"/>
      <c r="JBG1638" s="21"/>
      <c r="JBH1638" s="21"/>
      <c r="JBI1638" s="21"/>
      <c r="JBJ1638" s="21"/>
      <c r="JBK1638" s="21"/>
      <c r="JBL1638" s="21"/>
      <c r="JBM1638" s="21"/>
      <c r="JBN1638" s="21"/>
      <c r="JBO1638" s="21"/>
      <c r="JBP1638" s="21"/>
      <c r="JBQ1638" s="21"/>
      <c r="JBR1638" s="21"/>
      <c r="JBS1638" s="21"/>
      <c r="JBT1638" s="21"/>
      <c r="JBU1638" s="21"/>
      <c r="JBV1638" s="21"/>
      <c r="JBW1638" s="21"/>
      <c r="JBX1638" s="21"/>
      <c r="JBY1638" s="21"/>
      <c r="JBZ1638" s="21"/>
      <c r="JCA1638" s="21"/>
      <c r="JCB1638" s="21"/>
      <c r="JCC1638" s="21"/>
      <c r="JCD1638" s="21"/>
      <c r="JCE1638" s="21"/>
      <c r="JCF1638" s="21"/>
      <c r="JCG1638" s="21"/>
      <c r="JCH1638" s="21"/>
      <c r="JCI1638" s="21"/>
      <c r="JCJ1638" s="21"/>
      <c r="JCK1638" s="21"/>
      <c r="JCL1638" s="21"/>
      <c r="JCM1638" s="21"/>
      <c r="JCN1638" s="21"/>
      <c r="JCO1638" s="21"/>
      <c r="JCP1638" s="21"/>
      <c r="JCQ1638" s="21"/>
      <c r="JCR1638" s="21"/>
      <c r="JCS1638" s="21"/>
      <c r="JCT1638" s="21"/>
      <c r="JCU1638" s="21"/>
      <c r="JCV1638" s="21"/>
      <c r="JCW1638" s="21"/>
      <c r="JCX1638" s="21"/>
      <c r="JCY1638" s="21"/>
      <c r="JCZ1638" s="21"/>
      <c r="JDA1638" s="21"/>
      <c r="JDB1638" s="21"/>
      <c r="JDC1638" s="21"/>
      <c r="JDD1638" s="21"/>
      <c r="JDE1638" s="21"/>
      <c r="JDF1638" s="21"/>
      <c r="JDG1638" s="21"/>
      <c r="JDH1638" s="21"/>
      <c r="JDI1638" s="21"/>
      <c r="JDJ1638" s="21"/>
      <c r="JDK1638" s="21"/>
      <c r="JDL1638" s="21"/>
      <c r="JDM1638" s="21"/>
      <c r="JDN1638" s="21"/>
      <c r="JDO1638" s="21"/>
      <c r="JDP1638" s="21"/>
      <c r="JDQ1638" s="21"/>
      <c r="JDR1638" s="21"/>
      <c r="JDS1638" s="21"/>
      <c r="JDT1638" s="21"/>
      <c r="JDU1638" s="21"/>
      <c r="JDV1638" s="21"/>
      <c r="JDW1638" s="21"/>
      <c r="JDX1638" s="21"/>
      <c r="JDY1638" s="21"/>
      <c r="JDZ1638" s="21"/>
      <c r="JEA1638" s="21"/>
      <c r="JEB1638" s="21"/>
      <c r="JEC1638" s="21"/>
      <c r="JED1638" s="21"/>
      <c r="JEE1638" s="21"/>
      <c r="JEF1638" s="21"/>
      <c r="JEG1638" s="21"/>
      <c r="JEH1638" s="21"/>
      <c r="JEI1638" s="21"/>
      <c r="JEJ1638" s="21"/>
      <c r="JEK1638" s="21"/>
      <c r="JEL1638" s="21"/>
      <c r="JEM1638" s="21"/>
      <c r="JEN1638" s="21"/>
      <c r="JEO1638" s="21"/>
      <c r="JEP1638" s="21"/>
      <c r="JEQ1638" s="21"/>
      <c r="JER1638" s="21"/>
      <c r="JES1638" s="21"/>
      <c r="JET1638" s="21"/>
      <c r="JEU1638" s="21"/>
      <c r="JEV1638" s="21"/>
      <c r="JEW1638" s="21"/>
      <c r="JEX1638" s="21"/>
      <c r="JEY1638" s="21"/>
      <c r="JEZ1638" s="21"/>
      <c r="JFA1638" s="21"/>
      <c r="JFB1638" s="21"/>
      <c r="JFC1638" s="21"/>
      <c r="JFD1638" s="21"/>
      <c r="JFE1638" s="21"/>
      <c r="JFF1638" s="21"/>
      <c r="JFG1638" s="21"/>
      <c r="JFH1638" s="21"/>
      <c r="JFI1638" s="21"/>
      <c r="JFJ1638" s="21"/>
      <c r="JFK1638" s="21"/>
      <c r="JFL1638" s="21"/>
      <c r="JFM1638" s="21"/>
      <c r="JFN1638" s="21"/>
      <c r="JFO1638" s="21"/>
      <c r="JFP1638" s="21"/>
      <c r="JFQ1638" s="21"/>
      <c r="JFR1638" s="21"/>
      <c r="JFS1638" s="21"/>
      <c r="JFT1638" s="21"/>
      <c r="JFU1638" s="21"/>
      <c r="JFV1638" s="21"/>
      <c r="JFW1638" s="21"/>
      <c r="JFX1638" s="21"/>
      <c r="JFY1638" s="21"/>
      <c r="JFZ1638" s="21"/>
      <c r="JGA1638" s="21"/>
      <c r="JGB1638" s="21"/>
      <c r="JGC1638" s="21"/>
      <c r="JGD1638" s="21"/>
      <c r="JGE1638" s="21"/>
      <c r="JGF1638" s="21"/>
      <c r="JGG1638" s="21"/>
      <c r="JGH1638" s="21"/>
      <c r="JGI1638" s="21"/>
      <c r="JGJ1638" s="21"/>
      <c r="JGK1638" s="21"/>
      <c r="JGL1638" s="21"/>
      <c r="JGM1638" s="21"/>
      <c r="JGN1638" s="21"/>
      <c r="JGO1638" s="21"/>
      <c r="JGP1638" s="21"/>
      <c r="JGQ1638" s="21"/>
      <c r="JGR1638" s="21"/>
      <c r="JGS1638" s="21"/>
      <c r="JGT1638" s="21"/>
      <c r="JGU1638" s="21"/>
      <c r="JGV1638" s="21"/>
      <c r="JGW1638" s="21"/>
      <c r="JGX1638" s="21"/>
      <c r="JGY1638" s="21"/>
      <c r="JGZ1638" s="21"/>
      <c r="JHA1638" s="21"/>
      <c r="JHB1638" s="21"/>
      <c r="JHC1638" s="21"/>
      <c r="JHD1638" s="21"/>
      <c r="JHE1638" s="21"/>
      <c r="JHF1638" s="21"/>
      <c r="JHG1638" s="21"/>
      <c r="JHH1638" s="21"/>
      <c r="JHI1638" s="21"/>
      <c r="JHJ1638" s="21"/>
      <c r="JHK1638" s="21"/>
      <c r="JHL1638" s="21"/>
      <c r="JHM1638" s="21"/>
      <c r="JHN1638" s="21"/>
      <c r="JHO1638" s="21"/>
      <c r="JHP1638" s="21"/>
      <c r="JHQ1638" s="21"/>
      <c r="JHR1638" s="21"/>
      <c r="JHS1638" s="21"/>
      <c r="JHT1638" s="21"/>
      <c r="JHU1638" s="21"/>
      <c r="JHV1638" s="21"/>
      <c r="JHW1638" s="21"/>
      <c r="JHX1638" s="21"/>
      <c r="JHY1638" s="21"/>
      <c r="JHZ1638" s="21"/>
      <c r="JIA1638" s="21"/>
      <c r="JIB1638" s="21"/>
      <c r="JIC1638" s="21"/>
      <c r="JID1638" s="21"/>
      <c r="JIE1638" s="21"/>
      <c r="JIF1638" s="21"/>
      <c r="JIG1638" s="21"/>
      <c r="JIH1638" s="21"/>
      <c r="JII1638" s="21"/>
      <c r="JIJ1638" s="21"/>
      <c r="JIK1638" s="21"/>
      <c r="JIL1638" s="21"/>
      <c r="JIM1638" s="21"/>
      <c r="JIN1638" s="21"/>
      <c r="JIO1638" s="21"/>
      <c r="JIP1638" s="21"/>
      <c r="JIQ1638" s="21"/>
      <c r="JIR1638" s="21"/>
      <c r="JIS1638" s="21"/>
      <c r="JIT1638" s="21"/>
      <c r="JIU1638" s="21"/>
      <c r="JIV1638" s="21"/>
      <c r="JIW1638" s="21"/>
      <c r="JIX1638" s="21"/>
      <c r="JIY1638" s="21"/>
      <c r="JIZ1638" s="21"/>
      <c r="JJA1638" s="21"/>
      <c r="JJB1638" s="21"/>
      <c r="JJC1638" s="21"/>
      <c r="JJD1638" s="21"/>
      <c r="JJE1638" s="21"/>
      <c r="JJF1638" s="21"/>
      <c r="JJG1638" s="21"/>
      <c r="JJH1638" s="21"/>
      <c r="JJI1638" s="21"/>
      <c r="JJJ1638" s="21"/>
      <c r="JJK1638" s="21"/>
      <c r="JJL1638" s="21"/>
      <c r="JJM1638" s="21"/>
      <c r="JJN1638" s="21"/>
      <c r="JJO1638" s="21"/>
      <c r="JJP1638" s="21"/>
      <c r="JJQ1638" s="21"/>
      <c r="JJR1638" s="21"/>
      <c r="JJS1638" s="21"/>
      <c r="JJT1638" s="21"/>
      <c r="JJU1638" s="21"/>
      <c r="JJV1638" s="21"/>
      <c r="JJW1638" s="21"/>
      <c r="JJX1638" s="21"/>
      <c r="JJY1638" s="21"/>
      <c r="JJZ1638" s="21"/>
      <c r="JKA1638" s="21"/>
      <c r="JKB1638" s="21"/>
      <c r="JKC1638" s="21"/>
      <c r="JKD1638" s="21"/>
      <c r="JKE1638" s="21"/>
      <c r="JKF1638" s="21"/>
      <c r="JKG1638" s="21"/>
      <c r="JKH1638" s="21"/>
      <c r="JKI1638" s="21"/>
      <c r="JKJ1638" s="21"/>
      <c r="JKK1638" s="21"/>
      <c r="JKL1638" s="21"/>
      <c r="JKM1638" s="21"/>
      <c r="JKN1638" s="21"/>
      <c r="JKO1638" s="21"/>
      <c r="JKP1638" s="21"/>
      <c r="JKQ1638" s="21"/>
      <c r="JKR1638" s="21"/>
      <c r="JKS1638" s="21"/>
      <c r="JKT1638" s="21"/>
      <c r="JKU1638" s="21"/>
      <c r="JKV1638" s="21"/>
      <c r="JKW1638" s="21"/>
      <c r="JKX1638" s="21"/>
      <c r="JKY1638" s="21"/>
      <c r="JKZ1638" s="21"/>
      <c r="JLA1638" s="21"/>
      <c r="JLB1638" s="21"/>
      <c r="JLC1638" s="21"/>
      <c r="JLD1638" s="21"/>
      <c r="JLE1638" s="21"/>
      <c r="JLF1638" s="21"/>
      <c r="JLG1638" s="21"/>
      <c r="JLH1638" s="21"/>
      <c r="JLI1638" s="21"/>
      <c r="JLJ1638" s="21"/>
      <c r="JLK1638" s="21"/>
      <c r="JLL1638" s="21"/>
      <c r="JLM1638" s="21"/>
      <c r="JLN1638" s="21"/>
      <c r="JLO1638" s="21"/>
      <c r="JLP1638" s="21"/>
      <c r="JLQ1638" s="21"/>
      <c r="JLR1638" s="21"/>
      <c r="JLS1638" s="21"/>
      <c r="JLT1638" s="21"/>
      <c r="JLU1638" s="21"/>
      <c r="JLV1638" s="21"/>
      <c r="JLW1638" s="21"/>
      <c r="JLX1638" s="21"/>
      <c r="JLY1638" s="21"/>
      <c r="JLZ1638" s="21"/>
      <c r="JMA1638" s="21"/>
      <c r="JMB1638" s="21"/>
      <c r="JMC1638" s="21"/>
      <c r="JMD1638" s="21"/>
      <c r="JME1638" s="21"/>
      <c r="JMF1638" s="21"/>
      <c r="JMG1638" s="21"/>
      <c r="JMH1638" s="21"/>
      <c r="JMI1638" s="21"/>
      <c r="JMJ1638" s="21"/>
      <c r="JMK1638" s="21"/>
      <c r="JML1638" s="21"/>
      <c r="JMM1638" s="21"/>
      <c r="JMN1638" s="21"/>
      <c r="JMO1638" s="21"/>
      <c r="JMP1638" s="21"/>
      <c r="JMQ1638" s="21"/>
      <c r="JMR1638" s="21"/>
      <c r="JMS1638" s="21"/>
      <c r="JMT1638" s="21"/>
      <c r="JMU1638" s="21"/>
      <c r="JMV1638" s="21"/>
      <c r="JMW1638" s="21"/>
      <c r="JMX1638" s="21"/>
      <c r="JMY1638" s="21"/>
      <c r="JMZ1638" s="21"/>
      <c r="JNA1638" s="21"/>
      <c r="JNB1638" s="21"/>
      <c r="JNC1638" s="21"/>
      <c r="JND1638" s="21"/>
      <c r="JNE1638" s="21"/>
      <c r="JNF1638" s="21"/>
      <c r="JNG1638" s="21"/>
      <c r="JNH1638" s="21"/>
      <c r="JNI1638" s="21"/>
      <c r="JNJ1638" s="21"/>
      <c r="JNK1638" s="21"/>
      <c r="JNL1638" s="21"/>
      <c r="JNM1638" s="21"/>
      <c r="JNN1638" s="21"/>
      <c r="JNO1638" s="21"/>
      <c r="JNP1638" s="21"/>
      <c r="JNQ1638" s="21"/>
      <c r="JNR1638" s="21"/>
      <c r="JNS1638" s="21"/>
      <c r="JNT1638" s="21"/>
      <c r="JNU1638" s="21"/>
      <c r="JNV1638" s="21"/>
      <c r="JNW1638" s="21"/>
      <c r="JNX1638" s="21"/>
      <c r="JNY1638" s="21"/>
      <c r="JNZ1638" s="21"/>
      <c r="JOA1638" s="21"/>
      <c r="JOB1638" s="21"/>
      <c r="JOC1638" s="21"/>
      <c r="JOD1638" s="21"/>
      <c r="JOE1638" s="21"/>
      <c r="JOF1638" s="21"/>
      <c r="JOG1638" s="21"/>
      <c r="JOH1638" s="21"/>
      <c r="JOI1638" s="21"/>
      <c r="JOJ1638" s="21"/>
      <c r="JOK1638" s="21"/>
      <c r="JOL1638" s="21"/>
      <c r="JOM1638" s="21"/>
      <c r="JON1638" s="21"/>
      <c r="JOO1638" s="21"/>
      <c r="JOP1638" s="21"/>
      <c r="JOQ1638" s="21"/>
      <c r="JOR1638" s="21"/>
      <c r="JOS1638" s="21"/>
      <c r="JOT1638" s="21"/>
      <c r="JOU1638" s="21"/>
      <c r="JOV1638" s="21"/>
      <c r="JOW1638" s="21"/>
      <c r="JOX1638" s="21"/>
      <c r="JOY1638" s="21"/>
      <c r="JOZ1638" s="21"/>
      <c r="JPA1638" s="21"/>
      <c r="JPB1638" s="21"/>
      <c r="JPC1638" s="21"/>
      <c r="JPD1638" s="21"/>
      <c r="JPE1638" s="21"/>
      <c r="JPF1638" s="21"/>
      <c r="JPG1638" s="21"/>
      <c r="JPH1638" s="21"/>
      <c r="JPI1638" s="21"/>
      <c r="JPJ1638" s="21"/>
      <c r="JPK1638" s="21"/>
      <c r="JPL1638" s="21"/>
      <c r="JPM1638" s="21"/>
      <c r="JPN1638" s="21"/>
      <c r="JPO1638" s="21"/>
      <c r="JPP1638" s="21"/>
      <c r="JPQ1638" s="21"/>
      <c r="JPR1638" s="21"/>
      <c r="JPS1638" s="21"/>
      <c r="JPT1638" s="21"/>
      <c r="JPU1638" s="21"/>
      <c r="JPV1638" s="21"/>
      <c r="JPW1638" s="21"/>
      <c r="JPX1638" s="21"/>
      <c r="JPY1638" s="21"/>
      <c r="JPZ1638" s="21"/>
      <c r="JQA1638" s="21"/>
      <c r="JQB1638" s="21"/>
      <c r="JQC1638" s="21"/>
      <c r="JQD1638" s="21"/>
      <c r="JQE1638" s="21"/>
      <c r="JQF1638" s="21"/>
      <c r="JQG1638" s="21"/>
      <c r="JQH1638" s="21"/>
      <c r="JQI1638" s="21"/>
      <c r="JQJ1638" s="21"/>
      <c r="JQK1638" s="21"/>
      <c r="JQL1638" s="21"/>
      <c r="JQM1638" s="21"/>
      <c r="JQN1638" s="21"/>
      <c r="JQO1638" s="21"/>
      <c r="JQP1638" s="21"/>
      <c r="JQQ1638" s="21"/>
      <c r="JQR1638" s="21"/>
      <c r="JQS1638" s="21"/>
      <c r="JQT1638" s="21"/>
      <c r="JQU1638" s="21"/>
      <c r="JQV1638" s="21"/>
      <c r="JQW1638" s="21"/>
      <c r="JQX1638" s="21"/>
      <c r="JQY1638" s="21"/>
      <c r="JQZ1638" s="21"/>
      <c r="JRA1638" s="21"/>
      <c r="JRB1638" s="21"/>
      <c r="JRC1638" s="21"/>
      <c r="JRD1638" s="21"/>
      <c r="JRE1638" s="21"/>
      <c r="JRF1638" s="21"/>
      <c r="JRG1638" s="21"/>
      <c r="JRH1638" s="21"/>
      <c r="JRI1638" s="21"/>
      <c r="JRJ1638" s="21"/>
      <c r="JRK1638" s="21"/>
      <c r="JRL1638" s="21"/>
      <c r="JRM1638" s="21"/>
      <c r="JRN1638" s="21"/>
      <c r="JRO1638" s="21"/>
      <c r="JRP1638" s="21"/>
      <c r="JRQ1638" s="21"/>
      <c r="JRR1638" s="21"/>
      <c r="JRS1638" s="21"/>
      <c r="JRT1638" s="21"/>
      <c r="JRU1638" s="21"/>
      <c r="JRV1638" s="21"/>
      <c r="JRW1638" s="21"/>
      <c r="JRX1638" s="21"/>
      <c r="JRY1638" s="21"/>
      <c r="JRZ1638" s="21"/>
      <c r="JSA1638" s="21"/>
      <c r="JSB1638" s="21"/>
      <c r="JSC1638" s="21"/>
      <c r="JSD1638" s="21"/>
      <c r="JSE1638" s="21"/>
      <c r="JSF1638" s="21"/>
      <c r="JSG1638" s="21"/>
      <c r="JSH1638" s="21"/>
      <c r="JSI1638" s="21"/>
      <c r="JSJ1638" s="21"/>
      <c r="JSK1638" s="21"/>
      <c r="JSL1638" s="21"/>
      <c r="JSM1638" s="21"/>
      <c r="JSN1638" s="21"/>
      <c r="JSO1638" s="21"/>
      <c r="JSP1638" s="21"/>
      <c r="JSQ1638" s="21"/>
      <c r="JSR1638" s="21"/>
      <c r="JSS1638" s="21"/>
      <c r="JST1638" s="21"/>
      <c r="JSU1638" s="21"/>
      <c r="JSV1638" s="21"/>
      <c r="JSW1638" s="21"/>
      <c r="JSX1638" s="21"/>
      <c r="JSY1638" s="21"/>
      <c r="JSZ1638" s="21"/>
      <c r="JTA1638" s="21"/>
      <c r="JTB1638" s="21"/>
      <c r="JTC1638" s="21"/>
      <c r="JTD1638" s="21"/>
      <c r="JTE1638" s="21"/>
      <c r="JTF1638" s="21"/>
      <c r="JTG1638" s="21"/>
      <c r="JTH1638" s="21"/>
      <c r="JTI1638" s="21"/>
      <c r="JTJ1638" s="21"/>
      <c r="JTK1638" s="21"/>
      <c r="JTL1638" s="21"/>
      <c r="JTM1638" s="21"/>
      <c r="JTN1638" s="21"/>
      <c r="JTO1638" s="21"/>
      <c r="JTP1638" s="21"/>
      <c r="JTQ1638" s="21"/>
      <c r="JTR1638" s="21"/>
      <c r="JTS1638" s="21"/>
      <c r="JTT1638" s="21"/>
      <c r="JTU1638" s="21"/>
      <c r="JTV1638" s="21"/>
      <c r="JTW1638" s="21"/>
      <c r="JTX1638" s="21"/>
      <c r="JTY1638" s="21"/>
      <c r="JTZ1638" s="21"/>
      <c r="JUA1638" s="21"/>
      <c r="JUB1638" s="21"/>
      <c r="JUC1638" s="21"/>
      <c r="JUD1638" s="21"/>
      <c r="JUE1638" s="21"/>
      <c r="JUF1638" s="21"/>
      <c r="JUG1638" s="21"/>
      <c r="JUH1638" s="21"/>
      <c r="JUI1638" s="21"/>
      <c r="JUJ1638" s="21"/>
      <c r="JUK1638" s="21"/>
      <c r="JUL1638" s="21"/>
      <c r="JUM1638" s="21"/>
      <c r="JUN1638" s="21"/>
      <c r="JUO1638" s="21"/>
      <c r="JUP1638" s="21"/>
      <c r="JUQ1638" s="21"/>
      <c r="JUR1638" s="21"/>
      <c r="JUS1638" s="21"/>
      <c r="JUT1638" s="21"/>
      <c r="JUU1638" s="21"/>
      <c r="JUV1638" s="21"/>
      <c r="JUW1638" s="21"/>
      <c r="JUX1638" s="21"/>
      <c r="JUY1638" s="21"/>
      <c r="JUZ1638" s="21"/>
      <c r="JVA1638" s="21"/>
      <c r="JVB1638" s="21"/>
      <c r="JVC1638" s="21"/>
      <c r="JVD1638" s="21"/>
      <c r="JVE1638" s="21"/>
      <c r="JVF1638" s="21"/>
      <c r="JVG1638" s="21"/>
      <c r="JVH1638" s="21"/>
      <c r="JVI1638" s="21"/>
      <c r="JVJ1638" s="21"/>
      <c r="JVK1638" s="21"/>
      <c r="JVL1638" s="21"/>
      <c r="JVM1638" s="21"/>
      <c r="JVN1638" s="21"/>
      <c r="JVO1638" s="21"/>
      <c r="JVP1638" s="21"/>
      <c r="JVQ1638" s="21"/>
      <c r="JVR1638" s="21"/>
      <c r="JVS1638" s="21"/>
      <c r="JVT1638" s="21"/>
      <c r="JVU1638" s="21"/>
      <c r="JVV1638" s="21"/>
      <c r="JVW1638" s="21"/>
      <c r="JVX1638" s="21"/>
      <c r="JVY1638" s="21"/>
      <c r="JVZ1638" s="21"/>
      <c r="JWA1638" s="21"/>
      <c r="JWB1638" s="21"/>
      <c r="JWC1638" s="21"/>
      <c r="JWD1638" s="21"/>
      <c r="JWE1638" s="21"/>
      <c r="JWF1638" s="21"/>
      <c r="JWG1638" s="21"/>
      <c r="JWH1638" s="21"/>
      <c r="JWI1638" s="21"/>
      <c r="JWJ1638" s="21"/>
      <c r="JWK1638" s="21"/>
      <c r="JWL1638" s="21"/>
      <c r="JWM1638" s="21"/>
      <c r="JWN1638" s="21"/>
      <c r="JWO1638" s="21"/>
      <c r="JWP1638" s="21"/>
      <c r="JWQ1638" s="21"/>
      <c r="JWR1638" s="21"/>
      <c r="JWS1638" s="21"/>
      <c r="JWT1638" s="21"/>
      <c r="JWU1638" s="21"/>
      <c r="JWV1638" s="21"/>
      <c r="JWW1638" s="21"/>
      <c r="JWX1638" s="21"/>
      <c r="JWY1638" s="21"/>
      <c r="JWZ1638" s="21"/>
      <c r="JXA1638" s="21"/>
      <c r="JXB1638" s="21"/>
      <c r="JXC1638" s="21"/>
      <c r="JXD1638" s="21"/>
      <c r="JXE1638" s="21"/>
      <c r="JXF1638" s="21"/>
      <c r="JXG1638" s="21"/>
      <c r="JXH1638" s="21"/>
      <c r="JXI1638" s="21"/>
      <c r="JXJ1638" s="21"/>
      <c r="JXK1638" s="21"/>
      <c r="JXL1638" s="21"/>
      <c r="JXM1638" s="21"/>
      <c r="JXN1638" s="21"/>
      <c r="JXO1638" s="21"/>
      <c r="JXP1638" s="21"/>
      <c r="JXQ1638" s="21"/>
      <c r="JXR1638" s="21"/>
      <c r="JXS1638" s="21"/>
      <c r="JXT1638" s="21"/>
      <c r="JXU1638" s="21"/>
      <c r="JXV1638" s="21"/>
      <c r="JXW1638" s="21"/>
      <c r="JXX1638" s="21"/>
      <c r="JXY1638" s="21"/>
      <c r="JXZ1638" s="21"/>
      <c r="JYA1638" s="21"/>
      <c r="JYB1638" s="21"/>
      <c r="JYC1638" s="21"/>
      <c r="JYD1638" s="21"/>
      <c r="JYE1638" s="21"/>
      <c r="JYF1638" s="21"/>
      <c r="JYG1638" s="21"/>
      <c r="JYH1638" s="21"/>
      <c r="JYI1638" s="21"/>
      <c r="JYJ1638" s="21"/>
      <c r="JYK1638" s="21"/>
      <c r="JYL1638" s="21"/>
      <c r="JYM1638" s="21"/>
      <c r="JYN1638" s="21"/>
      <c r="JYO1638" s="21"/>
      <c r="JYP1638" s="21"/>
      <c r="JYQ1638" s="21"/>
      <c r="JYR1638" s="21"/>
      <c r="JYS1638" s="21"/>
      <c r="JYT1638" s="21"/>
      <c r="JYU1638" s="21"/>
      <c r="JYV1638" s="21"/>
      <c r="JYW1638" s="21"/>
      <c r="JYX1638" s="21"/>
      <c r="JYY1638" s="21"/>
      <c r="JYZ1638" s="21"/>
      <c r="JZA1638" s="21"/>
      <c r="JZB1638" s="21"/>
      <c r="JZC1638" s="21"/>
      <c r="JZD1638" s="21"/>
      <c r="JZE1638" s="21"/>
      <c r="JZF1638" s="21"/>
      <c r="JZG1638" s="21"/>
      <c r="JZH1638" s="21"/>
      <c r="JZI1638" s="21"/>
      <c r="JZJ1638" s="21"/>
      <c r="JZK1638" s="21"/>
      <c r="JZL1638" s="21"/>
      <c r="JZM1638" s="21"/>
      <c r="JZN1638" s="21"/>
      <c r="JZO1638" s="21"/>
      <c r="JZP1638" s="21"/>
      <c r="JZQ1638" s="21"/>
      <c r="JZR1638" s="21"/>
      <c r="JZS1638" s="21"/>
      <c r="JZT1638" s="21"/>
      <c r="JZU1638" s="21"/>
      <c r="JZV1638" s="21"/>
      <c r="JZW1638" s="21"/>
      <c r="JZX1638" s="21"/>
      <c r="JZY1638" s="21"/>
      <c r="JZZ1638" s="21"/>
      <c r="KAA1638" s="21"/>
      <c r="KAB1638" s="21"/>
      <c r="KAC1638" s="21"/>
      <c r="KAD1638" s="21"/>
      <c r="KAE1638" s="21"/>
      <c r="KAF1638" s="21"/>
      <c r="KAG1638" s="21"/>
      <c r="KAH1638" s="21"/>
      <c r="KAI1638" s="21"/>
      <c r="KAJ1638" s="21"/>
      <c r="KAK1638" s="21"/>
      <c r="KAL1638" s="21"/>
      <c r="KAM1638" s="21"/>
      <c r="KAN1638" s="21"/>
      <c r="KAO1638" s="21"/>
      <c r="KAP1638" s="21"/>
      <c r="KAQ1638" s="21"/>
      <c r="KAR1638" s="21"/>
      <c r="KAS1638" s="21"/>
      <c r="KAT1638" s="21"/>
      <c r="KAU1638" s="21"/>
      <c r="KAV1638" s="21"/>
      <c r="KAW1638" s="21"/>
      <c r="KAX1638" s="21"/>
      <c r="KAY1638" s="21"/>
      <c r="KAZ1638" s="21"/>
      <c r="KBA1638" s="21"/>
      <c r="KBB1638" s="21"/>
      <c r="KBC1638" s="21"/>
      <c r="KBD1638" s="21"/>
      <c r="KBE1638" s="21"/>
      <c r="KBF1638" s="21"/>
      <c r="KBG1638" s="21"/>
      <c r="KBH1638" s="21"/>
      <c r="KBI1638" s="21"/>
      <c r="KBJ1638" s="21"/>
      <c r="KBK1638" s="21"/>
      <c r="KBL1638" s="21"/>
      <c r="KBM1638" s="21"/>
      <c r="KBN1638" s="21"/>
      <c r="KBO1638" s="21"/>
      <c r="KBP1638" s="21"/>
      <c r="KBQ1638" s="21"/>
      <c r="KBR1638" s="21"/>
      <c r="KBS1638" s="21"/>
      <c r="KBT1638" s="21"/>
      <c r="KBU1638" s="21"/>
      <c r="KBV1638" s="21"/>
      <c r="KBW1638" s="21"/>
      <c r="KBX1638" s="21"/>
      <c r="KBY1638" s="21"/>
      <c r="KBZ1638" s="21"/>
      <c r="KCA1638" s="21"/>
      <c r="KCB1638" s="21"/>
      <c r="KCC1638" s="21"/>
      <c r="KCD1638" s="21"/>
      <c r="KCE1638" s="21"/>
      <c r="KCF1638" s="21"/>
      <c r="KCG1638" s="21"/>
      <c r="KCH1638" s="21"/>
      <c r="KCI1638" s="21"/>
      <c r="KCJ1638" s="21"/>
      <c r="KCK1638" s="21"/>
      <c r="KCL1638" s="21"/>
      <c r="KCM1638" s="21"/>
      <c r="KCN1638" s="21"/>
      <c r="KCO1638" s="21"/>
      <c r="KCP1638" s="21"/>
      <c r="KCQ1638" s="21"/>
      <c r="KCR1638" s="21"/>
      <c r="KCS1638" s="21"/>
      <c r="KCT1638" s="21"/>
      <c r="KCU1638" s="21"/>
      <c r="KCV1638" s="21"/>
      <c r="KCW1638" s="21"/>
      <c r="KCX1638" s="21"/>
      <c r="KCY1638" s="21"/>
      <c r="KCZ1638" s="21"/>
      <c r="KDA1638" s="21"/>
      <c r="KDB1638" s="21"/>
      <c r="KDC1638" s="21"/>
      <c r="KDD1638" s="21"/>
      <c r="KDE1638" s="21"/>
      <c r="KDF1638" s="21"/>
      <c r="KDG1638" s="21"/>
      <c r="KDH1638" s="21"/>
      <c r="KDI1638" s="21"/>
      <c r="KDJ1638" s="21"/>
      <c r="KDK1638" s="21"/>
      <c r="KDL1638" s="21"/>
      <c r="KDM1638" s="21"/>
      <c r="KDN1638" s="21"/>
      <c r="KDO1638" s="21"/>
      <c r="KDP1638" s="21"/>
      <c r="KDQ1638" s="21"/>
      <c r="KDR1638" s="21"/>
      <c r="KDS1638" s="21"/>
      <c r="KDT1638" s="21"/>
      <c r="KDU1638" s="21"/>
      <c r="KDV1638" s="21"/>
      <c r="KDW1638" s="21"/>
      <c r="KDX1638" s="21"/>
      <c r="KDY1638" s="21"/>
      <c r="KDZ1638" s="21"/>
      <c r="KEA1638" s="21"/>
      <c r="KEB1638" s="21"/>
      <c r="KEC1638" s="21"/>
      <c r="KED1638" s="21"/>
      <c r="KEE1638" s="21"/>
      <c r="KEF1638" s="21"/>
      <c r="KEG1638" s="21"/>
      <c r="KEH1638" s="21"/>
      <c r="KEI1638" s="21"/>
      <c r="KEJ1638" s="21"/>
      <c r="KEK1638" s="21"/>
      <c r="KEL1638" s="21"/>
      <c r="KEM1638" s="21"/>
      <c r="KEN1638" s="21"/>
      <c r="KEO1638" s="21"/>
      <c r="KEP1638" s="21"/>
      <c r="KEQ1638" s="21"/>
      <c r="KER1638" s="21"/>
      <c r="KES1638" s="21"/>
      <c r="KET1638" s="21"/>
      <c r="KEU1638" s="21"/>
      <c r="KEV1638" s="21"/>
      <c r="KEW1638" s="21"/>
      <c r="KEX1638" s="21"/>
      <c r="KEY1638" s="21"/>
      <c r="KEZ1638" s="21"/>
      <c r="KFA1638" s="21"/>
      <c r="KFB1638" s="21"/>
      <c r="KFC1638" s="21"/>
      <c r="KFD1638" s="21"/>
      <c r="KFE1638" s="21"/>
      <c r="KFF1638" s="21"/>
      <c r="KFG1638" s="21"/>
      <c r="KFH1638" s="21"/>
      <c r="KFI1638" s="21"/>
      <c r="KFJ1638" s="21"/>
      <c r="KFK1638" s="21"/>
      <c r="KFL1638" s="21"/>
      <c r="KFM1638" s="21"/>
      <c r="KFN1638" s="21"/>
      <c r="KFO1638" s="21"/>
      <c r="KFP1638" s="21"/>
      <c r="KFQ1638" s="21"/>
      <c r="KFR1638" s="21"/>
      <c r="KFS1638" s="21"/>
      <c r="KFT1638" s="21"/>
      <c r="KFU1638" s="21"/>
      <c r="KFV1638" s="21"/>
      <c r="KFW1638" s="21"/>
      <c r="KFX1638" s="21"/>
      <c r="KFY1638" s="21"/>
      <c r="KFZ1638" s="21"/>
      <c r="KGA1638" s="21"/>
      <c r="KGB1638" s="21"/>
      <c r="KGC1638" s="21"/>
      <c r="KGD1638" s="21"/>
      <c r="KGE1638" s="21"/>
      <c r="KGF1638" s="21"/>
      <c r="KGG1638" s="21"/>
      <c r="KGH1638" s="21"/>
      <c r="KGI1638" s="21"/>
      <c r="KGJ1638" s="21"/>
      <c r="KGK1638" s="21"/>
      <c r="KGL1638" s="21"/>
      <c r="KGM1638" s="21"/>
      <c r="KGN1638" s="21"/>
      <c r="KGO1638" s="21"/>
      <c r="KGP1638" s="21"/>
      <c r="KGQ1638" s="21"/>
      <c r="KGR1638" s="21"/>
      <c r="KGS1638" s="21"/>
      <c r="KGT1638" s="21"/>
      <c r="KGU1638" s="21"/>
      <c r="KGV1638" s="21"/>
      <c r="KGW1638" s="21"/>
      <c r="KGX1638" s="21"/>
      <c r="KGY1638" s="21"/>
      <c r="KGZ1638" s="21"/>
      <c r="KHA1638" s="21"/>
      <c r="KHB1638" s="21"/>
      <c r="KHC1638" s="21"/>
      <c r="KHD1638" s="21"/>
      <c r="KHE1638" s="21"/>
      <c r="KHF1638" s="21"/>
      <c r="KHG1638" s="21"/>
      <c r="KHH1638" s="21"/>
      <c r="KHI1638" s="21"/>
      <c r="KHJ1638" s="21"/>
      <c r="KHK1638" s="21"/>
      <c r="KHL1638" s="21"/>
      <c r="KHM1638" s="21"/>
      <c r="KHN1638" s="21"/>
      <c r="KHO1638" s="21"/>
      <c r="KHP1638" s="21"/>
      <c r="KHQ1638" s="21"/>
      <c r="KHR1638" s="21"/>
      <c r="KHS1638" s="21"/>
      <c r="KHT1638" s="21"/>
      <c r="KHU1638" s="21"/>
      <c r="KHV1638" s="21"/>
      <c r="KHW1638" s="21"/>
      <c r="KHX1638" s="21"/>
      <c r="KHY1638" s="21"/>
      <c r="KHZ1638" s="21"/>
      <c r="KIA1638" s="21"/>
      <c r="KIB1638" s="21"/>
      <c r="KIC1638" s="21"/>
      <c r="KID1638" s="21"/>
      <c r="KIE1638" s="21"/>
      <c r="KIF1638" s="21"/>
      <c r="KIG1638" s="21"/>
      <c r="KIH1638" s="21"/>
      <c r="KII1638" s="21"/>
      <c r="KIJ1638" s="21"/>
      <c r="KIK1638" s="21"/>
      <c r="KIL1638" s="21"/>
      <c r="KIM1638" s="21"/>
      <c r="KIN1638" s="21"/>
      <c r="KIO1638" s="21"/>
      <c r="KIP1638" s="21"/>
      <c r="KIQ1638" s="21"/>
      <c r="KIR1638" s="21"/>
      <c r="KIS1638" s="21"/>
      <c r="KIT1638" s="21"/>
      <c r="KIU1638" s="21"/>
      <c r="KIV1638" s="21"/>
      <c r="KIW1638" s="21"/>
      <c r="KIX1638" s="21"/>
      <c r="KIY1638" s="21"/>
      <c r="KIZ1638" s="21"/>
      <c r="KJA1638" s="21"/>
      <c r="KJB1638" s="21"/>
      <c r="KJC1638" s="21"/>
      <c r="KJD1638" s="21"/>
      <c r="KJE1638" s="21"/>
      <c r="KJF1638" s="21"/>
      <c r="KJG1638" s="21"/>
      <c r="KJH1638" s="21"/>
      <c r="KJI1638" s="21"/>
      <c r="KJJ1638" s="21"/>
      <c r="KJK1638" s="21"/>
      <c r="KJL1638" s="21"/>
      <c r="KJM1638" s="21"/>
      <c r="KJN1638" s="21"/>
      <c r="KJO1638" s="21"/>
      <c r="KJP1638" s="21"/>
      <c r="KJQ1638" s="21"/>
      <c r="KJR1638" s="21"/>
      <c r="KJS1638" s="21"/>
      <c r="KJT1638" s="21"/>
      <c r="KJU1638" s="21"/>
      <c r="KJV1638" s="21"/>
      <c r="KJW1638" s="21"/>
      <c r="KJX1638" s="21"/>
      <c r="KJY1638" s="21"/>
      <c r="KJZ1638" s="21"/>
      <c r="KKA1638" s="21"/>
      <c r="KKB1638" s="21"/>
      <c r="KKC1638" s="21"/>
      <c r="KKD1638" s="21"/>
      <c r="KKE1638" s="21"/>
      <c r="KKF1638" s="21"/>
      <c r="KKG1638" s="21"/>
      <c r="KKH1638" s="21"/>
      <c r="KKI1638" s="21"/>
      <c r="KKJ1638" s="21"/>
      <c r="KKK1638" s="21"/>
      <c r="KKL1638" s="21"/>
      <c r="KKM1638" s="21"/>
      <c r="KKN1638" s="21"/>
      <c r="KKO1638" s="21"/>
      <c r="KKP1638" s="21"/>
      <c r="KKQ1638" s="21"/>
      <c r="KKR1638" s="21"/>
      <c r="KKS1638" s="21"/>
      <c r="KKT1638" s="21"/>
      <c r="KKU1638" s="21"/>
      <c r="KKV1638" s="21"/>
      <c r="KKW1638" s="21"/>
      <c r="KKX1638" s="21"/>
      <c r="KKY1638" s="21"/>
      <c r="KKZ1638" s="21"/>
      <c r="KLA1638" s="21"/>
      <c r="KLB1638" s="21"/>
      <c r="KLC1638" s="21"/>
      <c r="KLD1638" s="21"/>
      <c r="KLE1638" s="21"/>
      <c r="KLF1638" s="21"/>
      <c r="KLG1638" s="21"/>
      <c r="KLH1638" s="21"/>
      <c r="KLI1638" s="21"/>
      <c r="KLJ1638" s="21"/>
      <c r="KLK1638" s="21"/>
      <c r="KLL1638" s="21"/>
      <c r="KLM1638" s="21"/>
      <c r="KLN1638" s="21"/>
      <c r="KLO1638" s="21"/>
      <c r="KLP1638" s="21"/>
      <c r="KLQ1638" s="21"/>
      <c r="KLR1638" s="21"/>
      <c r="KLS1638" s="21"/>
      <c r="KLT1638" s="21"/>
      <c r="KLU1638" s="21"/>
      <c r="KLV1638" s="21"/>
      <c r="KLW1638" s="21"/>
      <c r="KLX1638" s="21"/>
      <c r="KLY1638" s="21"/>
      <c r="KLZ1638" s="21"/>
      <c r="KMA1638" s="21"/>
      <c r="KMB1638" s="21"/>
      <c r="KMC1638" s="21"/>
      <c r="KMD1638" s="21"/>
      <c r="KME1638" s="21"/>
      <c r="KMF1638" s="21"/>
      <c r="KMG1638" s="21"/>
      <c r="KMH1638" s="21"/>
      <c r="KMI1638" s="21"/>
      <c r="KMJ1638" s="21"/>
      <c r="KMK1638" s="21"/>
      <c r="KML1638" s="21"/>
      <c r="KMM1638" s="21"/>
      <c r="KMN1638" s="21"/>
      <c r="KMO1638" s="21"/>
      <c r="KMP1638" s="21"/>
      <c r="KMQ1638" s="21"/>
      <c r="KMR1638" s="21"/>
      <c r="KMS1638" s="21"/>
      <c r="KMT1638" s="21"/>
      <c r="KMU1638" s="21"/>
      <c r="KMV1638" s="21"/>
      <c r="KMW1638" s="21"/>
      <c r="KMX1638" s="21"/>
      <c r="KMY1638" s="21"/>
      <c r="KMZ1638" s="21"/>
      <c r="KNA1638" s="21"/>
      <c r="KNB1638" s="21"/>
      <c r="KNC1638" s="21"/>
      <c r="KND1638" s="21"/>
      <c r="KNE1638" s="21"/>
      <c r="KNF1638" s="21"/>
      <c r="KNG1638" s="21"/>
      <c r="KNH1638" s="21"/>
      <c r="KNI1638" s="21"/>
      <c r="KNJ1638" s="21"/>
      <c r="KNK1638" s="21"/>
      <c r="KNL1638" s="21"/>
      <c r="KNM1638" s="21"/>
      <c r="KNN1638" s="21"/>
      <c r="KNO1638" s="21"/>
      <c r="KNP1638" s="21"/>
      <c r="KNQ1638" s="21"/>
      <c r="KNR1638" s="21"/>
      <c r="KNS1638" s="21"/>
      <c r="KNT1638" s="21"/>
      <c r="KNU1638" s="21"/>
      <c r="KNV1638" s="21"/>
      <c r="KNW1638" s="21"/>
      <c r="KNX1638" s="21"/>
      <c r="KNY1638" s="21"/>
      <c r="KNZ1638" s="21"/>
      <c r="KOA1638" s="21"/>
      <c r="KOB1638" s="21"/>
      <c r="KOC1638" s="21"/>
      <c r="KOD1638" s="21"/>
      <c r="KOE1638" s="21"/>
      <c r="KOF1638" s="21"/>
      <c r="KOG1638" s="21"/>
      <c r="KOH1638" s="21"/>
      <c r="KOI1638" s="21"/>
      <c r="KOJ1638" s="21"/>
      <c r="KOK1638" s="21"/>
      <c r="KOL1638" s="21"/>
      <c r="KOM1638" s="21"/>
      <c r="KON1638" s="21"/>
      <c r="KOO1638" s="21"/>
      <c r="KOP1638" s="21"/>
      <c r="KOQ1638" s="21"/>
      <c r="KOR1638" s="21"/>
      <c r="KOS1638" s="21"/>
      <c r="KOT1638" s="21"/>
      <c r="KOU1638" s="21"/>
      <c r="KOV1638" s="21"/>
      <c r="KOW1638" s="21"/>
      <c r="KOX1638" s="21"/>
      <c r="KOY1638" s="21"/>
      <c r="KOZ1638" s="21"/>
      <c r="KPA1638" s="21"/>
      <c r="KPB1638" s="21"/>
      <c r="KPC1638" s="21"/>
      <c r="KPD1638" s="21"/>
      <c r="KPE1638" s="21"/>
      <c r="KPF1638" s="21"/>
      <c r="KPG1638" s="21"/>
      <c r="KPH1638" s="21"/>
      <c r="KPI1638" s="21"/>
      <c r="KPJ1638" s="21"/>
      <c r="KPK1638" s="21"/>
      <c r="KPL1638" s="21"/>
      <c r="KPM1638" s="21"/>
      <c r="KPN1638" s="21"/>
      <c r="KPO1638" s="21"/>
      <c r="KPP1638" s="21"/>
      <c r="KPQ1638" s="21"/>
      <c r="KPR1638" s="21"/>
      <c r="KPS1638" s="21"/>
      <c r="KPT1638" s="21"/>
      <c r="KPU1638" s="21"/>
      <c r="KPV1638" s="21"/>
      <c r="KPW1638" s="21"/>
      <c r="KPX1638" s="21"/>
      <c r="KPY1638" s="21"/>
      <c r="KPZ1638" s="21"/>
      <c r="KQA1638" s="21"/>
      <c r="KQB1638" s="21"/>
      <c r="KQC1638" s="21"/>
      <c r="KQD1638" s="21"/>
      <c r="KQE1638" s="21"/>
      <c r="KQF1638" s="21"/>
      <c r="KQG1638" s="21"/>
      <c r="KQH1638" s="21"/>
      <c r="KQI1638" s="21"/>
      <c r="KQJ1638" s="21"/>
      <c r="KQK1638" s="21"/>
      <c r="KQL1638" s="21"/>
      <c r="KQM1638" s="21"/>
      <c r="KQN1638" s="21"/>
      <c r="KQO1638" s="21"/>
      <c r="KQP1638" s="21"/>
      <c r="KQQ1638" s="21"/>
      <c r="KQR1638" s="21"/>
      <c r="KQS1638" s="21"/>
      <c r="KQT1638" s="21"/>
      <c r="KQU1638" s="21"/>
      <c r="KQV1638" s="21"/>
      <c r="KQW1638" s="21"/>
      <c r="KQX1638" s="21"/>
      <c r="KQY1638" s="21"/>
      <c r="KQZ1638" s="21"/>
      <c r="KRA1638" s="21"/>
      <c r="KRB1638" s="21"/>
      <c r="KRC1638" s="21"/>
      <c r="KRD1638" s="21"/>
      <c r="KRE1638" s="21"/>
      <c r="KRF1638" s="21"/>
      <c r="KRG1638" s="21"/>
      <c r="KRH1638" s="21"/>
      <c r="KRI1638" s="21"/>
      <c r="KRJ1638" s="21"/>
      <c r="KRK1638" s="21"/>
      <c r="KRL1638" s="21"/>
      <c r="KRM1638" s="21"/>
      <c r="KRN1638" s="21"/>
      <c r="KRO1638" s="21"/>
      <c r="KRP1638" s="21"/>
      <c r="KRQ1638" s="21"/>
      <c r="KRR1638" s="21"/>
      <c r="KRS1638" s="21"/>
      <c r="KRT1638" s="21"/>
      <c r="KRU1638" s="21"/>
      <c r="KRV1638" s="21"/>
      <c r="KRW1638" s="21"/>
      <c r="KRX1638" s="21"/>
      <c r="KRY1638" s="21"/>
      <c r="KRZ1638" s="21"/>
      <c r="KSA1638" s="21"/>
      <c r="KSB1638" s="21"/>
      <c r="KSC1638" s="21"/>
      <c r="KSD1638" s="21"/>
      <c r="KSE1638" s="21"/>
      <c r="KSF1638" s="21"/>
      <c r="KSG1638" s="21"/>
      <c r="KSH1638" s="21"/>
      <c r="KSI1638" s="21"/>
      <c r="KSJ1638" s="21"/>
      <c r="KSK1638" s="21"/>
      <c r="KSL1638" s="21"/>
      <c r="KSM1638" s="21"/>
      <c r="KSN1638" s="21"/>
      <c r="KSO1638" s="21"/>
      <c r="KSP1638" s="21"/>
      <c r="KSQ1638" s="21"/>
      <c r="KSR1638" s="21"/>
      <c r="KSS1638" s="21"/>
      <c r="KST1638" s="21"/>
      <c r="KSU1638" s="21"/>
      <c r="KSV1638" s="21"/>
      <c r="KSW1638" s="21"/>
      <c r="KSX1638" s="21"/>
      <c r="KSY1638" s="21"/>
      <c r="KSZ1638" s="21"/>
      <c r="KTA1638" s="21"/>
      <c r="KTB1638" s="21"/>
      <c r="KTC1638" s="21"/>
      <c r="KTD1638" s="21"/>
      <c r="KTE1638" s="21"/>
      <c r="KTF1638" s="21"/>
      <c r="KTG1638" s="21"/>
      <c r="KTH1638" s="21"/>
      <c r="KTI1638" s="21"/>
      <c r="KTJ1638" s="21"/>
      <c r="KTK1638" s="21"/>
      <c r="KTL1638" s="21"/>
      <c r="KTM1638" s="21"/>
      <c r="KTN1638" s="21"/>
      <c r="KTO1638" s="21"/>
      <c r="KTP1638" s="21"/>
      <c r="KTQ1638" s="21"/>
      <c r="KTR1638" s="21"/>
      <c r="KTS1638" s="21"/>
      <c r="KTT1638" s="21"/>
      <c r="KTU1638" s="21"/>
      <c r="KTV1638" s="21"/>
      <c r="KTW1638" s="21"/>
      <c r="KTX1638" s="21"/>
      <c r="KTY1638" s="21"/>
      <c r="KTZ1638" s="21"/>
      <c r="KUA1638" s="21"/>
      <c r="KUB1638" s="21"/>
      <c r="KUC1638" s="21"/>
      <c r="KUD1638" s="21"/>
      <c r="KUE1638" s="21"/>
      <c r="KUF1638" s="21"/>
      <c r="KUG1638" s="21"/>
      <c r="KUH1638" s="21"/>
      <c r="KUI1638" s="21"/>
      <c r="KUJ1638" s="21"/>
      <c r="KUK1638" s="21"/>
      <c r="KUL1638" s="21"/>
      <c r="KUM1638" s="21"/>
      <c r="KUN1638" s="21"/>
      <c r="KUO1638" s="21"/>
      <c r="KUP1638" s="21"/>
      <c r="KUQ1638" s="21"/>
      <c r="KUR1638" s="21"/>
      <c r="KUS1638" s="21"/>
      <c r="KUT1638" s="21"/>
      <c r="KUU1638" s="21"/>
      <c r="KUV1638" s="21"/>
      <c r="KUW1638" s="21"/>
      <c r="KUX1638" s="21"/>
      <c r="KUY1638" s="21"/>
      <c r="KUZ1638" s="21"/>
      <c r="KVA1638" s="21"/>
      <c r="KVB1638" s="21"/>
      <c r="KVC1638" s="21"/>
      <c r="KVD1638" s="21"/>
      <c r="KVE1638" s="21"/>
      <c r="KVF1638" s="21"/>
      <c r="KVG1638" s="21"/>
      <c r="KVH1638" s="21"/>
      <c r="KVI1638" s="21"/>
      <c r="KVJ1638" s="21"/>
      <c r="KVK1638" s="21"/>
      <c r="KVL1638" s="21"/>
      <c r="KVM1638" s="21"/>
      <c r="KVN1638" s="21"/>
      <c r="KVO1638" s="21"/>
      <c r="KVP1638" s="21"/>
      <c r="KVQ1638" s="21"/>
      <c r="KVR1638" s="21"/>
      <c r="KVS1638" s="21"/>
      <c r="KVT1638" s="21"/>
      <c r="KVU1638" s="21"/>
      <c r="KVV1638" s="21"/>
      <c r="KVW1638" s="21"/>
      <c r="KVX1638" s="21"/>
      <c r="KVY1638" s="21"/>
      <c r="KVZ1638" s="21"/>
      <c r="KWA1638" s="21"/>
      <c r="KWB1638" s="21"/>
      <c r="KWC1638" s="21"/>
      <c r="KWD1638" s="21"/>
      <c r="KWE1638" s="21"/>
      <c r="KWF1638" s="21"/>
      <c r="KWG1638" s="21"/>
      <c r="KWH1638" s="21"/>
      <c r="KWI1638" s="21"/>
      <c r="KWJ1638" s="21"/>
      <c r="KWK1638" s="21"/>
      <c r="KWL1638" s="21"/>
      <c r="KWM1638" s="21"/>
      <c r="KWN1638" s="21"/>
      <c r="KWO1638" s="21"/>
      <c r="KWP1638" s="21"/>
      <c r="KWQ1638" s="21"/>
      <c r="KWR1638" s="21"/>
      <c r="KWS1638" s="21"/>
      <c r="KWT1638" s="21"/>
      <c r="KWU1638" s="21"/>
      <c r="KWV1638" s="21"/>
      <c r="KWW1638" s="21"/>
      <c r="KWX1638" s="21"/>
      <c r="KWY1638" s="21"/>
      <c r="KWZ1638" s="21"/>
      <c r="KXA1638" s="21"/>
      <c r="KXB1638" s="21"/>
      <c r="KXC1638" s="21"/>
      <c r="KXD1638" s="21"/>
      <c r="KXE1638" s="21"/>
      <c r="KXF1638" s="21"/>
      <c r="KXG1638" s="21"/>
      <c r="KXH1638" s="21"/>
      <c r="KXI1638" s="21"/>
      <c r="KXJ1638" s="21"/>
      <c r="KXK1638" s="21"/>
      <c r="KXL1638" s="21"/>
      <c r="KXM1638" s="21"/>
      <c r="KXN1638" s="21"/>
      <c r="KXO1638" s="21"/>
      <c r="KXP1638" s="21"/>
      <c r="KXQ1638" s="21"/>
      <c r="KXR1638" s="21"/>
      <c r="KXS1638" s="21"/>
      <c r="KXT1638" s="21"/>
      <c r="KXU1638" s="21"/>
      <c r="KXV1638" s="21"/>
      <c r="KXW1638" s="21"/>
      <c r="KXX1638" s="21"/>
      <c r="KXY1638" s="21"/>
      <c r="KXZ1638" s="21"/>
      <c r="KYA1638" s="21"/>
      <c r="KYB1638" s="21"/>
      <c r="KYC1638" s="21"/>
      <c r="KYD1638" s="21"/>
      <c r="KYE1638" s="21"/>
      <c r="KYF1638" s="21"/>
      <c r="KYG1638" s="21"/>
      <c r="KYH1638" s="21"/>
      <c r="KYI1638" s="21"/>
      <c r="KYJ1638" s="21"/>
      <c r="KYK1638" s="21"/>
      <c r="KYL1638" s="21"/>
      <c r="KYM1638" s="21"/>
      <c r="KYN1638" s="21"/>
      <c r="KYO1638" s="21"/>
      <c r="KYP1638" s="21"/>
      <c r="KYQ1638" s="21"/>
      <c r="KYR1638" s="21"/>
      <c r="KYS1638" s="21"/>
      <c r="KYT1638" s="21"/>
      <c r="KYU1638" s="21"/>
      <c r="KYV1638" s="21"/>
      <c r="KYW1638" s="21"/>
      <c r="KYX1638" s="21"/>
      <c r="KYY1638" s="21"/>
      <c r="KYZ1638" s="21"/>
      <c r="KZA1638" s="21"/>
      <c r="KZB1638" s="21"/>
      <c r="KZC1638" s="21"/>
      <c r="KZD1638" s="21"/>
      <c r="KZE1638" s="21"/>
      <c r="KZF1638" s="21"/>
      <c r="KZG1638" s="21"/>
      <c r="KZH1638" s="21"/>
      <c r="KZI1638" s="21"/>
      <c r="KZJ1638" s="21"/>
      <c r="KZK1638" s="21"/>
      <c r="KZL1638" s="21"/>
      <c r="KZM1638" s="21"/>
      <c r="KZN1638" s="21"/>
      <c r="KZO1638" s="21"/>
      <c r="KZP1638" s="21"/>
      <c r="KZQ1638" s="21"/>
      <c r="KZR1638" s="21"/>
      <c r="KZS1638" s="21"/>
      <c r="KZT1638" s="21"/>
      <c r="KZU1638" s="21"/>
      <c r="KZV1638" s="21"/>
      <c r="KZW1638" s="21"/>
      <c r="KZX1638" s="21"/>
      <c r="KZY1638" s="21"/>
      <c r="KZZ1638" s="21"/>
      <c r="LAA1638" s="21"/>
      <c r="LAB1638" s="21"/>
      <c r="LAC1638" s="21"/>
      <c r="LAD1638" s="21"/>
      <c r="LAE1638" s="21"/>
      <c r="LAF1638" s="21"/>
      <c r="LAG1638" s="21"/>
      <c r="LAH1638" s="21"/>
      <c r="LAI1638" s="21"/>
      <c r="LAJ1638" s="21"/>
      <c r="LAK1638" s="21"/>
      <c r="LAL1638" s="21"/>
      <c r="LAM1638" s="21"/>
      <c r="LAN1638" s="21"/>
      <c r="LAO1638" s="21"/>
      <c r="LAP1638" s="21"/>
      <c r="LAQ1638" s="21"/>
      <c r="LAR1638" s="21"/>
      <c r="LAS1638" s="21"/>
      <c r="LAT1638" s="21"/>
      <c r="LAU1638" s="21"/>
      <c r="LAV1638" s="21"/>
      <c r="LAW1638" s="21"/>
      <c r="LAX1638" s="21"/>
      <c r="LAY1638" s="21"/>
      <c r="LAZ1638" s="21"/>
      <c r="LBA1638" s="21"/>
      <c r="LBB1638" s="21"/>
      <c r="LBC1638" s="21"/>
      <c r="LBD1638" s="21"/>
      <c r="LBE1638" s="21"/>
      <c r="LBF1638" s="21"/>
      <c r="LBG1638" s="21"/>
      <c r="LBH1638" s="21"/>
      <c r="LBI1638" s="21"/>
      <c r="LBJ1638" s="21"/>
      <c r="LBK1638" s="21"/>
      <c r="LBL1638" s="21"/>
      <c r="LBM1638" s="21"/>
      <c r="LBN1638" s="21"/>
      <c r="LBO1638" s="21"/>
      <c r="LBP1638" s="21"/>
      <c r="LBQ1638" s="21"/>
      <c r="LBR1638" s="21"/>
      <c r="LBS1638" s="21"/>
      <c r="LBT1638" s="21"/>
      <c r="LBU1638" s="21"/>
      <c r="LBV1638" s="21"/>
      <c r="LBW1638" s="21"/>
      <c r="LBX1638" s="21"/>
      <c r="LBY1638" s="21"/>
      <c r="LBZ1638" s="21"/>
      <c r="LCA1638" s="21"/>
      <c r="LCB1638" s="21"/>
      <c r="LCC1638" s="21"/>
      <c r="LCD1638" s="21"/>
      <c r="LCE1638" s="21"/>
      <c r="LCF1638" s="21"/>
      <c r="LCG1638" s="21"/>
      <c r="LCH1638" s="21"/>
      <c r="LCI1638" s="21"/>
      <c r="LCJ1638" s="21"/>
      <c r="LCK1638" s="21"/>
      <c r="LCL1638" s="21"/>
      <c r="LCM1638" s="21"/>
      <c r="LCN1638" s="21"/>
      <c r="LCO1638" s="21"/>
      <c r="LCP1638" s="21"/>
      <c r="LCQ1638" s="21"/>
      <c r="LCR1638" s="21"/>
      <c r="LCS1638" s="21"/>
      <c r="LCT1638" s="21"/>
      <c r="LCU1638" s="21"/>
      <c r="LCV1638" s="21"/>
      <c r="LCW1638" s="21"/>
      <c r="LCX1638" s="21"/>
      <c r="LCY1638" s="21"/>
      <c r="LCZ1638" s="21"/>
      <c r="LDA1638" s="21"/>
      <c r="LDB1638" s="21"/>
      <c r="LDC1638" s="21"/>
      <c r="LDD1638" s="21"/>
      <c r="LDE1638" s="21"/>
      <c r="LDF1638" s="21"/>
      <c r="LDG1638" s="21"/>
      <c r="LDH1638" s="21"/>
      <c r="LDI1638" s="21"/>
      <c r="LDJ1638" s="21"/>
      <c r="LDK1638" s="21"/>
      <c r="LDL1638" s="21"/>
      <c r="LDM1638" s="21"/>
      <c r="LDN1638" s="21"/>
      <c r="LDO1638" s="21"/>
      <c r="LDP1638" s="21"/>
      <c r="LDQ1638" s="21"/>
      <c r="LDR1638" s="21"/>
      <c r="LDS1638" s="21"/>
      <c r="LDT1638" s="21"/>
      <c r="LDU1638" s="21"/>
      <c r="LDV1638" s="21"/>
      <c r="LDW1638" s="21"/>
      <c r="LDX1638" s="21"/>
      <c r="LDY1638" s="21"/>
      <c r="LDZ1638" s="21"/>
      <c r="LEA1638" s="21"/>
      <c r="LEB1638" s="21"/>
      <c r="LEC1638" s="21"/>
      <c r="LED1638" s="21"/>
      <c r="LEE1638" s="21"/>
      <c r="LEF1638" s="21"/>
      <c r="LEG1638" s="21"/>
      <c r="LEH1638" s="21"/>
      <c r="LEI1638" s="21"/>
      <c r="LEJ1638" s="21"/>
      <c r="LEK1638" s="21"/>
      <c r="LEL1638" s="21"/>
      <c r="LEM1638" s="21"/>
      <c r="LEN1638" s="21"/>
      <c r="LEO1638" s="21"/>
      <c r="LEP1638" s="21"/>
      <c r="LEQ1638" s="21"/>
      <c r="LER1638" s="21"/>
      <c r="LES1638" s="21"/>
      <c r="LET1638" s="21"/>
      <c r="LEU1638" s="21"/>
      <c r="LEV1638" s="21"/>
      <c r="LEW1638" s="21"/>
      <c r="LEX1638" s="21"/>
      <c r="LEY1638" s="21"/>
      <c r="LEZ1638" s="21"/>
      <c r="LFA1638" s="21"/>
      <c r="LFB1638" s="21"/>
      <c r="LFC1638" s="21"/>
      <c r="LFD1638" s="21"/>
      <c r="LFE1638" s="21"/>
      <c r="LFF1638" s="21"/>
      <c r="LFG1638" s="21"/>
      <c r="LFH1638" s="21"/>
      <c r="LFI1638" s="21"/>
      <c r="LFJ1638" s="21"/>
      <c r="LFK1638" s="21"/>
      <c r="LFL1638" s="21"/>
      <c r="LFM1638" s="21"/>
      <c r="LFN1638" s="21"/>
      <c r="LFO1638" s="21"/>
      <c r="LFP1638" s="21"/>
      <c r="LFQ1638" s="21"/>
      <c r="LFR1638" s="21"/>
      <c r="LFS1638" s="21"/>
      <c r="LFT1638" s="21"/>
      <c r="LFU1638" s="21"/>
      <c r="LFV1638" s="21"/>
      <c r="LFW1638" s="21"/>
      <c r="LFX1638" s="21"/>
      <c r="LFY1638" s="21"/>
      <c r="LFZ1638" s="21"/>
      <c r="LGA1638" s="21"/>
      <c r="LGB1638" s="21"/>
      <c r="LGC1638" s="21"/>
      <c r="LGD1638" s="21"/>
      <c r="LGE1638" s="21"/>
      <c r="LGF1638" s="21"/>
      <c r="LGG1638" s="21"/>
      <c r="LGH1638" s="21"/>
      <c r="LGI1638" s="21"/>
      <c r="LGJ1638" s="21"/>
      <c r="LGK1638" s="21"/>
      <c r="LGL1638" s="21"/>
      <c r="LGM1638" s="21"/>
      <c r="LGN1638" s="21"/>
      <c r="LGO1638" s="21"/>
      <c r="LGP1638" s="21"/>
      <c r="LGQ1638" s="21"/>
      <c r="LGR1638" s="21"/>
      <c r="LGS1638" s="21"/>
      <c r="LGT1638" s="21"/>
      <c r="LGU1638" s="21"/>
      <c r="LGV1638" s="21"/>
      <c r="LGW1638" s="21"/>
      <c r="LGX1638" s="21"/>
      <c r="LGY1638" s="21"/>
      <c r="LGZ1638" s="21"/>
      <c r="LHA1638" s="21"/>
      <c r="LHB1638" s="21"/>
      <c r="LHC1638" s="21"/>
      <c r="LHD1638" s="21"/>
      <c r="LHE1638" s="21"/>
      <c r="LHF1638" s="21"/>
      <c r="LHG1638" s="21"/>
      <c r="LHH1638" s="21"/>
      <c r="LHI1638" s="21"/>
      <c r="LHJ1638" s="21"/>
      <c r="LHK1638" s="21"/>
      <c r="LHL1638" s="21"/>
      <c r="LHM1638" s="21"/>
      <c r="LHN1638" s="21"/>
      <c r="LHO1638" s="21"/>
      <c r="LHP1638" s="21"/>
      <c r="LHQ1638" s="21"/>
      <c r="LHR1638" s="21"/>
      <c r="LHS1638" s="21"/>
      <c r="LHT1638" s="21"/>
      <c r="LHU1638" s="21"/>
      <c r="LHV1638" s="21"/>
      <c r="LHW1638" s="21"/>
      <c r="LHX1638" s="21"/>
      <c r="LHY1638" s="21"/>
      <c r="LHZ1638" s="21"/>
      <c r="LIA1638" s="21"/>
      <c r="LIB1638" s="21"/>
      <c r="LIC1638" s="21"/>
      <c r="LID1638" s="21"/>
      <c r="LIE1638" s="21"/>
      <c r="LIF1638" s="21"/>
      <c r="LIG1638" s="21"/>
      <c r="LIH1638" s="21"/>
      <c r="LII1638" s="21"/>
      <c r="LIJ1638" s="21"/>
      <c r="LIK1638" s="21"/>
      <c r="LIL1638" s="21"/>
      <c r="LIM1638" s="21"/>
      <c r="LIN1638" s="21"/>
      <c r="LIO1638" s="21"/>
      <c r="LIP1638" s="21"/>
      <c r="LIQ1638" s="21"/>
      <c r="LIR1638" s="21"/>
      <c r="LIS1638" s="21"/>
      <c r="LIT1638" s="21"/>
      <c r="LIU1638" s="21"/>
      <c r="LIV1638" s="21"/>
      <c r="LIW1638" s="21"/>
      <c r="LIX1638" s="21"/>
      <c r="LIY1638" s="21"/>
      <c r="LIZ1638" s="21"/>
      <c r="LJA1638" s="21"/>
      <c r="LJB1638" s="21"/>
      <c r="LJC1638" s="21"/>
      <c r="LJD1638" s="21"/>
      <c r="LJE1638" s="21"/>
      <c r="LJF1638" s="21"/>
      <c r="LJG1638" s="21"/>
      <c r="LJH1638" s="21"/>
      <c r="LJI1638" s="21"/>
      <c r="LJJ1638" s="21"/>
      <c r="LJK1638" s="21"/>
      <c r="LJL1638" s="21"/>
      <c r="LJM1638" s="21"/>
      <c r="LJN1638" s="21"/>
      <c r="LJO1638" s="21"/>
      <c r="LJP1638" s="21"/>
      <c r="LJQ1638" s="21"/>
      <c r="LJR1638" s="21"/>
      <c r="LJS1638" s="21"/>
      <c r="LJT1638" s="21"/>
      <c r="LJU1638" s="21"/>
      <c r="LJV1638" s="21"/>
      <c r="LJW1638" s="21"/>
      <c r="LJX1638" s="21"/>
      <c r="LJY1638" s="21"/>
      <c r="LJZ1638" s="21"/>
      <c r="LKA1638" s="21"/>
      <c r="LKB1638" s="21"/>
      <c r="LKC1638" s="21"/>
      <c r="LKD1638" s="21"/>
      <c r="LKE1638" s="21"/>
      <c r="LKF1638" s="21"/>
      <c r="LKG1638" s="21"/>
      <c r="LKH1638" s="21"/>
      <c r="LKI1638" s="21"/>
      <c r="LKJ1638" s="21"/>
      <c r="LKK1638" s="21"/>
      <c r="LKL1638" s="21"/>
      <c r="LKM1638" s="21"/>
      <c r="LKN1638" s="21"/>
      <c r="LKO1638" s="21"/>
      <c r="LKP1638" s="21"/>
      <c r="LKQ1638" s="21"/>
      <c r="LKR1638" s="21"/>
      <c r="LKS1638" s="21"/>
      <c r="LKT1638" s="21"/>
      <c r="LKU1638" s="21"/>
      <c r="LKV1638" s="21"/>
      <c r="LKW1638" s="21"/>
      <c r="LKX1638" s="21"/>
      <c r="LKY1638" s="21"/>
      <c r="LKZ1638" s="21"/>
      <c r="LLA1638" s="21"/>
      <c r="LLB1638" s="21"/>
      <c r="LLC1638" s="21"/>
      <c r="LLD1638" s="21"/>
      <c r="LLE1638" s="21"/>
      <c r="LLF1638" s="21"/>
      <c r="LLG1638" s="21"/>
      <c r="LLH1638" s="21"/>
      <c r="LLI1638" s="21"/>
      <c r="LLJ1638" s="21"/>
      <c r="LLK1638" s="21"/>
      <c r="LLL1638" s="21"/>
      <c r="LLM1638" s="21"/>
      <c r="LLN1638" s="21"/>
      <c r="LLO1638" s="21"/>
      <c r="LLP1638" s="21"/>
      <c r="LLQ1638" s="21"/>
      <c r="LLR1638" s="21"/>
      <c r="LLS1638" s="21"/>
      <c r="LLT1638" s="21"/>
      <c r="LLU1638" s="21"/>
      <c r="LLV1638" s="21"/>
      <c r="LLW1638" s="21"/>
      <c r="LLX1638" s="21"/>
      <c r="LLY1638" s="21"/>
      <c r="LLZ1638" s="21"/>
      <c r="LMA1638" s="21"/>
      <c r="LMB1638" s="21"/>
      <c r="LMC1638" s="21"/>
      <c r="LMD1638" s="21"/>
      <c r="LME1638" s="21"/>
      <c r="LMF1638" s="21"/>
      <c r="LMG1638" s="21"/>
      <c r="LMH1638" s="21"/>
      <c r="LMI1638" s="21"/>
      <c r="LMJ1638" s="21"/>
      <c r="LMK1638" s="21"/>
      <c r="LML1638" s="21"/>
      <c r="LMM1638" s="21"/>
      <c r="LMN1638" s="21"/>
      <c r="LMO1638" s="21"/>
      <c r="LMP1638" s="21"/>
      <c r="LMQ1638" s="21"/>
      <c r="LMR1638" s="21"/>
      <c r="LMS1638" s="21"/>
      <c r="LMT1638" s="21"/>
      <c r="LMU1638" s="21"/>
      <c r="LMV1638" s="21"/>
      <c r="LMW1638" s="21"/>
      <c r="LMX1638" s="21"/>
      <c r="LMY1638" s="21"/>
      <c r="LMZ1638" s="21"/>
      <c r="LNA1638" s="21"/>
      <c r="LNB1638" s="21"/>
      <c r="LNC1638" s="21"/>
      <c r="LND1638" s="21"/>
      <c r="LNE1638" s="21"/>
      <c r="LNF1638" s="21"/>
      <c r="LNG1638" s="21"/>
      <c r="LNH1638" s="21"/>
      <c r="LNI1638" s="21"/>
      <c r="LNJ1638" s="21"/>
      <c r="LNK1638" s="21"/>
      <c r="LNL1638" s="21"/>
      <c r="LNM1638" s="21"/>
      <c r="LNN1638" s="21"/>
      <c r="LNO1638" s="21"/>
      <c r="LNP1638" s="21"/>
      <c r="LNQ1638" s="21"/>
      <c r="LNR1638" s="21"/>
      <c r="LNS1638" s="21"/>
      <c r="LNT1638" s="21"/>
      <c r="LNU1638" s="21"/>
      <c r="LNV1638" s="21"/>
      <c r="LNW1638" s="21"/>
      <c r="LNX1638" s="21"/>
      <c r="LNY1638" s="21"/>
      <c r="LNZ1638" s="21"/>
      <c r="LOA1638" s="21"/>
      <c r="LOB1638" s="21"/>
      <c r="LOC1638" s="21"/>
      <c r="LOD1638" s="21"/>
      <c r="LOE1638" s="21"/>
      <c r="LOF1638" s="21"/>
      <c r="LOG1638" s="21"/>
      <c r="LOH1638" s="21"/>
      <c r="LOI1638" s="21"/>
      <c r="LOJ1638" s="21"/>
      <c r="LOK1638" s="21"/>
      <c r="LOL1638" s="21"/>
      <c r="LOM1638" s="21"/>
      <c r="LON1638" s="21"/>
      <c r="LOO1638" s="21"/>
      <c r="LOP1638" s="21"/>
      <c r="LOQ1638" s="21"/>
      <c r="LOR1638" s="21"/>
      <c r="LOS1638" s="21"/>
      <c r="LOT1638" s="21"/>
      <c r="LOU1638" s="21"/>
      <c r="LOV1638" s="21"/>
      <c r="LOW1638" s="21"/>
      <c r="LOX1638" s="21"/>
      <c r="LOY1638" s="21"/>
      <c r="LOZ1638" s="21"/>
      <c r="LPA1638" s="21"/>
      <c r="LPB1638" s="21"/>
      <c r="LPC1638" s="21"/>
      <c r="LPD1638" s="21"/>
      <c r="LPE1638" s="21"/>
      <c r="LPF1638" s="21"/>
      <c r="LPG1638" s="21"/>
      <c r="LPH1638" s="21"/>
      <c r="LPI1638" s="21"/>
      <c r="LPJ1638" s="21"/>
      <c r="LPK1638" s="21"/>
      <c r="LPL1638" s="21"/>
      <c r="LPM1638" s="21"/>
      <c r="LPN1638" s="21"/>
      <c r="LPO1638" s="21"/>
      <c r="LPP1638" s="21"/>
      <c r="LPQ1638" s="21"/>
      <c r="LPR1638" s="21"/>
      <c r="LPS1638" s="21"/>
      <c r="LPT1638" s="21"/>
      <c r="LPU1638" s="21"/>
      <c r="LPV1638" s="21"/>
      <c r="LPW1638" s="21"/>
      <c r="LPX1638" s="21"/>
      <c r="LPY1638" s="21"/>
      <c r="LPZ1638" s="21"/>
      <c r="LQA1638" s="21"/>
      <c r="LQB1638" s="21"/>
      <c r="LQC1638" s="21"/>
      <c r="LQD1638" s="21"/>
      <c r="LQE1638" s="21"/>
      <c r="LQF1638" s="21"/>
      <c r="LQG1638" s="21"/>
      <c r="LQH1638" s="21"/>
      <c r="LQI1638" s="21"/>
      <c r="LQJ1638" s="21"/>
      <c r="LQK1638" s="21"/>
      <c r="LQL1638" s="21"/>
      <c r="LQM1638" s="21"/>
      <c r="LQN1638" s="21"/>
      <c r="LQO1638" s="21"/>
      <c r="LQP1638" s="21"/>
      <c r="LQQ1638" s="21"/>
      <c r="LQR1638" s="21"/>
      <c r="LQS1638" s="21"/>
      <c r="LQT1638" s="21"/>
      <c r="LQU1638" s="21"/>
      <c r="LQV1638" s="21"/>
      <c r="LQW1638" s="21"/>
      <c r="LQX1638" s="21"/>
      <c r="LQY1638" s="21"/>
      <c r="LQZ1638" s="21"/>
      <c r="LRA1638" s="21"/>
      <c r="LRB1638" s="21"/>
      <c r="LRC1638" s="21"/>
      <c r="LRD1638" s="21"/>
      <c r="LRE1638" s="21"/>
      <c r="LRF1638" s="21"/>
      <c r="LRG1638" s="21"/>
      <c r="LRH1638" s="21"/>
      <c r="LRI1638" s="21"/>
      <c r="LRJ1638" s="21"/>
      <c r="LRK1638" s="21"/>
      <c r="LRL1638" s="21"/>
      <c r="LRM1638" s="21"/>
      <c r="LRN1638" s="21"/>
      <c r="LRO1638" s="21"/>
      <c r="LRP1638" s="21"/>
      <c r="LRQ1638" s="21"/>
      <c r="LRR1638" s="21"/>
      <c r="LRS1638" s="21"/>
      <c r="LRT1638" s="21"/>
      <c r="LRU1638" s="21"/>
      <c r="LRV1638" s="21"/>
      <c r="LRW1638" s="21"/>
      <c r="LRX1638" s="21"/>
      <c r="LRY1638" s="21"/>
      <c r="LRZ1638" s="21"/>
      <c r="LSA1638" s="21"/>
      <c r="LSB1638" s="21"/>
      <c r="LSC1638" s="21"/>
      <c r="LSD1638" s="21"/>
      <c r="LSE1638" s="21"/>
      <c r="LSF1638" s="21"/>
      <c r="LSG1638" s="21"/>
      <c r="LSH1638" s="21"/>
      <c r="LSI1638" s="21"/>
      <c r="LSJ1638" s="21"/>
      <c r="LSK1638" s="21"/>
      <c r="LSL1638" s="21"/>
      <c r="LSM1638" s="21"/>
      <c r="LSN1638" s="21"/>
      <c r="LSO1638" s="21"/>
      <c r="LSP1638" s="21"/>
      <c r="LSQ1638" s="21"/>
      <c r="LSR1638" s="21"/>
      <c r="LSS1638" s="21"/>
      <c r="LST1638" s="21"/>
      <c r="LSU1638" s="21"/>
      <c r="LSV1638" s="21"/>
      <c r="LSW1638" s="21"/>
      <c r="LSX1638" s="21"/>
      <c r="LSY1638" s="21"/>
      <c r="LSZ1638" s="21"/>
      <c r="LTA1638" s="21"/>
      <c r="LTB1638" s="21"/>
      <c r="LTC1638" s="21"/>
      <c r="LTD1638" s="21"/>
      <c r="LTE1638" s="21"/>
      <c r="LTF1638" s="21"/>
      <c r="LTG1638" s="21"/>
      <c r="LTH1638" s="21"/>
      <c r="LTI1638" s="21"/>
      <c r="LTJ1638" s="21"/>
      <c r="LTK1638" s="21"/>
      <c r="LTL1638" s="21"/>
      <c r="LTM1638" s="21"/>
      <c r="LTN1638" s="21"/>
      <c r="LTO1638" s="21"/>
      <c r="LTP1638" s="21"/>
      <c r="LTQ1638" s="21"/>
      <c r="LTR1638" s="21"/>
      <c r="LTS1638" s="21"/>
      <c r="LTT1638" s="21"/>
      <c r="LTU1638" s="21"/>
      <c r="LTV1638" s="21"/>
      <c r="LTW1638" s="21"/>
      <c r="LTX1638" s="21"/>
      <c r="LTY1638" s="21"/>
      <c r="LTZ1638" s="21"/>
      <c r="LUA1638" s="21"/>
      <c r="LUB1638" s="21"/>
      <c r="LUC1638" s="21"/>
      <c r="LUD1638" s="21"/>
      <c r="LUE1638" s="21"/>
      <c r="LUF1638" s="21"/>
      <c r="LUG1638" s="21"/>
      <c r="LUH1638" s="21"/>
      <c r="LUI1638" s="21"/>
      <c r="LUJ1638" s="21"/>
      <c r="LUK1638" s="21"/>
      <c r="LUL1638" s="21"/>
      <c r="LUM1638" s="21"/>
      <c r="LUN1638" s="21"/>
      <c r="LUO1638" s="21"/>
      <c r="LUP1638" s="21"/>
      <c r="LUQ1638" s="21"/>
      <c r="LUR1638" s="21"/>
      <c r="LUS1638" s="21"/>
      <c r="LUT1638" s="21"/>
      <c r="LUU1638" s="21"/>
      <c r="LUV1638" s="21"/>
      <c r="LUW1638" s="21"/>
      <c r="LUX1638" s="21"/>
      <c r="LUY1638" s="21"/>
      <c r="LUZ1638" s="21"/>
      <c r="LVA1638" s="21"/>
      <c r="LVB1638" s="21"/>
      <c r="LVC1638" s="21"/>
      <c r="LVD1638" s="21"/>
      <c r="LVE1638" s="21"/>
      <c r="LVF1638" s="21"/>
      <c r="LVG1638" s="21"/>
      <c r="LVH1638" s="21"/>
      <c r="LVI1638" s="21"/>
      <c r="LVJ1638" s="21"/>
      <c r="LVK1638" s="21"/>
      <c r="LVL1638" s="21"/>
      <c r="LVM1638" s="21"/>
      <c r="LVN1638" s="21"/>
      <c r="LVO1638" s="21"/>
      <c r="LVP1638" s="21"/>
      <c r="LVQ1638" s="21"/>
      <c r="LVR1638" s="21"/>
      <c r="LVS1638" s="21"/>
      <c r="LVT1638" s="21"/>
      <c r="LVU1638" s="21"/>
      <c r="LVV1638" s="21"/>
      <c r="LVW1638" s="21"/>
      <c r="LVX1638" s="21"/>
      <c r="LVY1638" s="21"/>
      <c r="LVZ1638" s="21"/>
      <c r="LWA1638" s="21"/>
      <c r="LWB1638" s="21"/>
      <c r="LWC1638" s="21"/>
      <c r="LWD1638" s="21"/>
      <c r="LWE1638" s="21"/>
      <c r="LWF1638" s="21"/>
      <c r="LWG1638" s="21"/>
      <c r="LWH1638" s="21"/>
      <c r="LWI1638" s="21"/>
      <c r="LWJ1638" s="21"/>
      <c r="LWK1638" s="21"/>
      <c r="LWL1638" s="21"/>
      <c r="LWM1638" s="21"/>
      <c r="LWN1638" s="21"/>
      <c r="LWO1638" s="21"/>
      <c r="LWP1638" s="21"/>
      <c r="LWQ1638" s="21"/>
      <c r="LWR1638" s="21"/>
      <c r="LWS1638" s="21"/>
      <c r="LWT1638" s="21"/>
      <c r="LWU1638" s="21"/>
      <c r="LWV1638" s="21"/>
      <c r="LWW1638" s="21"/>
      <c r="LWX1638" s="21"/>
      <c r="LWY1638" s="21"/>
      <c r="LWZ1638" s="21"/>
      <c r="LXA1638" s="21"/>
      <c r="LXB1638" s="21"/>
      <c r="LXC1638" s="21"/>
      <c r="LXD1638" s="21"/>
      <c r="LXE1638" s="21"/>
      <c r="LXF1638" s="21"/>
      <c r="LXG1638" s="21"/>
      <c r="LXH1638" s="21"/>
      <c r="LXI1638" s="21"/>
      <c r="LXJ1638" s="21"/>
      <c r="LXK1638" s="21"/>
      <c r="LXL1638" s="21"/>
      <c r="LXM1638" s="21"/>
      <c r="LXN1638" s="21"/>
      <c r="LXO1638" s="21"/>
      <c r="LXP1638" s="21"/>
      <c r="LXQ1638" s="21"/>
      <c r="LXR1638" s="21"/>
      <c r="LXS1638" s="21"/>
      <c r="LXT1638" s="21"/>
      <c r="LXU1638" s="21"/>
      <c r="LXV1638" s="21"/>
      <c r="LXW1638" s="21"/>
      <c r="LXX1638" s="21"/>
      <c r="LXY1638" s="21"/>
      <c r="LXZ1638" s="21"/>
      <c r="LYA1638" s="21"/>
      <c r="LYB1638" s="21"/>
      <c r="LYC1638" s="21"/>
      <c r="LYD1638" s="21"/>
      <c r="LYE1638" s="21"/>
      <c r="LYF1638" s="21"/>
      <c r="LYG1638" s="21"/>
      <c r="LYH1638" s="21"/>
      <c r="LYI1638" s="21"/>
      <c r="LYJ1638" s="21"/>
      <c r="LYK1638" s="21"/>
      <c r="LYL1638" s="21"/>
      <c r="LYM1638" s="21"/>
      <c r="LYN1638" s="21"/>
      <c r="LYO1638" s="21"/>
      <c r="LYP1638" s="21"/>
      <c r="LYQ1638" s="21"/>
      <c r="LYR1638" s="21"/>
      <c r="LYS1638" s="21"/>
      <c r="LYT1638" s="21"/>
      <c r="LYU1638" s="21"/>
      <c r="LYV1638" s="21"/>
      <c r="LYW1638" s="21"/>
      <c r="LYX1638" s="21"/>
      <c r="LYY1638" s="21"/>
      <c r="LYZ1638" s="21"/>
      <c r="LZA1638" s="21"/>
      <c r="LZB1638" s="21"/>
      <c r="LZC1638" s="21"/>
      <c r="LZD1638" s="21"/>
      <c r="LZE1638" s="21"/>
      <c r="LZF1638" s="21"/>
      <c r="LZG1638" s="21"/>
      <c r="LZH1638" s="21"/>
      <c r="LZI1638" s="21"/>
      <c r="LZJ1638" s="21"/>
      <c r="LZK1638" s="21"/>
      <c r="LZL1638" s="21"/>
      <c r="LZM1638" s="21"/>
      <c r="LZN1638" s="21"/>
      <c r="LZO1638" s="21"/>
      <c r="LZP1638" s="21"/>
      <c r="LZQ1638" s="21"/>
      <c r="LZR1638" s="21"/>
      <c r="LZS1638" s="21"/>
      <c r="LZT1638" s="21"/>
      <c r="LZU1638" s="21"/>
      <c r="LZV1638" s="21"/>
      <c r="LZW1638" s="21"/>
      <c r="LZX1638" s="21"/>
      <c r="LZY1638" s="21"/>
      <c r="LZZ1638" s="21"/>
      <c r="MAA1638" s="21"/>
      <c r="MAB1638" s="21"/>
      <c r="MAC1638" s="21"/>
      <c r="MAD1638" s="21"/>
      <c r="MAE1638" s="21"/>
      <c r="MAF1638" s="21"/>
      <c r="MAG1638" s="21"/>
      <c r="MAH1638" s="21"/>
      <c r="MAI1638" s="21"/>
      <c r="MAJ1638" s="21"/>
      <c r="MAK1638" s="21"/>
      <c r="MAL1638" s="21"/>
      <c r="MAM1638" s="21"/>
      <c r="MAN1638" s="21"/>
      <c r="MAO1638" s="21"/>
      <c r="MAP1638" s="21"/>
      <c r="MAQ1638" s="21"/>
      <c r="MAR1638" s="21"/>
      <c r="MAS1638" s="21"/>
      <c r="MAT1638" s="21"/>
      <c r="MAU1638" s="21"/>
      <c r="MAV1638" s="21"/>
      <c r="MAW1638" s="21"/>
      <c r="MAX1638" s="21"/>
      <c r="MAY1638" s="21"/>
      <c r="MAZ1638" s="21"/>
      <c r="MBA1638" s="21"/>
      <c r="MBB1638" s="21"/>
      <c r="MBC1638" s="21"/>
      <c r="MBD1638" s="21"/>
      <c r="MBE1638" s="21"/>
      <c r="MBF1638" s="21"/>
      <c r="MBG1638" s="21"/>
      <c r="MBH1638" s="21"/>
      <c r="MBI1638" s="21"/>
      <c r="MBJ1638" s="21"/>
      <c r="MBK1638" s="21"/>
      <c r="MBL1638" s="21"/>
      <c r="MBM1638" s="21"/>
      <c r="MBN1638" s="21"/>
      <c r="MBO1638" s="21"/>
      <c r="MBP1638" s="21"/>
      <c r="MBQ1638" s="21"/>
      <c r="MBR1638" s="21"/>
      <c r="MBS1638" s="21"/>
      <c r="MBT1638" s="21"/>
      <c r="MBU1638" s="21"/>
      <c r="MBV1638" s="21"/>
      <c r="MBW1638" s="21"/>
      <c r="MBX1638" s="21"/>
      <c r="MBY1638" s="21"/>
      <c r="MBZ1638" s="21"/>
      <c r="MCA1638" s="21"/>
      <c r="MCB1638" s="21"/>
      <c r="MCC1638" s="21"/>
      <c r="MCD1638" s="21"/>
      <c r="MCE1638" s="21"/>
      <c r="MCF1638" s="21"/>
      <c r="MCG1638" s="21"/>
      <c r="MCH1638" s="21"/>
      <c r="MCI1638" s="21"/>
      <c r="MCJ1638" s="21"/>
      <c r="MCK1638" s="21"/>
      <c r="MCL1638" s="21"/>
      <c r="MCM1638" s="21"/>
      <c r="MCN1638" s="21"/>
      <c r="MCO1638" s="21"/>
      <c r="MCP1638" s="21"/>
      <c r="MCQ1638" s="21"/>
      <c r="MCR1638" s="21"/>
      <c r="MCS1638" s="21"/>
      <c r="MCT1638" s="21"/>
      <c r="MCU1638" s="21"/>
      <c r="MCV1638" s="21"/>
      <c r="MCW1638" s="21"/>
      <c r="MCX1638" s="21"/>
      <c r="MCY1638" s="21"/>
      <c r="MCZ1638" s="21"/>
      <c r="MDA1638" s="21"/>
      <c r="MDB1638" s="21"/>
      <c r="MDC1638" s="21"/>
      <c r="MDD1638" s="21"/>
      <c r="MDE1638" s="21"/>
      <c r="MDF1638" s="21"/>
      <c r="MDG1638" s="21"/>
      <c r="MDH1638" s="21"/>
      <c r="MDI1638" s="21"/>
      <c r="MDJ1638" s="21"/>
      <c r="MDK1638" s="21"/>
      <c r="MDL1638" s="21"/>
      <c r="MDM1638" s="21"/>
      <c r="MDN1638" s="21"/>
      <c r="MDO1638" s="21"/>
      <c r="MDP1638" s="21"/>
      <c r="MDQ1638" s="21"/>
      <c r="MDR1638" s="21"/>
      <c r="MDS1638" s="21"/>
      <c r="MDT1638" s="21"/>
      <c r="MDU1638" s="21"/>
      <c r="MDV1638" s="21"/>
      <c r="MDW1638" s="21"/>
      <c r="MDX1638" s="21"/>
      <c r="MDY1638" s="21"/>
      <c r="MDZ1638" s="21"/>
      <c r="MEA1638" s="21"/>
      <c r="MEB1638" s="21"/>
      <c r="MEC1638" s="21"/>
      <c r="MED1638" s="21"/>
      <c r="MEE1638" s="21"/>
      <c r="MEF1638" s="21"/>
      <c r="MEG1638" s="21"/>
      <c r="MEH1638" s="21"/>
      <c r="MEI1638" s="21"/>
      <c r="MEJ1638" s="21"/>
      <c r="MEK1638" s="21"/>
      <c r="MEL1638" s="21"/>
      <c r="MEM1638" s="21"/>
      <c r="MEN1638" s="21"/>
      <c r="MEO1638" s="21"/>
      <c r="MEP1638" s="21"/>
      <c r="MEQ1638" s="21"/>
      <c r="MER1638" s="21"/>
      <c r="MES1638" s="21"/>
      <c r="MET1638" s="21"/>
      <c r="MEU1638" s="21"/>
      <c r="MEV1638" s="21"/>
      <c r="MEW1638" s="21"/>
      <c r="MEX1638" s="21"/>
      <c r="MEY1638" s="21"/>
      <c r="MEZ1638" s="21"/>
      <c r="MFA1638" s="21"/>
      <c r="MFB1638" s="21"/>
      <c r="MFC1638" s="21"/>
      <c r="MFD1638" s="21"/>
      <c r="MFE1638" s="21"/>
      <c r="MFF1638" s="21"/>
      <c r="MFG1638" s="21"/>
      <c r="MFH1638" s="21"/>
      <c r="MFI1638" s="21"/>
      <c r="MFJ1638" s="21"/>
      <c r="MFK1638" s="21"/>
      <c r="MFL1638" s="21"/>
      <c r="MFM1638" s="21"/>
      <c r="MFN1638" s="21"/>
      <c r="MFO1638" s="21"/>
      <c r="MFP1638" s="21"/>
      <c r="MFQ1638" s="21"/>
      <c r="MFR1638" s="21"/>
      <c r="MFS1638" s="21"/>
      <c r="MFT1638" s="21"/>
      <c r="MFU1638" s="21"/>
      <c r="MFV1638" s="21"/>
      <c r="MFW1638" s="21"/>
      <c r="MFX1638" s="21"/>
      <c r="MFY1638" s="21"/>
      <c r="MFZ1638" s="21"/>
      <c r="MGA1638" s="21"/>
      <c r="MGB1638" s="21"/>
      <c r="MGC1638" s="21"/>
      <c r="MGD1638" s="21"/>
      <c r="MGE1638" s="21"/>
      <c r="MGF1638" s="21"/>
      <c r="MGG1638" s="21"/>
      <c r="MGH1638" s="21"/>
      <c r="MGI1638" s="21"/>
      <c r="MGJ1638" s="21"/>
      <c r="MGK1638" s="21"/>
      <c r="MGL1638" s="21"/>
      <c r="MGM1638" s="21"/>
      <c r="MGN1638" s="21"/>
      <c r="MGO1638" s="21"/>
      <c r="MGP1638" s="21"/>
      <c r="MGQ1638" s="21"/>
      <c r="MGR1638" s="21"/>
      <c r="MGS1638" s="21"/>
      <c r="MGT1638" s="21"/>
      <c r="MGU1638" s="21"/>
      <c r="MGV1638" s="21"/>
      <c r="MGW1638" s="21"/>
      <c r="MGX1638" s="21"/>
      <c r="MGY1638" s="21"/>
      <c r="MGZ1638" s="21"/>
      <c r="MHA1638" s="21"/>
      <c r="MHB1638" s="21"/>
      <c r="MHC1638" s="21"/>
      <c r="MHD1638" s="21"/>
      <c r="MHE1638" s="21"/>
      <c r="MHF1638" s="21"/>
      <c r="MHG1638" s="21"/>
      <c r="MHH1638" s="21"/>
      <c r="MHI1638" s="21"/>
      <c r="MHJ1638" s="21"/>
      <c r="MHK1638" s="21"/>
      <c r="MHL1638" s="21"/>
      <c r="MHM1638" s="21"/>
      <c r="MHN1638" s="21"/>
      <c r="MHO1638" s="21"/>
      <c r="MHP1638" s="21"/>
      <c r="MHQ1638" s="21"/>
      <c r="MHR1638" s="21"/>
      <c r="MHS1638" s="21"/>
      <c r="MHT1638" s="21"/>
      <c r="MHU1638" s="21"/>
      <c r="MHV1638" s="21"/>
      <c r="MHW1638" s="21"/>
      <c r="MHX1638" s="21"/>
      <c r="MHY1638" s="21"/>
      <c r="MHZ1638" s="21"/>
      <c r="MIA1638" s="21"/>
      <c r="MIB1638" s="21"/>
      <c r="MIC1638" s="21"/>
      <c r="MID1638" s="21"/>
      <c r="MIE1638" s="21"/>
      <c r="MIF1638" s="21"/>
      <c r="MIG1638" s="21"/>
      <c r="MIH1638" s="21"/>
      <c r="MII1638" s="21"/>
      <c r="MIJ1638" s="21"/>
      <c r="MIK1638" s="21"/>
      <c r="MIL1638" s="21"/>
      <c r="MIM1638" s="21"/>
      <c r="MIN1638" s="21"/>
      <c r="MIO1638" s="21"/>
      <c r="MIP1638" s="21"/>
      <c r="MIQ1638" s="21"/>
      <c r="MIR1638" s="21"/>
      <c r="MIS1638" s="21"/>
      <c r="MIT1638" s="21"/>
      <c r="MIU1638" s="21"/>
      <c r="MIV1638" s="21"/>
      <c r="MIW1638" s="21"/>
      <c r="MIX1638" s="21"/>
      <c r="MIY1638" s="21"/>
      <c r="MIZ1638" s="21"/>
      <c r="MJA1638" s="21"/>
      <c r="MJB1638" s="21"/>
      <c r="MJC1638" s="21"/>
      <c r="MJD1638" s="21"/>
      <c r="MJE1638" s="21"/>
      <c r="MJF1638" s="21"/>
      <c r="MJG1638" s="21"/>
      <c r="MJH1638" s="21"/>
      <c r="MJI1638" s="21"/>
      <c r="MJJ1638" s="21"/>
      <c r="MJK1638" s="21"/>
      <c r="MJL1638" s="21"/>
      <c r="MJM1638" s="21"/>
      <c r="MJN1638" s="21"/>
      <c r="MJO1638" s="21"/>
      <c r="MJP1638" s="21"/>
      <c r="MJQ1638" s="21"/>
      <c r="MJR1638" s="21"/>
      <c r="MJS1638" s="21"/>
      <c r="MJT1638" s="21"/>
      <c r="MJU1638" s="21"/>
      <c r="MJV1638" s="21"/>
      <c r="MJW1638" s="21"/>
      <c r="MJX1638" s="21"/>
      <c r="MJY1638" s="21"/>
      <c r="MJZ1638" s="21"/>
      <c r="MKA1638" s="21"/>
      <c r="MKB1638" s="21"/>
      <c r="MKC1638" s="21"/>
      <c r="MKD1638" s="21"/>
      <c r="MKE1638" s="21"/>
      <c r="MKF1638" s="21"/>
      <c r="MKG1638" s="21"/>
      <c r="MKH1638" s="21"/>
      <c r="MKI1638" s="21"/>
      <c r="MKJ1638" s="21"/>
      <c r="MKK1638" s="21"/>
      <c r="MKL1638" s="21"/>
      <c r="MKM1638" s="21"/>
      <c r="MKN1638" s="21"/>
      <c r="MKO1638" s="21"/>
      <c r="MKP1638" s="21"/>
      <c r="MKQ1638" s="21"/>
      <c r="MKR1638" s="21"/>
      <c r="MKS1638" s="21"/>
      <c r="MKT1638" s="21"/>
      <c r="MKU1638" s="21"/>
      <c r="MKV1638" s="21"/>
      <c r="MKW1638" s="21"/>
      <c r="MKX1638" s="21"/>
      <c r="MKY1638" s="21"/>
      <c r="MKZ1638" s="21"/>
      <c r="MLA1638" s="21"/>
      <c r="MLB1638" s="21"/>
      <c r="MLC1638" s="21"/>
      <c r="MLD1638" s="21"/>
      <c r="MLE1638" s="21"/>
      <c r="MLF1638" s="21"/>
      <c r="MLG1638" s="21"/>
      <c r="MLH1638" s="21"/>
      <c r="MLI1638" s="21"/>
      <c r="MLJ1638" s="21"/>
      <c r="MLK1638" s="21"/>
      <c r="MLL1638" s="21"/>
      <c r="MLM1638" s="21"/>
      <c r="MLN1638" s="21"/>
      <c r="MLO1638" s="21"/>
      <c r="MLP1638" s="21"/>
      <c r="MLQ1638" s="21"/>
      <c r="MLR1638" s="21"/>
      <c r="MLS1638" s="21"/>
      <c r="MLT1638" s="21"/>
      <c r="MLU1638" s="21"/>
      <c r="MLV1638" s="21"/>
      <c r="MLW1638" s="21"/>
      <c r="MLX1638" s="21"/>
      <c r="MLY1638" s="21"/>
      <c r="MLZ1638" s="21"/>
      <c r="MMA1638" s="21"/>
      <c r="MMB1638" s="21"/>
      <c r="MMC1638" s="21"/>
      <c r="MMD1638" s="21"/>
      <c r="MME1638" s="21"/>
      <c r="MMF1638" s="21"/>
      <c r="MMG1638" s="21"/>
      <c r="MMH1638" s="21"/>
      <c r="MMI1638" s="21"/>
      <c r="MMJ1638" s="21"/>
      <c r="MMK1638" s="21"/>
      <c r="MML1638" s="21"/>
      <c r="MMM1638" s="21"/>
      <c r="MMN1638" s="21"/>
      <c r="MMO1638" s="21"/>
      <c r="MMP1638" s="21"/>
      <c r="MMQ1638" s="21"/>
      <c r="MMR1638" s="21"/>
      <c r="MMS1638" s="21"/>
      <c r="MMT1638" s="21"/>
      <c r="MMU1638" s="21"/>
      <c r="MMV1638" s="21"/>
      <c r="MMW1638" s="21"/>
      <c r="MMX1638" s="21"/>
      <c r="MMY1638" s="21"/>
      <c r="MMZ1638" s="21"/>
      <c r="MNA1638" s="21"/>
      <c r="MNB1638" s="21"/>
      <c r="MNC1638" s="21"/>
      <c r="MND1638" s="21"/>
      <c r="MNE1638" s="21"/>
      <c r="MNF1638" s="21"/>
      <c r="MNG1638" s="21"/>
      <c r="MNH1638" s="21"/>
      <c r="MNI1638" s="21"/>
      <c r="MNJ1638" s="21"/>
      <c r="MNK1638" s="21"/>
      <c r="MNL1638" s="21"/>
      <c r="MNM1638" s="21"/>
      <c r="MNN1638" s="21"/>
      <c r="MNO1638" s="21"/>
      <c r="MNP1638" s="21"/>
      <c r="MNQ1638" s="21"/>
      <c r="MNR1638" s="21"/>
      <c r="MNS1638" s="21"/>
      <c r="MNT1638" s="21"/>
      <c r="MNU1638" s="21"/>
      <c r="MNV1638" s="21"/>
      <c r="MNW1638" s="21"/>
      <c r="MNX1638" s="21"/>
      <c r="MNY1638" s="21"/>
      <c r="MNZ1638" s="21"/>
      <c r="MOA1638" s="21"/>
      <c r="MOB1638" s="21"/>
      <c r="MOC1638" s="21"/>
      <c r="MOD1638" s="21"/>
      <c r="MOE1638" s="21"/>
      <c r="MOF1638" s="21"/>
      <c r="MOG1638" s="21"/>
      <c r="MOH1638" s="21"/>
      <c r="MOI1638" s="21"/>
      <c r="MOJ1638" s="21"/>
      <c r="MOK1638" s="21"/>
      <c r="MOL1638" s="21"/>
      <c r="MOM1638" s="21"/>
      <c r="MON1638" s="21"/>
      <c r="MOO1638" s="21"/>
      <c r="MOP1638" s="21"/>
      <c r="MOQ1638" s="21"/>
      <c r="MOR1638" s="21"/>
      <c r="MOS1638" s="21"/>
      <c r="MOT1638" s="21"/>
      <c r="MOU1638" s="21"/>
      <c r="MOV1638" s="21"/>
      <c r="MOW1638" s="21"/>
      <c r="MOX1638" s="21"/>
      <c r="MOY1638" s="21"/>
      <c r="MOZ1638" s="21"/>
      <c r="MPA1638" s="21"/>
      <c r="MPB1638" s="21"/>
      <c r="MPC1638" s="21"/>
      <c r="MPD1638" s="21"/>
      <c r="MPE1638" s="21"/>
      <c r="MPF1638" s="21"/>
      <c r="MPG1638" s="21"/>
      <c r="MPH1638" s="21"/>
      <c r="MPI1638" s="21"/>
      <c r="MPJ1638" s="21"/>
      <c r="MPK1638" s="21"/>
      <c r="MPL1638" s="21"/>
      <c r="MPM1638" s="21"/>
      <c r="MPN1638" s="21"/>
      <c r="MPO1638" s="21"/>
      <c r="MPP1638" s="21"/>
      <c r="MPQ1638" s="21"/>
      <c r="MPR1638" s="21"/>
      <c r="MPS1638" s="21"/>
      <c r="MPT1638" s="21"/>
      <c r="MPU1638" s="21"/>
      <c r="MPV1638" s="21"/>
      <c r="MPW1638" s="21"/>
      <c r="MPX1638" s="21"/>
      <c r="MPY1638" s="21"/>
      <c r="MPZ1638" s="21"/>
      <c r="MQA1638" s="21"/>
      <c r="MQB1638" s="21"/>
      <c r="MQC1638" s="21"/>
      <c r="MQD1638" s="21"/>
      <c r="MQE1638" s="21"/>
      <c r="MQF1638" s="21"/>
      <c r="MQG1638" s="21"/>
      <c r="MQH1638" s="21"/>
      <c r="MQI1638" s="21"/>
      <c r="MQJ1638" s="21"/>
      <c r="MQK1638" s="21"/>
      <c r="MQL1638" s="21"/>
      <c r="MQM1638" s="21"/>
      <c r="MQN1638" s="21"/>
      <c r="MQO1638" s="21"/>
      <c r="MQP1638" s="21"/>
      <c r="MQQ1638" s="21"/>
      <c r="MQR1638" s="21"/>
      <c r="MQS1638" s="21"/>
      <c r="MQT1638" s="21"/>
      <c r="MQU1638" s="21"/>
      <c r="MQV1638" s="21"/>
      <c r="MQW1638" s="21"/>
      <c r="MQX1638" s="21"/>
      <c r="MQY1638" s="21"/>
      <c r="MQZ1638" s="21"/>
      <c r="MRA1638" s="21"/>
      <c r="MRB1638" s="21"/>
      <c r="MRC1638" s="21"/>
      <c r="MRD1638" s="21"/>
      <c r="MRE1638" s="21"/>
      <c r="MRF1638" s="21"/>
      <c r="MRG1638" s="21"/>
      <c r="MRH1638" s="21"/>
      <c r="MRI1638" s="21"/>
      <c r="MRJ1638" s="21"/>
      <c r="MRK1638" s="21"/>
      <c r="MRL1638" s="21"/>
      <c r="MRM1638" s="21"/>
      <c r="MRN1638" s="21"/>
      <c r="MRO1638" s="21"/>
      <c r="MRP1638" s="21"/>
      <c r="MRQ1638" s="21"/>
      <c r="MRR1638" s="21"/>
      <c r="MRS1638" s="21"/>
      <c r="MRT1638" s="21"/>
      <c r="MRU1638" s="21"/>
      <c r="MRV1638" s="21"/>
      <c r="MRW1638" s="21"/>
      <c r="MRX1638" s="21"/>
      <c r="MRY1638" s="21"/>
      <c r="MRZ1638" s="21"/>
      <c r="MSA1638" s="21"/>
      <c r="MSB1638" s="21"/>
      <c r="MSC1638" s="21"/>
      <c r="MSD1638" s="21"/>
      <c r="MSE1638" s="21"/>
      <c r="MSF1638" s="21"/>
      <c r="MSG1638" s="21"/>
      <c r="MSH1638" s="21"/>
      <c r="MSI1638" s="21"/>
      <c r="MSJ1638" s="21"/>
      <c r="MSK1638" s="21"/>
      <c r="MSL1638" s="21"/>
      <c r="MSM1638" s="21"/>
      <c r="MSN1638" s="21"/>
      <c r="MSO1638" s="21"/>
      <c r="MSP1638" s="21"/>
      <c r="MSQ1638" s="21"/>
      <c r="MSR1638" s="21"/>
      <c r="MSS1638" s="21"/>
      <c r="MST1638" s="21"/>
      <c r="MSU1638" s="21"/>
      <c r="MSV1638" s="21"/>
      <c r="MSW1638" s="21"/>
      <c r="MSX1638" s="21"/>
      <c r="MSY1638" s="21"/>
      <c r="MSZ1638" s="21"/>
      <c r="MTA1638" s="21"/>
      <c r="MTB1638" s="21"/>
      <c r="MTC1638" s="21"/>
      <c r="MTD1638" s="21"/>
      <c r="MTE1638" s="21"/>
      <c r="MTF1638" s="21"/>
      <c r="MTG1638" s="21"/>
      <c r="MTH1638" s="21"/>
      <c r="MTI1638" s="21"/>
      <c r="MTJ1638" s="21"/>
      <c r="MTK1638" s="21"/>
      <c r="MTL1638" s="21"/>
      <c r="MTM1638" s="21"/>
      <c r="MTN1638" s="21"/>
      <c r="MTO1638" s="21"/>
      <c r="MTP1638" s="21"/>
      <c r="MTQ1638" s="21"/>
      <c r="MTR1638" s="21"/>
      <c r="MTS1638" s="21"/>
      <c r="MTT1638" s="21"/>
      <c r="MTU1638" s="21"/>
      <c r="MTV1638" s="21"/>
      <c r="MTW1638" s="21"/>
      <c r="MTX1638" s="21"/>
      <c r="MTY1638" s="21"/>
      <c r="MTZ1638" s="21"/>
      <c r="MUA1638" s="21"/>
      <c r="MUB1638" s="21"/>
      <c r="MUC1638" s="21"/>
      <c r="MUD1638" s="21"/>
      <c r="MUE1638" s="21"/>
      <c r="MUF1638" s="21"/>
      <c r="MUG1638" s="21"/>
      <c r="MUH1638" s="21"/>
      <c r="MUI1638" s="21"/>
      <c r="MUJ1638" s="21"/>
      <c r="MUK1638" s="21"/>
      <c r="MUL1638" s="21"/>
      <c r="MUM1638" s="21"/>
      <c r="MUN1638" s="21"/>
      <c r="MUO1638" s="21"/>
      <c r="MUP1638" s="21"/>
      <c r="MUQ1638" s="21"/>
      <c r="MUR1638" s="21"/>
      <c r="MUS1638" s="21"/>
      <c r="MUT1638" s="21"/>
      <c r="MUU1638" s="21"/>
      <c r="MUV1638" s="21"/>
      <c r="MUW1638" s="21"/>
      <c r="MUX1638" s="21"/>
      <c r="MUY1638" s="21"/>
      <c r="MUZ1638" s="21"/>
      <c r="MVA1638" s="21"/>
      <c r="MVB1638" s="21"/>
      <c r="MVC1638" s="21"/>
      <c r="MVD1638" s="21"/>
      <c r="MVE1638" s="21"/>
      <c r="MVF1638" s="21"/>
      <c r="MVG1638" s="21"/>
      <c r="MVH1638" s="21"/>
      <c r="MVI1638" s="21"/>
      <c r="MVJ1638" s="21"/>
      <c r="MVK1638" s="21"/>
      <c r="MVL1638" s="21"/>
      <c r="MVM1638" s="21"/>
      <c r="MVN1638" s="21"/>
      <c r="MVO1638" s="21"/>
      <c r="MVP1638" s="21"/>
      <c r="MVQ1638" s="21"/>
      <c r="MVR1638" s="21"/>
      <c r="MVS1638" s="21"/>
      <c r="MVT1638" s="21"/>
      <c r="MVU1638" s="21"/>
      <c r="MVV1638" s="21"/>
      <c r="MVW1638" s="21"/>
      <c r="MVX1638" s="21"/>
      <c r="MVY1638" s="21"/>
      <c r="MVZ1638" s="21"/>
      <c r="MWA1638" s="21"/>
      <c r="MWB1638" s="21"/>
      <c r="MWC1638" s="21"/>
      <c r="MWD1638" s="21"/>
      <c r="MWE1638" s="21"/>
      <c r="MWF1638" s="21"/>
      <c r="MWG1638" s="21"/>
      <c r="MWH1638" s="21"/>
      <c r="MWI1638" s="21"/>
      <c r="MWJ1638" s="21"/>
      <c r="MWK1638" s="21"/>
      <c r="MWL1638" s="21"/>
      <c r="MWM1638" s="21"/>
      <c r="MWN1638" s="21"/>
      <c r="MWO1638" s="21"/>
      <c r="MWP1638" s="21"/>
      <c r="MWQ1638" s="21"/>
      <c r="MWR1638" s="21"/>
      <c r="MWS1638" s="21"/>
      <c r="MWT1638" s="21"/>
      <c r="MWU1638" s="21"/>
      <c r="MWV1638" s="21"/>
      <c r="MWW1638" s="21"/>
      <c r="MWX1638" s="21"/>
      <c r="MWY1638" s="21"/>
      <c r="MWZ1638" s="21"/>
      <c r="MXA1638" s="21"/>
      <c r="MXB1638" s="21"/>
      <c r="MXC1638" s="21"/>
      <c r="MXD1638" s="21"/>
      <c r="MXE1638" s="21"/>
      <c r="MXF1638" s="21"/>
      <c r="MXG1638" s="21"/>
      <c r="MXH1638" s="21"/>
      <c r="MXI1638" s="21"/>
      <c r="MXJ1638" s="21"/>
      <c r="MXK1638" s="21"/>
      <c r="MXL1638" s="21"/>
      <c r="MXM1638" s="21"/>
      <c r="MXN1638" s="21"/>
      <c r="MXO1638" s="21"/>
      <c r="MXP1638" s="21"/>
      <c r="MXQ1638" s="21"/>
      <c r="MXR1638" s="21"/>
      <c r="MXS1638" s="21"/>
      <c r="MXT1638" s="21"/>
      <c r="MXU1638" s="21"/>
      <c r="MXV1638" s="21"/>
      <c r="MXW1638" s="21"/>
      <c r="MXX1638" s="21"/>
      <c r="MXY1638" s="21"/>
      <c r="MXZ1638" s="21"/>
      <c r="MYA1638" s="21"/>
      <c r="MYB1638" s="21"/>
      <c r="MYC1638" s="21"/>
      <c r="MYD1638" s="21"/>
      <c r="MYE1638" s="21"/>
      <c r="MYF1638" s="21"/>
      <c r="MYG1638" s="21"/>
      <c r="MYH1638" s="21"/>
      <c r="MYI1638" s="21"/>
      <c r="MYJ1638" s="21"/>
      <c r="MYK1638" s="21"/>
      <c r="MYL1638" s="21"/>
      <c r="MYM1638" s="21"/>
      <c r="MYN1638" s="21"/>
      <c r="MYO1638" s="21"/>
      <c r="MYP1638" s="21"/>
      <c r="MYQ1638" s="21"/>
      <c r="MYR1638" s="21"/>
      <c r="MYS1638" s="21"/>
      <c r="MYT1638" s="21"/>
      <c r="MYU1638" s="21"/>
      <c r="MYV1638" s="21"/>
      <c r="MYW1638" s="21"/>
      <c r="MYX1638" s="21"/>
      <c r="MYY1638" s="21"/>
      <c r="MYZ1638" s="21"/>
      <c r="MZA1638" s="21"/>
      <c r="MZB1638" s="21"/>
      <c r="MZC1638" s="21"/>
      <c r="MZD1638" s="21"/>
      <c r="MZE1638" s="21"/>
      <c r="MZF1638" s="21"/>
      <c r="MZG1638" s="21"/>
      <c r="MZH1638" s="21"/>
      <c r="MZI1638" s="21"/>
      <c r="MZJ1638" s="21"/>
      <c r="MZK1638" s="21"/>
      <c r="MZL1638" s="21"/>
      <c r="MZM1638" s="21"/>
      <c r="MZN1638" s="21"/>
      <c r="MZO1638" s="21"/>
      <c r="MZP1638" s="21"/>
      <c r="MZQ1638" s="21"/>
      <c r="MZR1638" s="21"/>
      <c r="MZS1638" s="21"/>
      <c r="MZT1638" s="21"/>
      <c r="MZU1638" s="21"/>
      <c r="MZV1638" s="21"/>
      <c r="MZW1638" s="21"/>
      <c r="MZX1638" s="21"/>
      <c r="MZY1638" s="21"/>
      <c r="MZZ1638" s="21"/>
      <c r="NAA1638" s="21"/>
      <c r="NAB1638" s="21"/>
      <c r="NAC1638" s="21"/>
      <c r="NAD1638" s="21"/>
      <c r="NAE1638" s="21"/>
      <c r="NAF1638" s="21"/>
      <c r="NAG1638" s="21"/>
      <c r="NAH1638" s="21"/>
      <c r="NAI1638" s="21"/>
      <c r="NAJ1638" s="21"/>
      <c r="NAK1638" s="21"/>
      <c r="NAL1638" s="21"/>
      <c r="NAM1638" s="21"/>
      <c r="NAN1638" s="21"/>
      <c r="NAO1638" s="21"/>
      <c r="NAP1638" s="21"/>
      <c r="NAQ1638" s="21"/>
      <c r="NAR1638" s="21"/>
      <c r="NAS1638" s="21"/>
      <c r="NAT1638" s="21"/>
      <c r="NAU1638" s="21"/>
      <c r="NAV1638" s="21"/>
      <c r="NAW1638" s="21"/>
      <c r="NAX1638" s="21"/>
      <c r="NAY1638" s="21"/>
      <c r="NAZ1638" s="21"/>
      <c r="NBA1638" s="21"/>
      <c r="NBB1638" s="21"/>
      <c r="NBC1638" s="21"/>
      <c r="NBD1638" s="21"/>
      <c r="NBE1638" s="21"/>
      <c r="NBF1638" s="21"/>
      <c r="NBG1638" s="21"/>
      <c r="NBH1638" s="21"/>
      <c r="NBI1638" s="21"/>
      <c r="NBJ1638" s="21"/>
      <c r="NBK1638" s="21"/>
      <c r="NBL1638" s="21"/>
      <c r="NBM1638" s="21"/>
      <c r="NBN1638" s="21"/>
      <c r="NBO1638" s="21"/>
      <c r="NBP1638" s="21"/>
      <c r="NBQ1638" s="21"/>
      <c r="NBR1638" s="21"/>
      <c r="NBS1638" s="21"/>
      <c r="NBT1638" s="21"/>
      <c r="NBU1638" s="21"/>
      <c r="NBV1638" s="21"/>
      <c r="NBW1638" s="21"/>
      <c r="NBX1638" s="21"/>
      <c r="NBY1638" s="21"/>
      <c r="NBZ1638" s="21"/>
      <c r="NCA1638" s="21"/>
      <c r="NCB1638" s="21"/>
      <c r="NCC1638" s="21"/>
      <c r="NCD1638" s="21"/>
      <c r="NCE1638" s="21"/>
      <c r="NCF1638" s="21"/>
      <c r="NCG1638" s="21"/>
      <c r="NCH1638" s="21"/>
      <c r="NCI1638" s="21"/>
      <c r="NCJ1638" s="21"/>
      <c r="NCK1638" s="21"/>
      <c r="NCL1638" s="21"/>
      <c r="NCM1638" s="21"/>
      <c r="NCN1638" s="21"/>
      <c r="NCO1638" s="21"/>
      <c r="NCP1638" s="21"/>
      <c r="NCQ1638" s="21"/>
      <c r="NCR1638" s="21"/>
      <c r="NCS1638" s="21"/>
      <c r="NCT1638" s="21"/>
      <c r="NCU1638" s="21"/>
      <c r="NCV1638" s="21"/>
      <c r="NCW1638" s="21"/>
      <c r="NCX1638" s="21"/>
      <c r="NCY1638" s="21"/>
      <c r="NCZ1638" s="21"/>
      <c r="NDA1638" s="21"/>
      <c r="NDB1638" s="21"/>
      <c r="NDC1638" s="21"/>
      <c r="NDD1638" s="21"/>
      <c r="NDE1638" s="21"/>
      <c r="NDF1638" s="21"/>
      <c r="NDG1638" s="21"/>
      <c r="NDH1638" s="21"/>
      <c r="NDI1638" s="21"/>
      <c r="NDJ1638" s="21"/>
      <c r="NDK1638" s="21"/>
      <c r="NDL1638" s="21"/>
      <c r="NDM1638" s="21"/>
      <c r="NDN1638" s="21"/>
      <c r="NDO1638" s="21"/>
      <c r="NDP1638" s="21"/>
      <c r="NDQ1638" s="21"/>
      <c r="NDR1638" s="21"/>
      <c r="NDS1638" s="21"/>
      <c r="NDT1638" s="21"/>
      <c r="NDU1638" s="21"/>
      <c r="NDV1638" s="21"/>
      <c r="NDW1638" s="21"/>
      <c r="NDX1638" s="21"/>
      <c r="NDY1638" s="21"/>
      <c r="NDZ1638" s="21"/>
      <c r="NEA1638" s="21"/>
      <c r="NEB1638" s="21"/>
      <c r="NEC1638" s="21"/>
      <c r="NED1638" s="21"/>
      <c r="NEE1638" s="21"/>
      <c r="NEF1638" s="21"/>
      <c r="NEG1638" s="21"/>
      <c r="NEH1638" s="21"/>
      <c r="NEI1638" s="21"/>
      <c r="NEJ1638" s="21"/>
      <c r="NEK1638" s="21"/>
      <c r="NEL1638" s="21"/>
      <c r="NEM1638" s="21"/>
      <c r="NEN1638" s="21"/>
      <c r="NEO1638" s="21"/>
      <c r="NEP1638" s="21"/>
      <c r="NEQ1638" s="21"/>
      <c r="NER1638" s="21"/>
      <c r="NES1638" s="21"/>
      <c r="NET1638" s="21"/>
      <c r="NEU1638" s="21"/>
      <c r="NEV1638" s="21"/>
      <c r="NEW1638" s="21"/>
      <c r="NEX1638" s="21"/>
      <c r="NEY1638" s="21"/>
      <c r="NEZ1638" s="21"/>
      <c r="NFA1638" s="21"/>
      <c r="NFB1638" s="21"/>
      <c r="NFC1638" s="21"/>
      <c r="NFD1638" s="21"/>
      <c r="NFE1638" s="21"/>
      <c r="NFF1638" s="21"/>
      <c r="NFG1638" s="21"/>
      <c r="NFH1638" s="21"/>
      <c r="NFI1638" s="21"/>
      <c r="NFJ1638" s="21"/>
      <c r="NFK1638" s="21"/>
      <c r="NFL1638" s="21"/>
      <c r="NFM1638" s="21"/>
      <c r="NFN1638" s="21"/>
      <c r="NFO1638" s="21"/>
      <c r="NFP1638" s="21"/>
      <c r="NFQ1638" s="21"/>
      <c r="NFR1638" s="21"/>
      <c r="NFS1638" s="21"/>
      <c r="NFT1638" s="21"/>
      <c r="NFU1638" s="21"/>
      <c r="NFV1638" s="21"/>
      <c r="NFW1638" s="21"/>
      <c r="NFX1638" s="21"/>
      <c r="NFY1638" s="21"/>
      <c r="NFZ1638" s="21"/>
      <c r="NGA1638" s="21"/>
      <c r="NGB1638" s="21"/>
      <c r="NGC1638" s="21"/>
      <c r="NGD1638" s="21"/>
      <c r="NGE1638" s="21"/>
      <c r="NGF1638" s="21"/>
      <c r="NGG1638" s="21"/>
      <c r="NGH1638" s="21"/>
      <c r="NGI1638" s="21"/>
      <c r="NGJ1638" s="21"/>
      <c r="NGK1638" s="21"/>
      <c r="NGL1638" s="21"/>
      <c r="NGM1638" s="21"/>
      <c r="NGN1638" s="21"/>
      <c r="NGO1638" s="21"/>
      <c r="NGP1638" s="21"/>
      <c r="NGQ1638" s="21"/>
      <c r="NGR1638" s="21"/>
      <c r="NGS1638" s="21"/>
      <c r="NGT1638" s="21"/>
      <c r="NGU1638" s="21"/>
      <c r="NGV1638" s="21"/>
      <c r="NGW1638" s="21"/>
      <c r="NGX1638" s="21"/>
      <c r="NGY1638" s="21"/>
      <c r="NGZ1638" s="21"/>
      <c r="NHA1638" s="21"/>
      <c r="NHB1638" s="21"/>
      <c r="NHC1638" s="21"/>
      <c r="NHD1638" s="21"/>
      <c r="NHE1638" s="21"/>
      <c r="NHF1638" s="21"/>
      <c r="NHG1638" s="21"/>
      <c r="NHH1638" s="21"/>
      <c r="NHI1638" s="21"/>
      <c r="NHJ1638" s="21"/>
      <c r="NHK1638" s="21"/>
      <c r="NHL1638" s="21"/>
      <c r="NHM1638" s="21"/>
      <c r="NHN1638" s="21"/>
      <c r="NHO1638" s="21"/>
      <c r="NHP1638" s="21"/>
      <c r="NHQ1638" s="21"/>
      <c r="NHR1638" s="21"/>
      <c r="NHS1638" s="21"/>
      <c r="NHT1638" s="21"/>
      <c r="NHU1638" s="21"/>
      <c r="NHV1638" s="21"/>
      <c r="NHW1638" s="21"/>
      <c r="NHX1638" s="21"/>
      <c r="NHY1638" s="21"/>
      <c r="NHZ1638" s="21"/>
      <c r="NIA1638" s="21"/>
      <c r="NIB1638" s="21"/>
      <c r="NIC1638" s="21"/>
      <c r="NID1638" s="21"/>
      <c r="NIE1638" s="21"/>
      <c r="NIF1638" s="21"/>
      <c r="NIG1638" s="21"/>
      <c r="NIH1638" s="21"/>
      <c r="NII1638" s="21"/>
      <c r="NIJ1638" s="21"/>
      <c r="NIK1638" s="21"/>
      <c r="NIL1638" s="21"/>
      <c r="NIM1638" s="21"/>
      <c r="NIN1638" s="21"/>
      <c r="NIO1638" s="21"/>
      <c r="NIP1638" s="21"/>
      <c r="NIQ1638" s="21"/>
      <c r="NIR1638" s="21"/>
      <c r="NIS1638" s="21"/>
      <c r="NIT1638" s="21"/>
      <c r="NIU1638" s="21"/>
      <c r="NIV1638" s="21"/>
      <c r="NIW1638" s="21"/>
      <c r="NIX1638" s="21"/>
      <c r="NIY1638" s="21"/>
      <c r="NIZ1638" s="21"/>
      <c r="NJA1638" s="21"/>
      <c r="NJB1638" s="21"/>
      <c r="NJC1638" s="21"/>
      <c r="NJD1638" s="21"/>
      <c r="NJE1638" s="21"/>
      <c r="NJF1638" s="21"/>
      <c r="NJG1638" s="21"/>
      <c r="NJH1638" s="21"/>
      <c r="NJI1638" s="21"/>
      <c r="NJJ1638" s="21"/>
      <c r="NJK1638" s="21"/>
      <c r="NJL1638" s="21"/>
      <c r="NJM1638" s="21"/>
      <c r="NJN1638" s="21"/>
      <c r="NJO1638" s="21"/>
      <c r="NJP1638" s="21"/>
      <c r="NJQ1638" s="21"/>
      <c r="NJR1638" s="21"/>
      <c r="NJS1638" s="21"/>
      <c r="NJT1638" s="21"/>
      <c r="NJU1638" s="21"/>
      <c r="NJV1638" s="21"/>
      <c r="NJW1638" s="21"/>
      <c r="NJX1638" s="21"/>
      <c r="NJY1638" s="21"/>
      <c r="NJZ1638" s="21"/>
      <c r="NKA1638" s="21"/>
      <c r="NKB1638" s="21"/>
      <c r="NKC1638" s="21"/>
      <c r="NKD1638" s="21"/>
      <c r="NKE1638" s="21"/>
      <c r="NKF1638" s="21"/>
      <c r="NKG1638" s="21"/>
      <c r="NKH1638" s="21"/>
      <c r="NKI1638" s="21"/>
      <c r="NKJ1638" s="21"/>
      <c r="NKK1638" s="21"/>
      <c r="NKL1638" s="21"/>
      <c r="NKM1638" s="21"/>
      <c r="NKN1638" s="21"/>
      <c r="NKO1638" s="21"/>
      <c r="NKP1638" s="21"/>
      <c r="NKQ1638" s="21"/>
      <c r="NKR1638" s="21"/>
      <c r="NKS1638" s="21"/>
      <c r="NKT1638" s="21"/>
      <c r="NKU1638" s="21"/>
      <c r="NKV1638" s="21"/>
      <c r="NKW1638" s="21"/>
      <c r="NKX1638" s="21"/>
      <c r="NKY1638" s="21"/>
      <c r="NKZ1638" s="21"/>
      <c r="NLA1638" s="21"/>
      <c r="NLB1638" s="21"/>
      <c r="NLC1638" s="21"/>
      <c r="NLD1638" s="21"/>
      <c r="NLE1638" s="21"/>
      <c r="NLF1638" s="21"/>
      <c r="NLG1638" s="21"/>
      <c r="NLH1638" s="21"/>
      <c r="NLI1638" s="21"/>
      <c r="NLJ1638" s="21"/>
      <c r="NLK1638" s="21"/>
      <c r="NLL1638" s="21"/>
      <c r="NLM1638" s="21"/>
      <c r="NLN1638" s="21"/>
      <c r="NLO1638" s="21"/>
      <c r="NLP1638" s="21"/>
      <c r="NLQ1638" s="21"/>
      <c r="NLR1638" s="21"/>
      <c r="NLS1638" s="21"/>
      <c r="NLT1638" s="21"/>
      <c r="NLU1638" s="21"/>
      <c r="NLV1638" s="21"/>
      <c r="NLW1638" s="21"/>
      <c r="NLX1638" s="21"/>
      <c r="NLY1638" s="21"/>
      <c r="NLZ1638" s="21"/>
      <c r="NMA1638" s="21"/>
      <c r="NMB1638" s="21"/>
      <c r="NMC1638" s="21"/>
      <c r="NMD1638" s="21"/>
      <c r="NME1638" s="21"/>
      <c r="NMF1638" s="21"/>
      <c r="NMG1638" s="21"/>
      <c r="NMH1638" s="21"/>
      <c r="NMI1638" s="21"/>
      <c r="NMJ1638" s="21"/>
      <c r="NMK1638" s="21"/>
      <c r="NML1638" s="21"/>
      <c r="NMM1638" s="21"/>
      <c r="NMN1638" s="21"/>
      <c r="NMO1638" s="21"/>
      <c r="NMP1638" s="21"/>
      <c r="NMQ1638" s="21"/>
      <c r="NMR1638" s="21"/>
      <c r="NMS1638" s="21"/>
      <c r="NMT1638" s="21"/>
      <c r="NMU1638" s="21"/>
      <c r="NMV1638" s="21"/>
      <c r="NMW1638" s="21"/>
      <c r="NMX1638" s="21"/>
      <c r="NMY1638" s="21"/>
      <c r="NMZ1638" s="21"/>
      <c r="NNA1638" s="21"/>
      <c r="NNB1638" s="21"/>
      <c r="NNC1638" s="21"/>
      <c r="NND1638" s="21"/>
      <c r="NNE1638" s="21"/>
      <c r="NNF1638" s="21"/>
      <c r="NNG1638" s="21"/>
      <c r="NNH1638" s="21"/>
      <c r="NNI1638" s="21"/>
      <c r="NNJ1638" s="21"/>
      <c r="NNK1638" s="21"/>
      <c r="NNL1638" s="21"/>
      <c r="NNM1638" s="21"/>
      <c r="NNN1638" s="21"/>
      <c r="NNO1638" s="21"/>
      <c r="NNP1638" s="21"/>
      <c r="NNQ1638" s="21"/>
      <c r="NNR1638" s="21"/>
      <c r="NNS1638" s="21"/>
      <c r="NNT1638" s="21"/>
      <c r="NNU1638" s="21"/>
      <c r="NNV1638" s="21"/>
      <c r="NNW1638" s="21"/>
      <c r="NNX1638" s="21"/>
      <c r="NNY1638" s="21"/>
      <c r="NNZ1638" s="21"/>
      <c r="NOA1638" s="21"/>
      <c r="NOB1638" s="21"/>
      <c r="NOC1638" s="21"/>
      <c r="NOD1638" s="21"/>
      <c r="NOE1638" s="21"/>
      <c r="NOF1638" s="21"/>
      <c r="NOG1638" s="21"/>
      <c r="NOH1638" s="21"/>
      <c r="NOI1638" s="21"/>
      <c r="NOJ1638" s="21"/>
      <c r="NOK1638" s="21"/>
      <c r="NOL1638" s="21"/>
      <c r="NOM1638" s="21"/>
      <c r="NON1638" s="21"/>
      <c r="NOO1638" s="21"/>
      <c r="NOP1638" s="21"/>
      <c r="NOQ1638" s="21"/>
      <c r="NOR1638" s="21"/>
      <c r="NOS1638" s="21"/>
      <c r="NOT1638" s="21"/>
      <c r="NOU1638" s="21"/>
      <c r="NOV1638" s="21"/>
      <c r="NOW1638" s="21"/>
      <c r="NOX1638" s="21"/>
      <c r="NOY1638" s="21"/>
      <c r="NOZ1638" s="21"/>
      <c r="NPA1638" s="21"/>
      <c r="NPB1638" s="21"/>
      <c r="NPC1638" s="21"/>
      <c r="NPD1638" s="21"/>
      <c r="NPE1638" s="21"/>
      <c r="NPF1638" s="21"/>
      <c r="NPG1638" s="21"/>
      <c r="NPH1638" s="21"/>
      <c r="NPI1638" s="21"/>
      <c r="NPJ1638" s="21"/>
      <c r="NPK1638" s="21"/>
      <c r="NPL1638" s="21"/>
      <c r="NPM1638" s="21"/>
      <c r="NPN1638" s="21"/>
      <c r="NPO1638" s="21"/>
      <c r="NPP1638" s="21"/>
      <c r="NPQ1638" s="21"/>
      <c r="NPR1638" s="21"/>
      <c r="NPS1638" s="21"/>
      <c r="NPT1638" s="21"/>
      <c r="NPU1638" s="21"/>
      <c r="NPV1638" s="21"/>
      <c r="NPW1638" s="21"/>
      <c r="NPX1638" s="21"/>
      <c r="NPY1638" s="21"/>
      <c r="NPZ1638" s="21"/>
      <c r="NQA1638" s="21"/>
      <c r="NQB1638" s="21"/>
      <c r="NQC1638" s="21"/>
      <c r="NQD1638" s="21"/>
      <c r="NQE1638" s="21"/>
      <c r="NQF1638" s="21"/>
      <c r="NQG1638" s="21"/>
      <c r="NQH1638" s="21"/>
      <c r="NQI1638" s="21"/>
      <c r="NQJ1638" s="21"/>
      <c r="NQK1638" s="21"/>
      <c r="NQL1638" s="21"/>
      <c r="NQM1638" s="21"/>
      <c r="NQN1638" s="21"/>
      <c r="NQO1638" s="21"/>
      <c r="NQP1638" s="21"/>
      <c r="NQQ1638" s="21"/>
      <c r="NQR1638" s="21"/>
      <c r="NQS1638" s="21"/>
      <c r="NQT1638" s="21"/>
      <c r="NQU1638" s="21"/>
      <c r="NQV1638" s="21"/>
      <c r="NQW1638" s="21"/>
      <c r="NQX1638" s="21"/>
      <c r="NQY1638" s="21"/>
      <c r="NQZ1638" s="21"/>
      <c r="NRA1638" s="21"/>
      <c r="NRB1638" s="21"/>
      <c r="NRC1638" s="21"/>
      <c r="NRD1638" s="21"/>
      <c r="NRE1638" s="21"/>
      <c r="NRF1638" s="21"/>
      <c r="NRG1638" s="21"/>
      <c r="NRH1638" s="21"/>
      <c r="NRI1638" s="21"/>
      <c r="NRJ1638" s="21"/>
      <c r="NRK1638" s="21"/>
      <c r="NRL1638" s="21"/>
      <c r="NRM1638" s="21"/>
      <c r="NRN1638" s="21"/>
      <c r="NRO1638" s="21"/>
      <c r="NRP1638" s="21"/>
      <c r="NRQ1638" s="21"/>
      <c r="NRR1638" s="21"/>
      <c r="NRS1638" s="21"/>
      <c r="NRT1638" s="21"/>
      <c r="NRU1638" s="21"/>
      <c r="NRV1638" s="21"/>
      <c r="NRW1638" s="21"/>
      <c r="NRX1638" s="21"/>
      <c r="NRY1638" s="21"/>
      <c r="NRZ1638" s="21"/>
      <c r="NSA1638" s="21"/>
      <c r="NSB1638" s="21"/>
      <c r="NSC1638" s="21"/>
      <c r="NSD1638" s="21"/>
      <c r="NSE1638" s="21"/>
      <c r="NSF1638" s="21"/>
      <c r="NSG1638" s="21"/>
      <c r="NSH1638" s="21"/>
      <c r="NSI1638" s="21"/>
      <c r="NSJ1638" s="21"/>
      <c r="NSK1638" s="21"/>
      <c r="NSL1638" s="21"/>
      <c r="NSM1638" s="21"/>
      <c r="NSN1638" s="21"/>
      <c r="NSO1638" s="21"/>
      <c r="NSP1638" s="21"/>
      <c r="NSQ1638" s="21"/>
      <c r="NSR1638" s="21"/>
      <c r="NSS1638" s="21"/>
      <c r="NST1638" s="21"/>
      <c r="NSU1638" s="21"/>
      <c r="NSV1638" s="21"/>
      <c r="NSW1638" s="21"/>
      <c r="NSX1638" s="21"/>
      <c r="NSY1638" s="21"/>
      <c r="NSZ1638" s="21"/>
      <c r="NTA1638" s="21"/>
      <c r="NTB1638" s="21"/>
      <c r="NTC1638" s="21"/>
      <c r="NTD1638" s="21"/>
      <c r="NTE1638" s="21"/>
      <c r="NTF1638" s="21"/>
      <c r="NTG1638" s="21"/>
      <c r="NTH1638" s="21"/>
      <c r="NTI1638" s="21"/>
      <c r="NTJ1638" s="21"/>
      <c r="NTK1638" s="21"/>
      <c r="NTL1638" s="21"/>
      <c r="NTM1638" s="21"/>
      <c r="NTN1638" s="21"/>
      <c r="NTO1638" s="21"/>
      <c r="NTP1638" s="21"/>
      <c r="NTQ1638" s="21"/>
      <c r="NTR1638" s="21"/>
      <c r="NTS1638" s="21"/>
      <c r="NTT1638" s="21"/>
      <c r="NTU1638" s="21"/>
      <c r="NTV1638" s="21"/>
      <c r="NTW1638" s="21"/>
      <c r="NTX1638" s="21"/>
      <c r="NTY1638" s="21"/>
      <c r="NTZ1638" s="21"/>
      <c r="NUA1638" s="21"/>
      <c r="NUB1638" s="21"/>
      <c r="NUC1638" s="21"/>
      <c r="NUD1638" s="21"/>
      <c r="NUE1638" s="21"/>
      <c r="NUF1638" s="21"/>
      <c r="NUG1638" s="21"/>
      <c r="NUH1638" s="21"/>
      <c r="NUI1638" s="21"/>
      <c r="NUJ1638" s="21"/>
      <c r="NUK1638" s="21"/>
      <c r="NUL1638" s="21"/>
      <c r="NUM1638" s="21"/>
      <c r="NUN1638" s="21"/>
      <c r="NUO1638" s="21"/>
      <c r="NUP1638" s="21"/>
      <c r="NUQ1638" s="21"/>
      <c r="NUR1638" s="21"/>
      <c r="NUS1638" s="21"/>
      <c r="NUT1638" s="21"/>
      <c r="NUU1638" s="21"/>
      <c r="NUV1638" s="21"/>
      <c r="NUW1638" s="21"/>
      <c r="NUX1638" s="21"/>
      <c r="NUY1638" s="21"/>
      <c r="NUZ1638" s="21"/>
      <c r="NVA1638" s="21"/>
      <c r="NVB1638" s="21"/>
      <c r="NVC1638" s="21"/>
      <c r="NVD1638" s="21"/>
      <c r="NVE1638" s="21"/>
      <c r="NVF1638" s="21"/>
      <c r="NVG1638" s="21"/>
      <c r="NVH1638" s="21"/>
      <c r="NVI1638" s="21"/>
      <c r="NVJ1638" s="21"/>
      <c r="NVK1638" s="21"/>
      <c r="NVL1638" s="21"/>
      <c r="NVM1638" s="21"/>
      <c r="NVN1638" s="21"/>
      <c r="NVO1638" s="21"/>
      <c r="NVP1638" s="21"/>
      <c r="NVQ1638" s="21"/>
      <c r="NVR1638" s="21"/>
      <c r="NVS1638" s="21"/>
      <c r="NVT1638" s="21"/>
      <c r="NVU1638" s="21"/>
      <c r="NVV1638" s="21"/>
      <c r="NVW1638" s="21"/>
      <c r="NVX1638" s="21"/>
      <c r="NVY1638" s="21"/>
      <c r="NVZ1638" s="21"/>
      <c r="NWA1638" s="21"/>
      <c r="NWB1638" s="21"/>
      <c r="NWC1638" s="21"/>
      <c r="NWD1638" s="21"/>
      <c r="NWE1638" s="21"/>
      <c r="NWF1638" s="21"/>
      <c r="NWG1638" s="21"/>
      <c r="NWH1638" s="21"/>
      <c r="NWI1638" s="21"/>
      <c r="NWJ1638" s="21"/>
      <c r="NWK1638" s="21"/>
      <c r="NWL1638" s="21"/>
      <c r="NWM1638" s="21"/>
      <c r="NWN1638" s="21"/>
      <c r="NWO1638" s="21"/>
      <c r="NWP1638" s="21"/>
      <c r="NWQ1638" s="21"/>
      <c r="NWR1638" s="21"/>
      <c r="NWS1638" s="21"/>
      <c r="NWT1638" s="21"/>
      <c r="NWU1638" s="21"/>
      <c r="NWV1638" s="21"/>
      <c r="NWW1638" s="21"/>
      <c r="NWX1638" s="21"/>
      <c r="NWY1638" s="21"/>
      <c r="NWZ1638" s="21"/>
      <c r="NXA1638" s="21"/>
      <c r="NXB1638" s="21"/>
      <c r="NXC1638" s="21"/>
      <c r="NXD1638" s="21"/>
      <c r="NXE1638" s="21"/>
      <c r="NXF1638" s="21"/>
      <c r="NXG1638" s="21"/>
      <c r="NXH1638" s="21"/>
      <c r="NXI1638" s="21"/>
      <c r="NXJ1638" s="21"/>
      <c r="NXK1638" s="21"/>
      <c r="NXL1638" s="21"/>
      <c r="NXM1638" s="21"/>
      <c r="NXN1638" s="21"/>
      <c r="NXO1638" s="21"/>
      <c r="NXP1638" s="21"/>
      <c r="NXQ1638" s="21"/>
      <c r="NXR1638" s="21"/>
      <c r="NXS1638" s="21"/>
      <c r="NXT1638" s="21"/>
      <c r="NXU1638" s="21"/>
      <c r="NXV1638" s="21"/>
      <c r="NXW1638" s="21"/>
      <c r="NXX1638" s="21"/>
      <c r="NXY1638" s="21"/>
      <c r="NXZ1638" s="21"/>
      <c r="NYA1638" s="21"/>
      <c r="NYB1638" s="21"/>
      <c r="NYC1638" s="21"/>
      <c r="NYD1638" s="21"/>
      <c r="NYE1638" s="21"/>
      <c r="NYF1638" s="21"/>
      <c r="NYG1638" s="21"/>
      <c r="NYH1638" s="21"/>
      <c r="NYI1638" s="21"/>
      <c r="NYJ1638" s="21"/>
      <c r="NYK1638" s="21"/>
      <c r="NYL1638" s="21"/>
      <c r="NYM1638" s="21"/>
      <c r="NYN1638" s="21"/>
      <c r="NYO1638" s="21"/>
      <c r="NYP1638" s="21"/>
      <c r="NYQ1638" s="21"/>
      <c r="NYR1638" s="21"/>
      <c r="NYS1638" s="21"/>
      <c r="NYT1638" s="21"/>
      <c r="NYU1638" s="21"/>
      <c r="NYV1638" s="21"/>
      <c r="NYW1638" s="21"/>
      <c r="NYX1638" s="21"/>
      <c r="NYY1638" s="21"/>
      <c r="NYZ1638" s="21"/>
      <c r="NZA1638" s="21"/>
      <c r="NZB1638" s="21"/>
      <c r="NZC1638" s="21"/>
      <c r="NZD1638" s="21"/>
      <c r="NZE1638" s="21"/>
      <c r="NZF1638" s="21"/>
      <c r="NZG1638" s="21"/>
      <c r="NZH1638" s="21"/>
      <c r="NZI1638" s="21"/>
      <c r="NZJ1638" s="21"/>
      <c r="NZK1638" s="21"/>
      <c r="NZL1638" s="21"/>
      <c r="NZM1638" s="21"/>
      <c r="NZN1638" s="21"/>
      <c r="NZO1638" s="21"/>
      <c r="NZP1638" s="21"/>
      <c r="NZQ1638" s="21"/>
      <c r="NZR1638" s="21"/>
      <c r="NZS1638" s="21"/>
      <c r="NZT1638" s="21"/>
      <c r="NZU1638" s="21"/>
      <c r="NZV1638" s="21"/>
      <c r="NZW1638" s="21"/>
      <c r="NZX1638" s="21"/>
      <c r="NZY1638" s="21"/>
      <c r="NZZ1638" s="21"/>
      <c r="OAA1638" s="21"/>
      <c r="OAB1638" s="21"/>
      <c r="OAC1638" s="21"/>
      <c r="OAD1638" s="21"/>
      <c r="OAE1638" s="21"/>
      <c r="OAF1638" s="21"/>
      <c r="OAG1638" s="21"/>
      <c r="OAH1638" s="21"/>
      <c r="OAI1638" s="21"/>
      <c r="OAJ1638" s="21"/>
      <c r="OAK1638" s="21"/>
      <c r="OAL1638" s="21"/>
      <c r="OAM1638" s="21"/>
      <c r="OAN1638" s="21"/>
      <c r="OAO1638" s="21"/>
      <c r="OAP1638" s="21"/>
      <c r="OAQ1638" s="21"/>
      <c r="OAR1638" s="21"/>
      <c r="OAS1638" s="21"/>
      <c r="OAT1638" s="21"/>
      <c r="OAU1638" s="21"/>
      <c r="OAV1638" s="21"/>
      <c r="OAW1638" s="21"/>
      <c r="OAX1638" s="21"/>
      <c r="OAY1638" s="21"/>
      <c r="OAZ1638" s="21"/>
      <c r="OBA1638" s="21"/>
      <c r="OBB1638" s="21"/>
      <c r="OBC1638" s="21"/>
      <c r="OBD1638" s="21"/>
      <c r="OBE1638" s="21"/>
      <c r="OBF1638" s="21"/>
      <c r="OBG1638" s="21"/>
      <c r="OBH1638" s="21"/>
      <c r="OBI1638" s="21"/>
      <c r="OBJ1638" s="21"/>
      <c r="OBK1638" s="21"/>
      <c r="OBL1638" s="21"/>
      <c r="OBM1638" s="21"/>
      <c r="OBN1638" s="21"/>
      <c r="OBO1638" s="21"/>
      <c r="OBP1638" s="21"/>
      <c r="OBQ1638" s="21"/>
      <c r="OBR1638" s="21"/>
      <c r="OBS1638" s="21"/>
      <c r="OBT1638" s="21"/>
      <c r="OBU1638" s="21"/>
      <c r="OBV1638" s="21"/>
      <c r="OBW1638" s="21"/>
      <c r="OBX1638" s="21"/>
      <c r="OBY1638" s="21"/>
      <c r="OBZ1638" s="21"/>
      <c r="OCA1638" s="21"/>
      <c r="OCB1638" s="21"/>
      <c r="OCC1638" s="21"/>
      <c r="OCD1638" s="21"/>
      <c r="OCE1638" s="21"/>
      <c r="OCF1638" s="21"/>
      <c r="OCG1638" s="21"/>
      <c r="OCH1638" s="21"/>
      <c r="OCI1638" s="21"/>
      <c r="OCJ1638" s="21"/>
      <c r="OCK1638" s="21"/>
      <c r="OCL1638" s="21"/>
      <c r="OCM1638" s="21"/>
      <c r="OCN1638" s="21"/>
      <c r="OCO1638" s="21"/>
      <c r="OCP1638" s="21"/>
      <c r="OCQ1638" s="21"/>
      <c r="OCR1638" s="21"/>
      <c r="OCS1638" s="21"/>
      <c r="OCT1638" s="21"/>
      <c r="OCU1638" s="21"/>
      <c r="OCV1638" s="21"/>
      <c r="OCW1638" s="21"/>
      <c r="OCX1638" s="21"/>
      <c r="OCY1638" s="21"/>
      <c r="OCZ1638" s="21"/>
      <c r="ODA1638" s="21"/>
      <c r="ODB1638" s="21"/>
      <c r="ODC1638" s="21"/>
      <c r="ODD1638" s="21"/>
      <c r="ODE1638" s="21"/>
      <c r="ODF1638" s="21"/>
      <c r="ODG1638" s="21"/>
      <c r="ODH1638" s="21"/>
      <c r="ODI1638" s="21"/>
      <c r="ODJ1638" s="21"/>
      <c r="ODK1638" s="21"/>
      <c r="ODL1638" s="21"/>
      <c r="ODM1638" s="21"/>
      <c r="ODN1638" s="21"/>
      <c r="ODO1638" s="21"/>
      <c r="ODP1638" s="21"/>
      <c r="ODQ1638" s="21"/>
      <c r="ODR1638" s="21"/>
      <c r="ODS1638" s="21"/>
      <c r="ODT1638" s="21"/>
      <c r="ODU1638" s="21"/>
      <c r="ODV1638" s="21"/>
      <c r="ODW1638" s="21"/>
      <c r="ODX1638" s="21"/>
      <c r="ODY1638" s="21"/>
      <c r="ODZ1638" s="21"/>
      <c r="OEA1638" s="21"/>
      <c r="OEB1638" s="21"/>
      <c r="OEC1638" s="21"/>
      <c r="OED1638" s="21"/>
      <c r="OEE1638" s="21"/>
      <c r="OEF1638" s="21"/>
      <c r="OEG1638" s="21"/>
      <c r="OEH1638" s="21"/>
      <c r="OEI1638" s="21"/>
      <c r="OEJ1638" s="21"/>
      <c r="OEK1638" s="21"/>
      <c r="OEL1638" s="21"/>
      <c r="OEM1638" s="21"/>
      <c r="OEN1638" s="21"/>
      <c r="OEO1638" s="21"/>
      <c r="OEP1638" s="21"/>
      <c r="OEQ1638" s="21"/>
      <c r="OER1638" s="21"/>
      <c r="OES1638" s="21"/>
      <c r="OET1638" s="21"/>
      <c r="OEU1638" s="21"/>
      <c r="OEV1638" s="21"/>
      <c r="OEW1638" s="21"/>
      <c r="OEX1638" s="21"/>
      <c r="OEY1638" s="21"/>
      <c r="OEZ1638" s="21"/>
      <c r="OFA1638" s="21"/>
      <c r="OFB1638" s="21"/>
      <c r="OFC1638" s="21"/>
      <c r="OFD1638" s="21"/>
      <c r="OFE1638" s="21"/>
      <c r="OFF1638" s="21"/>
      <c r="OFG1638" s="21"/>
      <c r="OFH1638" s="21"/>
      <c r="OFI1638" s="21"/>
      <c r="OFJ1638" s="21"/>
      <c r="OFK1638" s="21"/>
      <c r="OFL1638" s="21"/>
      <c r="OFM1638" s="21"/>
      <c r="OFN1638" s="21"/>
      <c r="OFO1638" s="21"/>
      <c r="OFP1638" s="21"/>
      <c r="OFQ1638" s="21"/>
      <c r="OFR1638" s="21"/>
      <c r="OFS1638" s="21"/>
      <c r="OFT1638" s="21"/>
      <c r="OFU1638" s="21"/>
      <c r="OFV1638" s="21"/>
      <c r="OFW1638" s="21"/>
      <c r="OFX1638" s="21"/>
      <c r="OFY1638" s="21"/>
      <c r="OFZ1638" s="21"/>
      <c r="OGA1638" s="21"/>
      <c r="OGB1638" s="21"/>
      <c r="OGC1638" s="21"/>
      <c r="OGD1638" s="21"/>
      <c r="OGE1638" s="21"/>
      <c r="OGF1638" s="21"/>
      <c r="OGG1638" s="21"/>
      <c r="OGH1638" s="21"/>
      <c r="OGI1638" s="21"/>
      <c r="OGJ1638" s="21"/>
      <c r="OGK1638" s="21"/>
      <c r="OGL1638" s="21"/>
      <c r="OGM1638" s="21"/>
      <c r="OGN1638" s="21"/>
      <c r="OGO1638" s="21"/>
      <c r="OGP1638" s="21"/>
      <c r="OGQ1638" s="21"/>
      <c r="OGR1638" s="21"/>
      <c r="OGS1638" s="21"/>
      <c r="OGT1638" s="21"/>
      <c r="OGU1638" s="21"/>
      <c r="OGV1638" s="21"/>
      <c r="OGW1638" s="21"/>
      <c r="OGX1638" s="21"/>
      <c r="OGY1638" s="21"/>
      <c r="OGZ1638" s="21"/>
      <c r="OHA1638" s="21"/>
      <c r="OHB1638" s="21"/>
      <c r="OHC1638" s="21"/>
      <c r="OHD1638" s="21"/>
      <c r="OHE1638" s="21"/>
      <c r="OHF1638" s="21"/>
      <c r="OHG1638" s="21"/>
      <c r="OHH1638" s="21"/>
      <c r="OHI1638" s="21"/>
      <c r="OHJ1638" s="21"/>
      <c r="OHK1638" s="21"/>
      <c r="OHL1638" s="21"/>
      <c r="OHM1638" s="21"/>
      <c r="OHN1638" s="21"/>
      <c r="OHO1638" s="21"/>
      <c r="OHP1638" s="21"/>
      <c r="OHQ1638" s="21"/>
      <c r="OHR1638" s="21"/>
      <c r="OHS1638" s="21"/>
      <c r="OHT1638" s="21"/>
      <c r="OHU1638" s="21"/>
      <c r="OHV1638" s="21"/>
      <c r="OHW1638" s="21"/>
      <c r="OHX1638" s="21"/>
      <c r="OHY1638" s="21"/>
      <c r="OHZ1638" s="21"/>
      <c r="OIA1638" s="21"/>
      <c r="OIB1638" s="21"/>
      <c r="OIC1638" s="21"/>
      <c r="OID1638" s="21"/>
      <c r="OIE1638" s="21"/>
      <c r="OIF1638" s="21"/>
      <c r="OIG1638" s="21"/>
      <c r="OIH1638" s="21"/>
      <c r="OII1638" s="21"/>
      <c r="OIJ1638" s="21"/>
      <c r="OIK1638" s="21"/>
      <c r="OIL1638" s="21"/>
      <c r="OIM1638" s="21"/>
      <c r="OIN1638" s="21"/>
      <c r="OIO1638" s="21"/>
      <c r="OIP1638" s="21"/>
      <c r="OIQ1638" s="21"/>
      <c r="OIR1638" s="21"/>
      <c r="OIS1638" s="21"/>
      <c r="OIT1638" s="21"/>
      <c r="OIU1638" s="21"/>
      <c r="OIV1638" s="21"/>
      <c r="OIW1638" s="21"/>
      <c r="OIX1638" s="21"/>
      <c r="OIY1638" s="21"/>
      <c r="OIZ1638" s="21"/>
      <c r="OJA1638" s="21"/>
      <c r="OJB1638" s="21"/>
      <c r="OJC1638" s="21"/>
      <c r="OJD1638" s="21"/>
      <c r="OJE1638" s="21"/>
      <c r="OJF1638" s="21"/>
      <c r="OJG1638" s="21"/>
      <c r="OJH1638" s="21"/>
      <c r="OJI1638" s="21"/>
      <c r="OJJ1638" s="21"/>
      <c r="OJK1638" s="21"/>
      <c r="OJL1638" s="21"/>
      <c r="OJM1638" s="21"/>
      <c r="OJN1638" s="21"/>
      <c r="OJO1638" s="21"/>
      <c r="OJP1638" s="21"/>
      <c r="OJQ1638" s="21"/>
      <c r="OJR1638" s="21"/>
      <c r="OJS1638" s="21"/>
      <c r="OJT1638" s="21"/>
      <c r="OJU1638" s="21"/>
      <c r="OJV1638" s="21"/>
      <c r="OJW1638" s="21"/>
      <c r="OJX1638" s="21"/>
      <c r="OJY1638" s="21"/>
      <c r="OJZ1638" s="21"/>
      <c r="OKA1638" s="21"/>
      <c r="OKB1638" s="21"/>
      <c r="OKC1638" s="21"/>
      <c r="OKD1638" s="21"/>
      <c r="OKE1638" s="21"/>
      <c r="OKF1638" s="21"/>
      <c r="OKG1638" s="21"/>
      <c r="OKH1638" s="21"/>
      <c r="OKI1638" s="21"/>
      <c r="OKJ1638" s="21"/>
      <c r="OKK1638" s="21"/>
      <c r="OKL1638" s="21"/>
      <c r="OKM1638" s="21"/>
      <c r="OKN1638" s="21"/>
      <c r="OKO1638" s="21"/>
      <c r="OKP1638" s="21"/>
      <c r="OKQ1638" s="21"/>
      <c r="OKR1638" s="21"/>
      <c r="OKS1638" s="21"/>
      <c r="OKT1638" s="21"/>
      <c r="OKU1638" s="21"/>
      <c r="OKV1638" s="21"/>
      <c r="OKW1638" s="21"/>
      <c r="OKX1638" s="21"/>
      <c r="OKY1638" s="21"/>
      <c r="OKZ1638" s="21"/>
      <c r="OLA1638" s="21"/>
      <c r="OLB1638" s="21"/>
      <c r="OLC1638" s="21"/>
      <c r="OLD1638" s="21"/>
      <c r="OLE1638" s="21"/>
      <c r="OLF1638" s="21"/>
      <c r="OLG1638" s="21"/>
      <c r="OLH1638" s="21"/>
      <c r="OLI1638" s="21"/>
      <c r="OLJ1638" s="21"/>
      <c r="OLK1638" s="21"/>
      <c r="OLL1638" s="21"/>
      <c r="OLM1638" s="21"/>
      <c r="OLN1638" s="21"/>
      <c r="OLO1638" s="21"/>
      <c r="OLP1638" s="21"/>
      <c r="OLQ1638" s="21"/>
      <c r="OLR1638" s="21"/>
      <c r="OLS1638" s="21"/>
      <c r="OLT1638" s="21"/>
      <c r="OLU1638" s="21"/>
      <c r="OLV1638" s="21"/>
      <c r="OLW1638" s="21"/>
      <c r="OLX1638" s="21"/>
      <c r="OLY1638" s="21"/>
      <c r="OLZ1638" s="21"/>
      <c r="OMA1638" s="21"/>
      <c r="OMB1638" s="21"/>
      <c r="OMC1638" s="21"/>
      <c r="OMD1638" s="21"/>
      <c r="OME1638" s="21"/>
      <c r="OMF1638" s="21"/>
      <c r="OMG1638" s="21"/>
      <c r="OMH1638" s="21"/>
      <c r="OMI1638" s="21"/>
      <c r="OMJ1638" s="21"/>
      <c r="OMK1638" s="21"/>
      <c r="OML1638" s="21"/>
      <c r="OMM1638" s="21"/>
      <c r="OMN1638" s="21"/>
      <c r="OMO1638" s="21"/>
      <c r="OMP1638" s="21"/>
      <c r="OMQ1638" s="21"/>
      <c r="OMR1638" s="21"/>
      <c r="OMS1638" s="21"/>
      <c r="OMT1638" s="21"/>
      <c r="OMU1638" s="21"/>
      <c r="OMV1638" s="21"/>
      <c r="OMW1638" s="21"/>
      <c r="OMX1638" s="21"/>
      <c r="OMY1638" s="21"/>
      <c r="OMZ1638" s="21"/>
      <c r="ONA1638" s="21"/>
      <c r="ONB1638" s="21"/>
      <c r="ONC1638" s="21"/>
      <c r="OND1638" s="21"/>
      <c r="ONE1638" s="21"/>
      <c r="ONF1638" s="21"/>
      <c r="ONG1638" s="21"/>
      <c r="ONH1638" s="21"/>
      <c r="ONI1638" s="21"/>
      <c r="ONJ1638" s="21"/>
      <c r="ONK1638" s="21"/>
      <c r="ONL1638" s="21"/>
      <c r="ONM1638" s="21"/>
      <c r="ONN1638" s="21"/>
      <c r="ONO1638" s="21"/>
      <c r="ONP1638" s="21"/>
      <c r="ONQ1638" s="21"/>
      <c r="ONR1638" s="21"/>
      <c r="ONS1638" s="21"/>
      <c r="ONT1638" s="21"/>
      <c r="ONU1638" s="21"/>
      <c r="ONV1638" s="21"/>
      <c r="ONW1638" s="21"/>
      <c r="ONX1638" s="21"/>
      <c r="ONY1638" s="21"/>
      <c r="ONZ1638" s="21"/>
      <c r="OOA1638" s="21"/>
      <c r="OOB1638" s="21"/>
      <c r="OOC1638" s="21"/>
      <c r="OOD1638" s="21"/>
      <c r="OOE1638" s="21"/>
      <c r="OOF1638" s="21"/>
      <c r="OOG1638" s="21"/>
      <c r="OOH1638" s="21"/>
      <c r="OOI1638" s="21"/>
      <c r="OOJ1638" s="21"/>
      <c r="OOK1638" s="21"/>
      <c r="OOL1638" s="21"/>
      <c r="OOM1638" s="21"/>
      <c r="OON1638" s="21"/>
      <c r="OOO1638" s="21"/>
      <c r="OOP1638" s="21"/>
      <c r="OOQ1638" s="21"/>
      <c r="OOR1638" s="21"/>
      <c r="OOS1638" s="21"/>
      <c r="OOT1638" s="21"/>
      <c r="OOU1638" s="21"/>
      <c r="OOV1638" s="21"/>
      <c r="OOW1638" s="21"/>
      <c r="OOX1638" s="21"/>
      <c r="OOY1638" s="21"/>
      <c r="OOZ1638" s="21"/>
      <c r="OPA1638" s="21"/>
      <c r="OPB1638" s="21"/>
      <c r="OPC1638" s="21"/>
      <c r="OPD1638" s="21"/>
      <c r="OPE1638" s="21"/>
      <c r="OPF1638" s="21"/>
      <c r="OPG1638" s="21"/>
      <c r="OPH1638" s="21"/>
      <c r="OPI1638" s="21"/>
      <c r="OPJ1638" s="21"/>
      <c r="OPK1638" s="21"/>
      <c r="OPL1638" s="21"/>
      <c r="OPM1638" s="21"/>
      <c r="OPN1638" s="21"/>
      <c r="OPO1638" s="21"/>
      <c r="OPP1638" s="21"/>
      <c r="OPQ1638" s="21"/>
      <c r="OPR1638" s="21"/>
      <c r="OPS1638" s="21"/>
      <c r="OPT1638" s="21"/>
      <c r="OPU1638" s="21"/>
      <c r="OPV1638" s="21"/>
      <c r="OPW1638" s="21"/>
      <c r="OPX1638" s="21"/>
      <c r="OPY1638" s="21"/>
      <c r="OPZ1638" s="21"/>
      <c r="OQA1638" s="21"/>
      <c r="OQB1638" s="21"/>
      <c r="OQC1638" s="21"/>
      <c r="OQD1638" s="21"/>
      <c r="OQE1638" s="21"/>
      <c r="OQF1638" s="21"/>
      <c r="OQG1638" s="21"/>
      <c r="OQH1638" s="21"/>
      <c r="OQI1638" s="21"/>
      <c r="OQJ1638" s="21"/>
      <c r="OQK1638" s="21"/>
      <c r="OQL1638" s="21"/>
      <c r="OQM1638" s="21"/>
      <c r="OQN1638" s="21"/>
      <c r="OQO1638" s="21"/>
      <c r="OQP1638" s="21"/>
      <c r="OQQ1638" s="21"/>
      <c r="OQR1638" s="21"/>
      <c r="OQS1638" s="21"/>
      <c r="OQT1638" s="21"/>
      <c r="OQU1638" s="21"/>
      <c r="OQV1638" s="21"/>
      <c r="OQW1638" s="21"/>
      <c r="OQX1638" s="21"/>
      <c r="OQY1638" s="21"/>
      <c r="OQZ1638" s="21"/>
      <c r="ORA1638" s="21"/>
      <c r="ORB1638" s="21"/>
      <c r="ORC1638" s="21"/>
      <c r="ORD1638" s="21"/>
      <c r="ORE1638" s="21"/>
      <c r="ORF1638" s="21"/>
      <c r="ORG1638" s="21"/>
      <c r="ORH1638" s="21"/>
      <c r="ORI1638" s="21"/>
      <c r="ORJ1638" s="21"/>
      <c r="ORK1638" s="21"/>
      <c r="ORL1638" s="21"/>
      <c r="ORM1638" s="21"/>
      <c r="ORN1638" s="21"/>
      <c r="ORO1638" s="21"/>
      <c r="ORP1638" s="21"/>
      <c r="ORQ1638" s="21"/>
      <c r="ORR1638" s="21"/>
      <c r="ORS1638" s="21"/>
      <c r="ORT1638" s="21"/>
      <c r="ORU1638" s="21"/>
      <c r="ORV1638" s="21"/>
      <c r="ORW1638" s="21"/>
      <c r="ORX1638" s="21"/>
      <c r="ORY1638" s="21"/>
      <c r="ORZ1638" s="21"/>
      <c r="OSA1638" s="21"/>
      <c r="OSB1638" s="21"/>
      <c r="OSC1638" s="21"/>
      <c r="OSD1638" s="21"/>
      <c r="OSE1638" s="21"/>
      <c r="OSF1638" s="21"/>
      <c r="OSG1638" s="21"/>
      <c r="OSH1638" s="21"/>
      <c r="OSI1638" s="21"/>
      <c r="OSJ1638" s="21"/>
      <c r="OSK1638" s="21"/>
      <c r="OSL1638" s="21"/>
      <c r="OSM1638" s="21"/>
      <c r="OSN1638" s="21"/>
      <c r="OSO1638" s="21"/>
      <c r="OSP1638" s="21"/>
      <c r="OSQ1638" s="21"/>
      <c r="OSR1638" s="21"/>
      <c r="OSS1638" s="21"/>
      <c r="OST1638" s="21"/>
      <c r="OSU1638" s="21"/>
      <c r="OSV1638" s="21"/>
      <c r="OSW1638" s="21"/>
      <c r="OSX1638" s="21"/>
      <c r="OSY1638" s="21"/>
      <c r="OSZ1638" s="21"/>
      <c r="OTA1638" s="21"/>
      <c r="OTB1638" s="21"/>
      <c r="OTC1638" s="21"/>
      <c r="OTD1638" s="21"/>
      <c r="OTE1638" s="21"/>
      <c r="OTF1638" s="21"/>
      <c r="OTG1638" s="21"/>
      <c r="OTH1638" s="21"/>
      <c r="OTI1638" s="21"/>
      <c r="OTJ1638" s="21"/>
      <c r="OTK1638" s="21"/>
      <c r="OTL1638" s="21"/>
      <c r="OTM1638" s="21"/>
      <c r="OTN1638" s="21"/>
      <c r="OTO1638" s="21"/>
      <c r="OTP1638" s="21"/>
      <c r="OTQ1638" s="21"/>
      <c r="OTR1638" s="21"/>
      <c r="OTS1638" s="21"/>
      <c r="OTT1638" s="21"/>
      <c r="OTU1638" s="21"/>
      <c r="OTV1638" s="21"/>
      <c r="OTW1638" s="21"/>
      <c r="OTX1638" s="21"/>
      <c r="OTY1638" s="21"/>
      <c r="OTZ1638" s="21"/>
      <c r="OUA1638" s="21"/>
      <c r="OUB1638" s="21"/>
      <c r="OUC1638" s="21"/>
      <c r="OUD1638" s="21"/>
      <c r="OUE1638" s="21"/>
      <c r="OUF1638" s="21"/>
      <c r="OUG1638" s="21"/>
      <c r="OUH1638" s="21"/>
      <c r="OUI1638" s="21"/>
      <c r="OUJ1638" s="21"/>
      <c r="OUK1638" s="21"/>
      <c r="OUL1638" s="21"/>
      <c r="OUM1638" s="21"/>
      <c r="OUN1638" s="21"/>
      <c r="OUO1638" s="21"/>
      <c r="OUP1638" s="21"/>
      <c r="OUQ1638" s="21"/>
      <c r="OUR1638" s="21"/>
      <c r="OUS1638" s="21"/>
      <c r="OUT1638" s="21"/>
      <c r="OUU1638" s="21"/>
      <c r="OUV1638" s="21"/>
      <c r="OUW1638" s="21"/>
      <c r="OUX1638" s="21"/>
      <c r="OUY1638" s="21"/>
      <c r="OUZ1638" s="21"/>
      <c r="OVA1638" s="21"/>
      <c r="OVB1638" s="21"/>
      <c r="OVC1638" s="21"/>
      <c r="OVD1638" s="21"/>
      <c r="OVE1638" s="21"/>
      <c r="OVF1638" s="21"/>
      <c r="OVG1638" s="21"/>
      <c r="OVH1638" s="21"/>
      <c r="OVI1638" s="21"/>
      <c r="OVJ1638" s="21"/>
      <c r="OVK1638" s="21"/>
      <c r="OVL1638" s="21"/>
      <c r="OVM1638" s="21"/>
      <c r="OVN1638" s="21"/>
      <c r="OVO1638" s="21"/>
      <c r="OVP1638" s="21"/>
      <c r="OVQ1638" s="21"/>
      <c r="OVR1638" s="21"/>
      <c r="OVS1638" s="21"/>
      <c r="OVT1638" s="21"/>
      <c r="OVU1638" s="21"/>
      <c r="OVV1638" s="21"/>
      <c r="OVW1638" s="21"/>
      <c r="OVX1638" s="21"/>
      <c r="OVY1638" s="21"/>
      <c r="OVZ1638" s="21"/>
      <c r="OWA1638" s="21"/>
      <c r="OWB1638" s="21"/>
      <c r="OWC1638" s="21"/>
      <c r="OWD1638" s="21"/>
      <c r="OWE1638" s="21"/>
      <c r="OWF1638" s="21"/>
      <c r="OWG1638" s="21"/>
      <c r="OWH1638" s="21"/>
      <c r="OWI1638" s="21"/>
      <c r="OWJ1638" s="21"/>
      <c r="OWK1638" s="21"/>
      <c r="OWL1638" s="21"/>
      <c r="OWM1638" s="21"/>
      <c r="OWN1638" s="21"/>
      <c r="OWO1638" s="21"/>
      <c r="OWP1638" s="21"/>
      <c r="OWQ1638" s="21"/>
      <c r="OWR1638" s="21"/>
      <c r="OWS1638" s="21"/>
      <c r="OWT1638" s="21"/>
      <c r="OWU1638" s="21"/>
      <c r="OWV1638" s="21"/>
      <c r="OWW1638" s="21"/>
      <c r="OWX1638" s="21"/>
      <c r="OWY1638" s="21"/>
      <c r="OWZ1638" s="21"/>
      <c r="OXA1638" s="21"/>
      <c r="OXB1638" s="21"/>
      <c r="OXC1638" s="21"/>
      <c r="OXD1638" s="21"/>
      <c r="OXE1638" s="21"/>
      <c r="OXF1638" s="21"/>
      <c r="OXG1638" s="21"/>
      <c r="OXH1638" s="21"/>
      <c r="OXI1638" s="21"/>
      <c r="OXJ1638" s="21"/>
      <c r="OXK1638" s="21"/>
      <c r="OXL1638" s="21"/>
      <c r="OXM1638" s="21"/>
      <c r="OXN1638" s="21"/>
      <c r="OXO1638" s="21"/>
      <c r="OXP1638" s="21"/>
      <c r="OXQ1638" s="21"/>
      <c r="OXR1638" s="21"/>
      <c r="OXS1638" s="21"/>
      <c r="OXT1638" s="21"/>
      <c r="OXU1638" s="21"/>
      <c r="OXV1638" s="21"/>
      <c r="OXW1638" s="21"/>
      <c r="OXX1638" s="21"/>
      <c r="OXY1638" s="21"/>
      <c r="OXZ1638" s="21"/>
      <c r="OYA1638" s="21"/>
      <c r="OYB1638" s="21"/>
      <c r="OYC1638" s="21"/>
      <c r="OYD1638" s="21"/>
      <c r="OYE1638" s="21"/>
      <c r="OYF1638" s="21"/>
      <c r="OYG1638" s="21"/>
      <c r="OYH1638" s="21"/>
      <c r="OYI1638" s="21"/>
      <c r="OYJ1638" s="21"/>
      <c r="OYK1638" s="21"/>
      <c r="OYL1638" s="21"/>
      <c r="OYM1638" s="21"/>
      <c r="OYN1638" s="21"/>
      <c r="OYO1638" s="21"/>
      <c r="OYP1638" s="21"/>
      <c r="OYQ1638" s="21"/>
      <c r="OYR1638" s="21"/>
      <c r="OYS1638" s="21"/>
      <c r="OYT1638" s="21"/>
      <c r="OYU1638" s="21"/>
      <c r="OYV1638" s="21"/>
      <c r="OYW1638" s="21"/>
      <c r="OYX1638" s="21"/>
      <c r="OYY1638" s="21"/>
      <c r="OYZ1638" s="21"/>
      <c r="OZA1638" s="21"/>
      <c r="OZB1638" s="21"/>
      <c r="OZC1638" s="21"/>
      <c r="OZD1638" s="21"/>
      <c r="OZE1638" s="21"/>
      <c r="OZF1638" s="21"/>
      <c r="OZG1638" s="21"/>
      <c r="OZH1638" s="21"/>
      <c r="OZI1638" s="21"/>
      <c r="OZJ1638" s="21"/>
      <c r="OZK1638" s="21"/>
      <c r="OZL1638" s="21"/>
      <c r="OZM1638" s="21"/>
      <c r="OZN1638" s="21"/>
      <c r="OZO1638" s="21"/>
      <c r="OZP1638" s="21"/>
      <c r="OZQ1638" s="21"/>
      <c r="OZR1638" s="21"/>
      <c r="OZS1638" s="21"/>
      <c r="OZT1638" s="21"/>
      <c r="OZU1638" s="21"/>
      <c r="OZV1638" s="21"/>
      <c r="OZW1638" s="21"/>
      <c r="OZX1638" s="21"/>
      <c r="OZY1638" s="21"/>
      <c r="OZZ1638" s="21"/>
      <c r="PAA1638" s="21"/>
      <c r="PAB1638" s="21"/>
      <c r="PAC1638" s="21"/>
      <c r="PAD1638" s="21"/>
      <c r="PAE1638" s="21"/>
      <c r="PAF1638" s="21"/>
      <c r="PAG1638" s="21"/>
      <c r="PAH1638" s="21"/>
      <c r="PAI1638" s="21"/>
      <c r="PAJ1638" s="21"/>
      <c r="PAK1638" s="21"/>
      <c r="PAL1638" s="21"/>
      <c r="PAM1638" s="21"/>
      <c r="PAN1638" s="21"/>
      <c r="PAO1638" s="21"/>
      <c r="PAP1638" s="21"/>
      <c r="PAQ1638" s="21"/>
      <c r="PAR1638" s="21"/>
      <c r="PAS1638" s="21"/>
      <c r="PAT1638" s="21"/>
      <c r="PAU1638" s="21"/>
      <c r="PAV1638" s="21"/>
      <c r="PAW1638" s="21"/>
      <c r="PAX1638" s="21"/>
      <c r="PAY1638" s="21"/>
      <c r="PAZ1638" s="21"/>
      <c r="PBA1638" s="21"/>
      <c r="PBB1638" s="21"/>
      <c r="PBC1638" s="21"/>
      <c r="PBD1638" s="21"/>
      <c r="PBE1638" s="21"/>
      <c r="PBF1638" s="21"/>
      <c r="PBG1638" s="21"/>
      <c r="PBH1638" s="21"/>
      <c r="PBI1638" s="21"/>
      <c r="PBJ1638" s="21"/>
      <c r="PBK1638" s="21"/>
      <c r="PBL1638" s="21"/>
      <c r="PBM1638" s="21"/>
      <c r="PBN1638" s="21"/>
      <c r="PBO1638" s="21"/>
      <c r="PBP1638" s="21"/>
      <c r="PBQ1638" s="21"/>
      <c r="PBR1638" s="21"/>
      <c r="PBS1638" s="21"/>
      <c r="PBT1638" s="21"/>
      <c r="PBU1638" s="21"/>
      <c r="PBV1638" s="21"/>
      <c r="PBW1638" s="21"/>
      <c r="PBX1638" s="21"/>
      <c r="PBY1638" s="21"/>
      <c r="PBZ1638" s="21"/>
      <c r="PCA1638" s="21"/>
      <c r="PCB1638" s="21"/>
      <c r="PCC1638" s="21"/>
      <c r="PCD1638" s="21"/>
      <c r="PCE1638" s="21"/>
      <c r="PCF1638" s="21"/>
      <c r="PCG1638" s="21"/>
      <c r="PCH1638" s="21"/>
      <c r="PCI1638" s="21"/>
      <c r="PCJ1638" s="21"/>
      <c r="PCK1638" s="21"/>
      <c r="PCL1638" s="21"/>
      <c r="PCM1638" s="21"/>
      <c r="PCN1638" s="21"/>
      <c r="PCO1638" s="21"/>
      <c r="PCP1638" s="21"/>
      <c r="PCQ1638" s="21"/>
      <c r="PCR1638" s="21"/>
      <c r="PCS1638" s="21"/>
      <c r="PCT1638" s="21"/>
      <c r="PCU1638" s="21"/>
      <c r="PCV1638" s="21"/>
      <c r="PCW1638" s="21"/>
      <c r="PCX1638" s="21"/>
      <c r="PCY1638" s="21"/>
      <c r="PCZ1638" s="21"/>
      <c r="PDA1638" s="21"/>
      <c r="PDB1638" s="21"/>
      <c r="PDC1638" s="21"/>
      <c r="PDD1638" s="21"/>
      <c r="PDE1638" s="21"/>
      <c r="PDF1638" s="21"/>
      <c r="PDG1638" s="21"/>
      <c r="PDH1638" s="21"/>
      <c r="PDI1638" s="21"/>
      <c r="PDJ1638" s="21"/>
      <c r="PDK1638" s="21"/>
      <c r="PDL1638" s="21"/>
      <c r="PDM1638" s="21"/>
      <c r="PDN1638" s="21"/>
      <c r="PDO1638" s="21"/>
      <c r="PDP1638" s="21"/>
      <c r="PDQ1638" s="21"/>
      <c r="PDR1638" s="21"/>
      <c r="PDS1638" s="21"/>
      <c r="PDT1638" s="21"/>
      <c r="PDU1638" s="21"/>
      <c r="PDV1638" s="21"/>
      <c r="PDW1638" s="21"/>
      <c r="PDX1638" s="21"/>
      <c r="PDY1638" s="21"/>
      <c r="PDZ1638" s="21"/>
      <c r="PEA1638" s="21"/>
      <c r="PEB1638" s="21"/>
      <c r="PEC1638" s="21"/>
      <c r="PED1638" s="21"/>
      <c r="PEE1638" s="21"/>
      <c r="PEF1638" s="21"/>
      <c r="PEG1638" s="21"/>
      <c r="PEH1638" s="21"/>
      <c r="PEI1638" s="21"/>
      <c r="PEJ1638" s="21"/>
      <c r="PEK1638" s="21"/>
      <c r="PEL1638" s="21"/>
      <c r="PEM1638" s="21"/>
      <c r="PEN1638" s="21"/>
      <c r="PEO1638" s="21"/>
      <c r="PEP1638" s="21"/>
      <c r="PEQ1638" s="21"/>
      <c r="PER1638" s="21"/>
      <c r="PES1638" s="21"/>
      <c r="PET1638" s="21"/>
      <c r="PEU1638" s="21"/>
      <c r="PEV1638" s="21"/>
      <c r="PEW1638" s="21"/>
      <c r="PEX1638" s="21"/>
      <c r="PEY1638" s="21"/>
      <c r="PEZ1638" s="21"/>
      <c r="PFA1638" s="21"/>
      <c r="PFB1638" s="21"/>
      <c r="PFC1638" s="21"/>
      <c r="PFD1638" s="21"/>
      <c r="PFE1638" s="21"/>
      <c r="PFF1638" s="21"/>
      <c r="PFG1638" s="21"/>
      <c r="PFH1638" s="21"/>
      <c r="PFI1638" s="21"/>
      <c r="PFJ1638" s="21"/>
      <c r="PFK1638" s="21"/>
      <c r="PFL1638" s="21"/>
      <c r="PFM1638" s="21"/>
      <c r="PFN1638" s="21"/>
      <c r="PFO1638" s="21"/>
      <c r="PFP1638" s="21"/>
      <c r="PFQ1638" s="21"/>
      <c r="PFR1638" s="21"/>
      <c r="PFS1638" s="21"/>
      <c r="PFT1638" s="21"/>
      <c r="PFU1638" s="21"/>
      <c r="PFV1638" s="21"/>
      <c r="PFW1638" s="21"/>
      <c r="PFX1638" s="21"/>
      <c r="PFY1638" s="21"/>
      <c r="PFZ1638" s="21"/>
      <c r="PGA1638" s="21"/>
      <c r="PGB1638" s="21"/>
      <c r="PGC1638" s="21"/>
      <c r="PGD1638" s="21"/>
      <c r="PGE1638" s="21"/>
      <c r="PGF1638" s="21"/>
      <c r="PGG1638" s="21"/>
      <c r="PGH1638" s="21"/>
      <c r="PGI1638" s="21"/>
      <c r="PGJ1638" s="21"/>
      <c r="PGK1638" s="21"/>
      <c r="PGL1638" s="21"/>
      <c r="PGM1638" s="21"/>
      <c r="PGN1638" s="21"/>
      <c r="PGO1638" s="21"/>
      <c r="PGP1638" s="21"/>
      <c r="PGQ1638" s="21"/>
      <c r="PGR1638" s="21"/>
      <c r="PGS1638" s="21"/>
      <c r="PGT1638" s="21"/>
      <c r="PGU1638" s="21"/>
      <c r="PGV1638" s="21"/>
      <c r="PGW1638" s="21"/>
      <c r="PGX1638" s="21"/>
      <c r="PGY1638" s="21"/>
      <c r="PGZ1638" s="21"/>
      <c r="PHA1638" s="21"/>
      <c r="PHB1638" s="21"/>
      <c r="PHC1638" s="21"/>
      <c r="PHD1638" s="21"/>
      <c r="PHE1638" s="21"/>
      <c r="PHF1638" s="21"/>
      <c r="PHG1638" s="21"/>
      <c r="PHH1638" s="21"/>
      <c r="PHI1638" s="21"/>
      <c r="PHJ1638" s="21"/>
      <c r="PHK1638" s="21"/>
      <c r="PHL1638" s="21"/>
      <c r="PHM1638" s="21"/>
      <c r="PHN1638" s="21"/>
      <c r="PHO1638" s="21"/>
      <c r="PHP1638" s="21"/>
      <c r="PHQ1638" s="21"/>
      <c r="PHR1638" s="21"/>
      <c r="PHS1638" s="21"/>
      <c r="PHT1638" s="21"/>
      <c r="PHU1638" s="21"/>
      <c r="PHV1638" s="21"/>
      <c r="PHW1638" s="21"/>
      <c r="PHX1638" s="21"/>
      <c r="PHY1638" s="21"/>
      <c r="PHZ1638" s="21"/>
      <c r="PIA1638" s="21"/>
      <c r="PIB1638" s="21"/>
      <c r="PIC1638" s="21"/>
      <c r="PID1638" s="21"/>
      <c r="PIE1638" s="21"/>
      <c r="PIF1638" s="21"/>
      <c r="PIG1638" s="21"/>
      <c r="PIH1638" s="21"/>
      <c r="PII1638" s="21"/>
      <c r="PIJ1638" s="21"/>
      <c r="PIK1638" s="21"/>
      <c r="PIL1638" s="21"/>
      <c r="PIM1638" s="21"/>
      <c r="PIN1638" s="21"/>
      <c r="PIO1638" s="21"/>
      <c r="PIP1638" s="21"/>
      <c r="PIQ1638" s="21"/>
      <c r="PIR1638" s="21"/>
      <c r="PIS1638" s="21"/>
      <c r="PIT1638" s="21"/>
      <c r="PIU1638" s="21"/>
      <c r="PIV1638" s="21"/>
      <c r="PIW1638" s="21"/>
      <c r="PIX1638" s="21"/>
      <c r="PIY1638" s="21"/>
      <c r="PIZ1638" s="21"/>
      <c r="PJA1638" s="21"/>
      <c r="PJB1638" s="21"/>
      <c r="PJC1638" s="21"/>
      <c r="PJD1638" s="21"/>
      <c r="PJE1638" s="21"/>
      <c r="PJF1638" s="21"/>
      <c r="PJG1638" s="21"/>
      <c r="PJH1638" s="21"/>
      <c r="PJI1638" s="21"/>
      <c r="PJJ1638" s="21"/>
      <c r="PJK1638" s="21"/>
      <c r="PJL1638" s="21"/>
      <c r="PJM1638" s="21"/>
      <c r="PJN1638" s="21"/>
      <c r="PJO1638" s="21"/>
      <c r="PJP1638" s="21"/>
      <c r="PJQ1638" s="21"/>
      <c r="PJR1638" s="21"/>
      <c r="PJS1638" s="21"/>
      <c r="PJT1638" s="21"/>
      <c r="PJU1638" s="21"/>
      <c r="PJV1638" s="21"/>
      <c r="PJW1638" s="21"/>
      <c r="PJX1638" s="21"/>
      <c r="PJY1638" s="21"/>
      <c r="PJZ1638" s="21"/>
      <c r="PKA1638" s="21"/>
      <c r="PKB1638" s="21"/>
      <c r="PKC1638" s="21"/>
      <c r="PKD1638" s="21"/>
      <c r="PKE1638" s="21"/>
      <c r="PKF1638" s="21"/>
      <c r="PKG1638" s="21"/>
      <c r="PKH1638" s="21"/>
      <c r="PKI1638" s="21"/>
      <c r="PKJ1638" s="21"/>
      <c r="PKK1638" s="21"/>
      <c r="PKL1638" s="21"/>
      <c r="PKM1638" s="21"/>
      <c r="PKN1638" s="21"/>
      <c r="PKO1638" s="21"/>
      <c r="PKP1638" s="21"/>
      <c r="PKQ1638" s="21"/>
      <c r="PKR1638" s="21"/>
      <c r="PKS1638" s="21"/>
      <c r="PKT1638" s="21"/>
      <c r="PKU1638" s="21"/>
      <c r="PKV1638" s="21"/>
      <c r="PKW1638" s="21"/>
      <c r="PKX1638" s="21"/>
      <c r="PKY1638" s="21"/>
      <c r="PKZ1638" s="21"/>
      <c r="PLA1638" s="21"/>
      <c r="PLB1638" s="21"/>
      <c r="PLC1638" s="21"/>
      <c r="PLD1638" s="21"/>
      <c r="PLE1638" s="21"/>
      <c r="PLF1638" s="21"/>
      <c r="PLG1638" s="21"/>
      <c r="PLH1638" s="21"/>
      <c r="PLI1638" s="21"/>
      <c r="PLJ1638" s="21"/>
      <c r="PLK1638" s="21"/>
      <c r="PLL1638" s="21"/>
      <c r="PLM1638" s="21"/>
      <c r="PLN1638" s="21"/>
      <c r="PLO1638" s="21"/>
      <c r="PLP1638" s="21"/>
      <c r="PLQ1638" s="21"/>
      <c r="PLR1638" s="21"/>
      <c r="PLS1638" s="21"/>
      <c r="PLT1638" s="21"/>
      <c r="PLU1638" s="21"/>
      <c r="PLV1638" s="21"/>
      <c r="PLW1638" s="21"/>
      <c r="PLX1638" s="21"/>
      <c r="PLY1638" s="21"/>
      <c r="PLZ1638" s="21"/>
      <c r="PMA1638" s="21"/>
      <c r="PMB1638" s="21"/>
      <c r="PMC1638" s="21"/>
      <c r="PMD1638" s="21"/>
      <c r="PME1638" s="21"/>
      <c r="PMF1638" s="21"/>
      <c r="PMG1638" s="21"/>
      <c r="PMH1638" s="21"/>
      <c r="PMI1638" s="21"/>
      <c r="PMJ1638" s="21"/>
      <c r="PMK1638" s="21"/>
      <c r="PML1638" s="21"/>
      <c r="PMM1638" s="21"/>
      <c r="PMN1638" s="21"/>
      <c r="PMO1638" s="21"/>
      <c r="PMP1638" s="21"/>
      <c r="PMQ1638" s="21"/>
      <c r="PMR1638" s="21"/>
      <c r="PMS1638" s="21"/>
      <c r="PMT1638" s="21"/>
      <c r="PMU1638" s="21"/>
      <c r="PMV1638" s="21"/>
      <c r="PMW1638" s="21"/>
      <c r="PMX1638" s="21"/>
      <c r="PMY1638" s="21"/>
      <c r="PMZ1638" s="21"/>
      <c r="PNA1638" s="21"/>
      <c r="PNB1638" s="21"/>
      <c r="PNC1638" s="21"/>
      <c r="PND1638" s="21"/>
      <c r="PNE1638" s="21"/>
      <c r="PNF1638" s="21"/>
      <c r="PNG1638" s="21"/>
      <c r="PNH1638" s="21"/>
      <c r="PNI1638" s="21"/>
      <c r="PNJ1638" s="21"/>
      <c r="PNK1638" s="21"/>
      <c r="PNL1638" s="21"/>
      <c r="PNM1638" s="21"/>
      <c r="PNN1638" s="21"/>
      <c r="PNO1638" s="21"/>
      <c r="PNP1638" s="21"/>
      <c r="PNQ1638" s="21"/>
      <c r="PNR1638" s="21"/>
      <c r="PNS1638" s="21"/>
      <c r="PNT1638" s="21"/>
      <c r="PNU1638" s="21"/>
      <c r="PNV1638" s="21"/>
      <c r="PNW1638" s="21"/>
      <c r="PNX1638" s="21"/>
      <c r="PNY1638" s="21"/>
      <c r="PNZ1638" s="21"/>
      <c r="POA1638" s="21"/>
      <c r="POB1638" s="21"/>
      <c r="POC1638" s="21"/>
      <c r="POD1638" s="21"/>
      <c r="POE1638" s="21"/>
      <c r="POF1638" s="21"/>
      <c r="POG1638" s="21"/>
      <c r="POH1638" s="21"/>
      <c r="POI1638" s="21"/>
      <c r="POJ1638" s="21"/>
      <c r="POK1638" s="21"/>
      <c r="POL1638" s="21"/>
      <c r="POM1638" s="21"/>
      <c r="PON1638" s="21"/>
      <c r="POO1638" s="21"/>
      <c r="POP1638" s="21"/>
      <c r="POQ1638" s="21"/>
      <c r="POR1638" s="21"/>
      <c r="POS1638" s="21"/>
      <c r="POT1638" s="21"/>
      <c r="POU1638" s="21"/>
      <c r="POV1638" s="21"/>
      <c r="POW1638" s="21"/>
      <c r="POX1638" s="21"/>
      <c r="POY1638" s="21"/>
      <c r="POZ1638" s="21"/>
      <c r="PPA1638" s="21"/>
      <c r="PPB1638" s="21"/>
      <c r="PPC1638" s="21"/>
      <c r="PPD1638" s="21"/>
      <c r="PPE1638" s="21"/>
      <c r="PPF1638" s="21"/>
      <c r="PPG1638" s="21"/>
      <c r="PPH1638" s="21"/>
      <c r="PPI1638" s="21"/>
      <c r="PPJ1638" s="21"/>
      <c r="PPK1638" s="21"/>
      <c r="PPL1638" s="21"/>
      <c r="PPM1638" s="21"/>
      <c r="PPN1638" s="21"/>
      <c r="PPO1638" s="21"/>
      <c r="PPP1638" s="21"/>
      <c r="PPQ1638" s="21"/>
      <c r="PPR1638" s="21"/>
      <c r="PPS1638" s="21"/>
      <c r="PPT1638" s="21"/>
      <c r="PPU1638" s="21"/>
      <c r="PPV1638" s="21"/>
      <c r="PPW1638" s="21"/>
      <c r="PPX1638" s="21"/>
      <c r="PPY1638" s="21"/>
      <c r="PPZ1638" s="21"/>
      <c r="PQA1638" s="21"/>
      <c r="PQB1638" s="21"/>
      <c r="PQC1638" s="21"/>
      <c r="PQD1638" s="21"/>
      <c r="PQE1638" s="21"/>
      <c r="PQF1638" s="21"/>
      <c r="PQG1638" s="21"/>
      <c r="PQH1638" s="21"/>
      <c r="PQI1638" s="21"/>
      <c r="PQJ1638" s="21"/>
      <c r="PQK1638" s="21"/>
      <c r="PQL1638" s="21"/>
      <c r="PQM1638" s="21"/>
      <c r="PQN1638" s="21"/>
      <c r="PQO1638" s="21"/>
      <c r="PQP1638" s="21"/>
      <c r="PQQ1638" s="21"/>
      <c r="PQR1638" s="21"/>
      <c r="PQS1638" s="21"/>
      <c r="PQT1638" s="21"/>
      <c r="PQU1638" s="21"/>
      <c r="PQV1638" s="21"/>
      <c r="PQW1638" s="21"/>
      <c r="PQX1638" s="21"/>
      <c r="PQY1638" s="21"/>
      <c r="PQZ1638" s="21"/>
      <c r="PRA1638" s="21"/>
      <c r="PRB1638" s="21"/>
      <c r="PRC1638" s="21"/>
      <c r="PRD1638" s="21"/>
      <c r="PRE1638" s="21"/>
      <c r="PRF1638" s="21"/>
      <c r="PRG1638" s="21"/>
      <c r="PRH1638" s="21"/>
      <c r="PRI1638" s="21"/>
      <c r="PRJ1638" s="21"/>
      <c r="PRK1638" s="21"/>
      <c r="PRL1638" s="21"/>
      <c r="PRM1638" s="21"/>
      <c r="PRN1638" s="21"/>
      <c r="PRO1638" s="21"/>
      <c r="PRP1638" s="21"/>
      <c r="PRQ1638" s="21"/>
      <c r="PRR1638" s="21"/>
      <c r="PRS1638" s="21"/>
      <c r="PRT1638" s="21"/>
      <c r="PRU1638" s="21"/>
      <c r="PRV1638" s="21"/>
      <c r="PRW1638" s="21"/>
      <c r="PRX1638" s="21"/>
      <c r="PRY1638" s="21"/>
      <c r="PRZ1638" s="21"/>
      <c r="PSA1638" s="21"/>
      <c r="PSB1638" s="21"/>
      <c r="PSC1638" s="21"/>
      <c r="PSD1638" s="21"/>
      <c r="PSE1638" s="21"/>
      <c r="PSF1638" s="21"/>
      <c r="PSG1638" s="21"/>
      <c r="PSH1638" s="21"/>
      <c r="PSI1638" s="21"/>
      <c r="PSJ1638" s="21"/>
      <c r="PSK1638" s="21"/>
      <c r="PSL1638" s="21"/>
      <c r="PSM1638" s="21"/>
      <c r="PSN1638" s="21"/>
      <c r="PSO1638" s="21"/>
      <c r="PSP1638" s="21"/>
      <c r="PSQ1638" s="21"/>
      <c r="PSR1638" s="21"/>
      <c r="PSS1638" s="21"/>
      <c r="PST1638" s="21"/>
      <c r="PSU1638" s="21"/>
      <c r="PSV1638" s="21"/>
      <c r="PSW1638" s="21"/>
      <c r="PSX1638" s="21"/>
      <c r="PSY1638" s="21"/>
      <c r="PSZ1638" s="21"/>
      <c r="PTA1638" s="21"/>
      <c r="PTB1638" s="21"/>
      <c r="PTC1638" s="21"/>
      <c r="PTD1638" s="21"/>
      <c r="PTE1638" s="21"/>
      <c r="PTF1638" s="21"/>
      <c r="PTG1638" s="21"/>
      <c r="PTH1638" s="21"/>
      <c r="PTI1638" s="21"/>
      <c r="PTJ1638" s="21"/>
      <c r="PTK1638" s="21"/>
      <c r="PTL1638" s="21"/>
      <c r="PTM1638" s="21"/>
      <c r="PTN1638" s="21"/>
      <c r="PTO1638" s="21"/>
      <c r="PTP1638" s="21"/>
      <c r="PTQ1638" s="21"/>
      <c r="PTR1638" s="21"/>
      <c r="PTS1638" s="21"/>
      <c r="PTT1638" s="21"/>
      <c r="PTU1638" s="21"/>
      <c r="PTV1638" s="21"/>
      <c r="PTW1638" s="21"/>
      <c r="PTX1638" s="21"/>
      <c r="PTY1638" s="21"/>
      <c r="PTZ1638" s="21"/>
      <c r="PUA1638" s="21"/>
      <c r="PUB1638" s="21"/>
      <c r="PUC1638" s="21"/>
      <c r="PUD1638" s="21"/>
      <c r="PUE1638" s="21"/>
      <c r="PUF1638" s="21"/>
      <c r="PUG1638" s="21"/>
      <c r="PUH1638" s="21"/>
      <c r="PUI1638" s="21"/>
      <c r="PUJ1638" s="21"/>
      <c r="PUK1638" s="21"/>
      <c r="PUL1638" s="21"/>
      <c r="PUM1638" s="21"/>
      <c r="PUN1638" s="21"/>
      <c r="PUO1638" s="21"/>
      <c r="PUP1638" s="21"/>
      <c r="PUQ1638" s="21"/>
      <c r="PUR1638" s="21"/>
      <c r="PUS1638" s="21"/>
      <c r="PUT1638" s="21"/>
      <c r="PUU1638" s="21"/>
      <c r="PUV1638" s="21"/>
      <c r="PUW1638" s="21"/>
      <c r="PUX1638" s="21"/>
      <c r="PUY1638" s="21"/>
      <c r="PUZ1638" s="21"/>
      <c r="PVA1638" s="21"/>
      <c r="PVB1638" s="21"/>
      <c r="PVC1638" s="21"/>
      <c r="PVD1638" s="21"/>
      <c r="PVE1638" s="21"/>
      <c r="PVF1638" s="21"/>
      <c r="PVG1638" s="21"/>
      <c r="PVH1638" s="21"/>
      <c r="PVI1638" s="21"/>
      <c r="PVJ1638" s="21"/>
      <c r="PVK1638" s="21"/>
      <c r="PVL1638" s="21"/>
      <c r="PVM1638" s="21"/>
      <c r="PVN1638" s="21"/>
      <c r="PVO1638" s="21"/>
      <c r="PVP1638" s="21"/>
      <c r="PVQ1638" s="21"/>
      <c r="PVR1638" s="21"/>
      <c r="PVS1638" s="21"/>
      <c r="PVT1638" s="21"/>
      <c r="PVU1638" s="21"/>
      <c r="PVV1638" s="21"/>
      <c r="PVW1638" s="21"/>
      <c r="PVX1638" s="21"/>
      <c r="PVY1638" s="21"/>
      <c r="PVZ1638" s="21"/>
      <c r="PWA1638" s="21"/>
      <c r="PWB1638" s="21"/>
      <c r="PWC1638" s="21"/>
      <c r="PWD1638" s="21"/>
      <c r="PWE1638" s="21"/>
      <c r="PWF1638" s="21"/>
      <c r="PWG1638" s="21"/>
      <c r="PWH1638" s="21"/>
      <c r="PWI1638" s="21"/>
      <c r="PWJ1638" s="21"/>
      <c r="PWK1638" s="21"/>
      <c r="PWL1638" s="21"/>
      <c r="PWM1638" s="21"/>
      <c r="PWN1638" s="21"/>
      <c r="PWO1638" s="21"/>
      <c r="PWP1638" s="21"/>
      <c r="PWQ1638" s="21"/>
      <c r="PWR1638" s="21"/>
      <c r="PWS1638" s="21"/>
      <c r="PWT1638" s="21"/>
      <c r="PWU1638" s="21"/>
      <c r="PWV1638" s="21"/>
      <c r="PWW1638" s="21"/>
      <c r="PWX1638" s="21"/>
      <c r="PWY1638" s="21"/>
      <c r="PWZ1638" s="21"/>
      <c r="PXA1638" s="21"/>
      <c r="PXB1638" s="21"/>
      <c r="PXC1638" s="21"/>
      <c r="PXD1638" s="21"/>
      <c r="PXE1638" s="21"/>
      <c r="PXF1638" s="21"/>
      <c r="PXG1638" s="21"/>
      <c r="PXH1638" s="21"/>
      <c r="PXI1638" s="21"/>
      <c r="PXJ1638" s="21"/>
      <c r="PXK1638" s="21"/>
      <c r="PXL1638" s="21"/>
      <c r="PXM1638" s="21"/>
      <c r="PXN1638" s="21"/>
      <c r="PXO1638" s="21"/>
      <c r="PXP1638" s="21"/>
      <c r="PXQ1638" s="21"/>
      <c r="PXR1638" s="21"/>
      <c r="PXS1638" s="21"/>
      <c r="PXT1638" s="21"/>
      <c r="PXU1638" s="21"/>
      <c r="PXV1638" s="21"/>
      <c r="PXW1638" s="21"/>
      <c r="PXX1638" s="21"/>
      <c r="PXY1638" s="21"/>
      <c r="PXZ1638" s="21"/>
      <c r="PYA1638" s="21"/>
      <c r="PYB1638" s="21"/>
      <c r="PYC1638" s="21"/>
      <c r="PYD1638" s="21"/>
      <c r="PYE1638" s="21"/>
      <c r="PYF1638" s="21"/>
      <c r="PYG1638" s="21"/>
      <c r="PYH1638" s="21"/>
      <c r="PYI1638" s="21"/>
      <c r="PYJ1638" s="21"/>
      <c r="PYK1638" s="21"/>
      <c r="PYL1638" s="21"/>
      <c r="PYM1638" s="21"/>
      <c r="PYN1638" s="21"/>
      <c r="PYO1638" s="21"/>
      <c r="PYP1638" s="21"/>
      <c r="PYQ1638" s="21"/>
      <c r="PYR1638" s="21"/>
      <c r="PYS1638" s="21"/>
      <c r="PYT1638" s="21"/>
      <c r="PYU1638" s="21"/>
      <c r="PYV1638" s="21"/>
      <c r="PYW1638" s="21"/>
      <c r="PYX1638" s="21"/>
      <c r="PYY1638" s="21"/>
      <c r="PYZ1638" s="21"/>
      <c r="PZA1638" s="21"/>
      <c r="PZB1638" s="21"/>
      <c r="PZC1638" s="21"/>
      <c r="PZD1638" s="21"/>
      <c r="PZE1638" s="21"/>
      <c r="PZF1638" s="21"/>
      <c r="PZG1638" s="21"/>
      <c r="PZH1638" s="21"/>
      <c r="PZI1638" s="21"/>
      <c r="PZJ1638" s="21"/>
      <c r="PZK1638" s="21"/>
      <c r="PZL1638" s="21"/>
      <c r="PZM1638" s="21"/>
      <c r="PZN1638" s="21"/>
      <c r="PZO1638" s="21"/>
      <c r="PZP1638" s="21"/>
      <c r="PZQ1638" s="21"/>
      <c r="PZR1638" s="21"/>
      <c r="PZS1638" s="21"/>
      <c r="PZT1638" s="21"/>
      <c r="PZU1638" s="21"/>
      <c r="PZV1638" s="21"/>
      <c r="PZW1638" s="21"/>
      <c r="PZX1638" s="21"/>
      <c r="PZY1638" s="21"/>
      <c r="PZZ1638" s="21"/>
      <c r="QAA1638" s="21"/>
      <c r="QAB1638" s="21"/>
      <c r="QAC1638" s="21"/>
      <c r="QAD1638" s="21"/>
      <c r="QAE1638" s="21"/>
      <c r="QAF1638" s="21"/>
      <c r="QAG1638" s="21"/>
      <c r="QAH1638" s="21"/>
      <c r="QAI1638" s="21"/>
      <c r="QAJ1638" s="21"/>
      <c r="QAK1638" s="21"/>
      <c r="QAL1638" s="21"/>
      <c r="QAM1638" s="21"/>
      <c r="QAN1638" s="21"/>
      <c r="QAO1638" s="21"/>
      <c r="QAP1638" s="21"/>
      <c r="QAQ1638" s="21"/>
      <c r="QAR1638" s="21"/>
      <c r="QAS1638" s="21"/>
      <c r="QAT1638" s="21"/>
      <c r="QAU1638" s="21"/>
      <c r="QAV1638" s="21"/>
      <c r="QAW1638" s="21"/>
      <c r="QAX1638" s="21"/>
      <c r="QAY1638" s="21"/>
      <c r="QAZ1638" s="21"/>
      <c r="QBA1638" s="21"/>
      <c r="QBB1638" s="21"/>
      <c r="QBC1638" s="21"/>
      <c r="QBD1638" s="21"/>
      <c r="QBE1638" s="21"/>
      <c r="QBF1638" s="21"/>
      <c r="QBG1638" s="21"/>
      <c r="QBH1638" s="21"/>
      <c r="QBI1638" s="21"/>
      <c r="QBJ1638" s="21"/>
      <c r="QBK1638" s="21"/>
      <c r="QBL1638" s="21"/>
      <c r="QBM1638" s="21"/>
      <c r="QBN1638" s="21"/>
      <c r="QBO1638" s="21"/>
      <c r="QBP1638" s="21"/>
      <c r="QBQ1638" s="21"/>
      <c r="QBR1638" s="21"/>
      <c r="QBS1638" s="21"/>
      <c r="QBT1638" s="21"/>
      <c r="QBU1638" s="21"/>
      <c r="QBV1638" s="21"/>
      <c r="QBW1638" s="21"/>
      <c r="QBX1638" s="21"/>
      <c r="QBY1638" s="21"/>
      <c r="QBZ1638" s="21"/>
      <c r="QCA1638" s="21"/>
      <c r="QCB1638" s="21"/>
      <c r="QCC1638" s="21"/>
      <c r="QCD1638" s="21"/>
      <c r="QCE1638" s="21"/>
      <c r="QCF1638" s="21"/>
      <c r="QCG1638" s="21"/>
      <c r="QCH1638" s="21"/>
      <c r="QCI1638" s="21"/>
      <c r="QCJ1638" s="21"/>
      <c r="QCK1638" s="21"/>
      <c r="QCL1638" s="21"/>
      <c r="QCM1638" s="21"/>
      <c r="QCN1638" s="21"/>
      <c r="QCO1638" s="21"/>
      <c r="QCP1638" s="21"/>
      <c r="QCQ1638" s="21"/>
      <c r="QCR1638" s="21"/>
      <c r="QCS1638" s="21"/>
      <c r="QCT1638" s="21"/>
      <c r="QCU1638" s="21"/>
      <c r="QCV1638" s="21"/>
      <c r="QCW1638" s="21"/>
      <c r="QCX1638" s="21"/>
      <c r="QCY1638" s="21"/>
      <c r="QCZ1638" s="21"/>
      <c r="QDA1638" s="21"/>
      <c r="QDB1638" s="21"/>
      <c r="QDC1638" s="21"/>
      <c r="QDD1638" s="21"/>
      <c r="QDE1638" s="21"/>
      <c r="QDF1638" s="21"/>
      <c r="QDG1638" s="21"/>
      <c r="QDH1638" s="21"/>
      <c r="QDI1638" s="21"/>
      <c r="QDJ1638" s="21"/>
      <c r="QDK1638" s="21"/>
      <c r="QDL1638" s="21"/>
      <c r="QDM1638" s="21"/>
      <c r="QDN1638" s="21"/>
      <c r="QDO1638" s="21"/>
      <c r="QDP1638" s="21"/>
      <c r="QDQ1638" s="21"/>
      <c r="QDR1638" s="21"/>
      <c r="QDS1638" s="21"/>
      <c r="QDT1638" s="21"/>
      <c r="QDU1638" s="21"/>
      <c r="QDV1638" s="21"/>
      <c r="QDW1638" s="21"/>
      <c r="QDX1638" s="21"/>
      <c r="QDY1638" s="21"/>
      <c r="QDZ1638" s="21"/>
      <c r="QEA1638" s="21"/>
      <c r="QEB1638" s="21"/>
      <c r="QEC1638" s="21"/>
      <c r="QED1638" s="21"/>
      <c r="QEE1638" s="21"/>
      <c r="QEF1638" s="21"/>
      <c r="QEG1638" s="21"/>
      <c r="QEH1638" s="21"/>
      <c r="QEI1638" s="21"/>
      <c r="QEJ1638" s="21"/>
      <c r="QEK1638" s="21"/>
      <c r="QEL1638" s="21"/>
      <c r="QEM1638" s="21"/>
      <c r="QEN1638" s="21"/>
      <c r="QEO1638" s="21"/>
      <c r="QEP1638" s="21"/>
      <c r="QEQ1638" s="21"/>
      <c r="QER1638" s="21"/>
      <c r="QES1638" s="21"/>
      <c r="QET1638" s="21"/>
      <c r="QEU1638" s="21"/>
      <c r="QEV1638" s="21"/>
      <c r="QEW1638" s="21"/>
      <c r="QEX1638" s="21"/>
      <c r="QEY1638" s="21"/>
      <c r="QEZ1638" s="21"/>
      <c r="QFA1638" s="21"/>
      <c r="QFB1638" s="21"/>
      <c r="QFC1638" s="21"/>
      <c r="QFD1638" s="21"/>
      <c r="QFE1638" s="21"/>
      <c r="QFF1638" s="21"/>
      <c r="QFG1638" s="21"/>
      <c r="QFH1638" s="21"/>
      <c r="QFI1638" s="21"/>
      <c r="QFJ1638" s="21"/>
      <c r="QFK1638" s="21"/>
      <c r="QFL1638" s="21"/>
      <c r="QFM1638" s="21"/>
      <c r="QFN1638" s="21"/>
      <c r="QFO1638" s="21"/>
      <c r="QFP1638" s="21"/>
      <c r="QFQ1638" s="21"/>
      <c r="QFR1638" s="21"/>
      <c r="QFS1638" s="21"/>
      <c r="QFT1638" s="21"/>
      <c r="QFU1638" s="21"/>
      <c r="QFV1638" s="21"/>
      <c r="QFW1638" s="21"/>
      <c r="QFX1638" s="21"/>
      <c r="QFY1638" s="21"/>
      <c r="QFZ1638" s="21"/>
      <c r="QGA1638" s="21"/>
      <c r="QGB1638" s="21"/>
      <c r="QGC1638" s="21"/>
      <c r="QGD1638" s="21"/>
      <c r="QGE1638" s="21"/>
      <c r="QGF1638" s="21"/>
      <c r="QGG1638" s="21"/>
      <c r="QGH1638" s="21"/>
      <c r="QGI1638" s="21"/>
      <c r="QGJ1638" s="21"/>
      <c r="QGK1638" s="21"/>
      <c r="QGL1638" s="21"/>
      <c r="QGM1638" s="21"/>
      <c r="QGN1638" s="21"/>
      <c r="QGO1638" s="21"/>
      <c r="QGP1638" s="21"/>
      <c r="QGQ1638" s="21"/>
      <c r="QGR1638" s="21"/>
      <c r="QGS1638" s="21"/>
      <c r="QGT1638" s="21"/>
      <c r="QGU1638" s="21"/>
      <c r="QGV1638" s="21"/>
      <c r="QGW1638" s="21"/>
      <c r="QGX1638" s="21"/>
      <c r="QGY1638" s="21"/>
      <c r="QGZ1638" s="21"/>
      <c r="QHA1638" s="21"/>
      <c r="QHB1638" s="21"/>
      <c r="QHC1638" s="21"/>
      <c r="QHD1638" s="21"/>
      <c r="QHE1638" s="21"/>
      <c r="QHF1638" s="21"/>
      <c r="QHG1638" s="21"/>
      <c r="QHH1638" s="21"/>
      <c r="QHI1638" s="21"/>
      <c r="QHJ1638" s="21"/>
      <c r="QHK1638" s="21"/>
      <c r="QHL1638" s="21"/>
      <c r="QHM1638" s="21"/>
      <c r="QHN1638" s="21"/>
      <c r="QHO1638" s="21"/>
      <c r="QHP1638" s="21"/>
      <c r="QHQ1638" s="21"/>
      <c r="QHR1638" s="21"/>
      <c r="QHS1638" s="21"/>
      <c r="QHT1638" s="21"/>
      <c r="QHU1638" s="21"/>
      <c r="QHV1638" s="21"/>
      <c r="QHW1638" s="21"/>
      <c r="QHX1638" s="21"/>
      <c r="QHY1638" s="21"/>
      <c r="QHZ1638" s="21"/>
      <c r="QIA1638" s="21"/>
      <c r="QIB1638" s="21"/>
      <c r="QIC1638" s="21"/>
      <c r="QID1638" s="21"/>
      <c r="QIE1638" s="21"/>
      <c r="QIF1638" s="21"/>
      <c r="QIG1638" s="21"/>
      <c r="QIH1638" s="21"/>
      <c r="QII1638" s="21"/>
      <c r="QIJ1638" s="21"/>
      <c r="QIK1638" s="21"/>
      <c r="QIL1638" s="21"/>
      <c r="QIM1638" s="21"/>
      <c r="QIN1638" s="21"/>
      <c r="QIO1638" s="21"/>
      <c r="QIP1638" s="21"/>
      <c r="QIQ1638" s="21"/>
      <c r="QIR1638" s="21"/>
      <c r="QIS1638" s="21"/>
      <c r="QIT1638" s="21"/>
      <c r="QIU1638" s="21"/>
      <c r="QIV1638" s="21"/>
      <c r="QIW1638" s="21"/>
      <c r="QIX1638" s="21"/>
      <c r="QIY1638" s="21"/>
      <c r="QIZ1638" s="21"/>
      <c r="QJA1638" s="21"/>
      <c r="QJB1638" s="21"/>
      <c r="QJC1638" s="21"/>
      <c r="QJD1638" s="21"/>
      <c r="QJE1638" s="21"/>
      <c r="QJF1638" s="21"/>
      <c r="QJG1638" s="21"/>
      <c r="QJH1638" s="21"/>
      <c r="QJI1638" s="21"/>
      <c r="QJJ1638" s="21"/>
      <c r="QJK1638" s="21"/>
      <c r="QJL1638" s="21"/>
      <c r="QJM1638" s="21"/>
      <c r="QJN1638" s="21"/>
      <c r="QJO1638" s="21"/>
      <c r="QJP1638" s="21"/>
      <c r="QJQ1638" s="21"/>
      <c r="QJR1638" s="21"/>
      <c r="QJS1638" s="21"/>
      <c r="QJT1638" s="21"/>
      <c r="QJU1638" s="21"/>
      <c r="QJV1638" s="21"/>
      <c r="QJW1638" s="21"/>
      <c r="QJX1638" s="21"/>
      <c r="QJY1638" s="21"/>
      <c r="QJZ1638" s="21"/>
      <c r="QKA1638" s="21"/>
      <c r="QKB1638" s="21"/>
      <c r="QKC1638" s="21"/>
      <c r="QKD1638" s="21"/>
      <c r="QKE1638" s="21"/>
      <c r="QKF1638" s="21"/>
      <c r="QKG1638" s="21"/>
      <c r="QKH1638" s="21"/>
      <c r="QKI1638" s="21"/>
      <c r="QKJ1638" s="21"/>
      <c r="QKK1638" s="21"/>
      <c r="QKL1638" s="21"/>
      <c r="QKM1638" s="21"/>
      <c r="QKN1638" s="21"/>
      <c r="QKO1638" s="21"/>
      <c r="QKP1638" s="21"/>
      <c r="QKQ1638" s="21"/>
      <c r="QKR1638" s="21"/>
      <c r="QKS1638" s="21"/>
      <c r="QKT1638" s="21"/>
      <c r="QKU1638" s="21"/>
      <c r="QKV1638" s="21"/>
      <c r="QKW1638" s="21"/>
      <c r="QKX1638" s="21"/>
      <c r="QKY1638" s="21"/>
      <c r="QKZ1638" s="21"/>
      <c r="QLA1638" s="21"/>
      <c r="QLB1638" s="21"/>
      <c r="QLC1638" s="21"/>
      <c r="QLD1638" s="21"/>
      <c r="QLE1638" s="21"/>
      <c r="QLF1638" s="21"/>
      <c r="QLG1638" s="21"/>
      <c r="QLH1638" s="21"/>
      <c r="QLI1638" s="21"/>
      <c r="QLJ1638" s="21"/>
      <c r="QLK1638" s="21"/>
      <c r="QLL1638" s="21"/>
      <c r="QLM1638" s="21"/>
      <c r="QLN1638" s="21"/>
      <c r="QLO1638" s="21"/>
      <c r="QLP1638" s="21"/>
      <c r="QLQ1638" s="21"/>
      <c r="QLR1638" s="21"/>
      <c r="QLS1638" s="21"/>
      <c r="QLT1638" s="21"/>
      <c r="QLU1638" s="21"/>
      <c r="QLV1638" s="21"/>
      <c r="QLW1638" s="21"/>
      <c r="QLX1638" s="21"/>
      <c r="QLY1638" s="21"/>
      <c r="QLZ1638" s="21"/>
      <c r="QMA1638" s="21"/>
      <c r="QMB1638" s="21"/>
      <c r="QMC1638" s="21"/>
      <c r="QMD1638" s="21"/>
      <c r="QME1638" s="21"/>
      <c r="QMF1638" s="21"/>
      <c r="QMG1638" s="21"/>
      <c r="QMH1638" s="21"/>
      <c r="QMI1638" s="21"/>
      <c r="QMJ1638" s="21"/>
      <c r="QMK1638" s="21"/>
      <c r="QML1638" s="21"/>
      <c r="QMM1638" s="21"/>
      <c r="QMN1638" s="21"/>
      <c r="QMO1638" s="21"/>
      <c r="QMP1638" s="21"/>
      <c r="QMQ1638" s="21"/>
      <c r="QMR1638" s="21"/>
      <c r="QMS1638" s="21"/>
      <c r="QMT1638" s="21"/>
      <c r="QMU1638" s="21"/>
      <c r="QMV1638" s="21"/>
      <c r="QMW1638" s="21"/>
      <c r="QMX1638" s="21"/>
      <c r="QMY1638" s="21"/>
      <c r="QMZ1638" s="21"/>
      <c r="QNA1638" s="21"/>
      <c r="QNB1638" s="21"/>
      <c r="QNC1638" s="21"/>
      <c r="QND1638" s="21"/>
      <c r="QNE1638" s="21"/>
      <c r="QNF1638" s="21"/>
      <c r="QNG1638" s="21"/>
      <c r="QNH1638" s="21"/>
      <c r="QNI1638" s="21"/>
      <c r="QNJ1638" s="21"/>
      <c r="QNK1638" s="21"/>
      <c r="QNL1638" s="21"/>
      <c r="QNM1638" s="21"/>
      <c r="QNN1638" s="21"/>
      <c r="QNO1638" s="21"/>
      <c r="QNP1638" s="21"/>
      <c r="QNQ1638" s="21"/>
      <c r="QNR1638" s="21"/>
      <c r="QNS1638" s="21"/>
      <c r="QNT1638" s="21"/>
      <c r="QNU1638" s="21"/>
      <c r="QNV1638" s="21"/>
      <c r="QNW1638" s="21"/>
      <c r="QNX1638" s="21"/>
      <c r="QNY1638" s="21"/>
      <c r="QNZ1638" s="21"/>
      <c r="QOA1638" s="21"/>
      <c r="QOB1638" s="21"/>
      <c r="QOC1638" s="21"/>
      <c r="QOD1638" s="21"/>
      <c r="QOE1638" s="21"/>
      <c r="QOF1638" s="21"/>
      <c r="QOG1638" s="21"/>
      <c r="QOH1638" s="21"/>
      <c r="QOI1638" s="21"/>
      <c r="QOJ1638" s="21"/>
      <c r="QOK1638" s="21"/>
      <c r="QOL1638" s="21"/>
      <c r="QOM1638" s="21"/>
      <c r="QON1638" s="21"/>
      <c r="QOO1638" s="21"/>
      <c r="QOP1638" s="21"/>
      <c r="QOQ1638" s="21"/>
      <c r="QOR1638" s="21"/>
      <c r="QOS1638" s="21"/>
      <c r="QOT1638" s="21"/>
      <c r="QOU1638" s="21"/>
      <c r="QOV1638" s="21"/>
      <c r="QOW1638" s="21"/>
      <c r="QOX1638" s="21"/>
      <c r="QOY1638" s="21"/>
      <c r="QOZ1638" s="21"/>
      <c r="QPA1638" s="21"/>
      <c r="QPB1638" s="21"/>
      <c r="QPC1638" s="21"/>
      <c r="QPD1638" s="21"/>
      <c r="QPE1638" s="21"/>
      <c r="QPF1638" s="21"/>
      <c r="QPG1638" s="21"/>
      <c r="QPH1638" s="21"/>
      <c r="QPI1638" s="21"/>
      <c r="QPJ1638" s="21"/>
      <c r="QPK1638" s="21"/>
      <c r="QPL1638" s="21"/>
      <c r="QPM1638" s="21"/>
      <c r="QPN1638" s="21"/>
      <c r="QPO1638" s="21"/>
      <c r="QPP1638" s="21"/>
      <c r="QPQ1638" s="21"/>
      <c r="QPR1638" s="21"/>
      <c r="QPS1638" s="21"/>
      <c r="QPT1638" s="21"/>
      <c r="QPU1638" s="21"/>
      <c r="QPV1638" s="21"/>
      <c r="QPW1638" s="21"/>
      <c r="QPX1638" s="21"/>
      <c r="QPY1638" s="21"/>
      <c r="QPZ1638" s="21"/>
      <c r="QQA1638" s="21"/>
      <c r="QQB1638" s="21"/>
      <c r="QQC1638" s="21"/>
      <c r="QQD1638" s="21"/>
      <c r="QQE1638" s="21"/>
      <c r="QQF1638" s="21"/>
      <c r="QQG1638" s="21"/>
      <c r="QQH1638" s="21"/>
      <c r="QQI1638" s="21"/>
      <c r="QQJ1638" s="21"/>
      <c r="QQK1638" s="21"/>
      <c r="QQL1638" s="21"/>
      <c r="QQM1638" s="21"/>
      <c r="QQN1638" s="21"/>
      <c r="QQO1638" s="21"/>
      <c r="QQP1638" s="21"/>
      <c r="QQQ1638" s="21"/>
      <c r="QQR1638" s="21"/>
      <c r="QQS1638" s="21"/>
      <c r="QQT1638" s="21"/>
      <c r="QQU1638" s="21"/>
      <c r="QQV1638" s="21"/>
      <c r="QQW1638" s="21"/>
      <c r="QQX1638" s="21"/>
      <c r="QQY1638" s="21"/>
      <c r="QQZ1638" s="21"/>
      <c r="QRA1638" s="21"/>
      <c r="QRB1638" s="21"/>
      <c r="QRC1638" s="21"/>
      <c r="QRD1638" s="21"/>
      <c r="QRE1638" s="21"/>
      <c r="QRF1638" s="21"/>
      <c r="QRG1638" s="21"/>
      <c r="QRH1638" s="21"/>
      <c r="QRI1638" s="21"/>
      <c r="QRJ1638" s="21"/>
      <c r="QRK1638" s="21"/>
      <c r="QRL1638" s="21"/>
      <c r="QRM1638" s="21"/>
      <c r="QRN1638" s="21"/>
      <c r="QRO1638" s="21"/>
      <c r="QRP1638" s="21"/>
      <c r="QRQ1638" s="21"/>
      <c r="QRR1638" s="21"/>
      <c r="QRS1638" s="21"/>
      <c r="QRT1638" s="21"/>
      <c r="QRU1638" s="21"/>
      <c r="QRV1638" s="21"/>
      <c r="QRW1638" s="21"/>
      <c r="QRX1638" s="21"/>
      <c r="QRY1638" s="21"/>
      <c r="QRZ1638" s="21"/>
      <c r="QSA1638" s="21"/>
      <c r="QSB1638" s="21"/>
      <c r="QSC1638" s="21"/>
      <c r="QSD1638" s="21"/>
      <c r="QSE1638" s="21"/>
      <c r="QSF1638" s="21"/>
      <c r="QSG1638" s="21"/>
      <c r="QSH1638" s="21"/>
      <c r="QSI1638" s="21"/>
      <c r="QSJ1638" s="21"/>
      <c r="QSK1638" s="21"/>
      <c r="QSL1638" s="21"/>
      <c r="QSM1638" s="21"/>
      <c r="QSN1638" s="21"/>
      <c r="QSO1638" s="21"/>
      <c r="QSP1638" s="21"/>
      <c r="QSQ1638" s="21"/>
      <c r="QSR1638" s="21"/>
      <c r="QSS1638" s="21"/>
      <c r="QST1638" s="21"/>
      <c r="QSU1638" s="21"/>
      <c r="QSV1638" s="21"/>
      <c r="QSW1638" s="21"/>
      <c r="QSX1638" s="21"/>
      <c r="QSY1638" s="21"/>
      <c r="QSZ1638" s="21"/>
      <c r="QTA1638" s="21"/>
      <c r="QTB1638" s="21"/>
      <c r="QTC1638" s="21"/>
      <c r="QTD1638" s="21"/>
      <c r="QTE1638" s="21"/>
      <c r="QTF1638" s="21"/>
      <c r="QTG1638" s="21"/>
      <c r="QTH1638" s="21"/>
      <c r="QTI1638" s="21"/>
      <c r="QTJ1638" s="21"/>
      <c r="QTK1638" s="21"/>
      <c r="QTL1638" s="21"/>
      <c r="QTM1638" s="21"/>
      <c r="QTN1638" s="21"/>
      <c r="QTO1638" s="21"/>
      <c r="QTP1638" s="21"/>
      <c r="QTQ1638" s="21"/>
      <c r="QTR1638" s="21"/>
      <c r="QTS1638" s="21"/>
      <c r="QTT1638" s="21"/>
      <c r="QTU1638" s="21"/>
      <c r="QTV1638" s="21"/>
      <c r="QTW1638" s="21"/>
      <c r="QTX1638" s="21"/>
      <c r="QTY1638" s="21"/>
      <c r="QTZ1638" s="21"/>
      <c r="QUA1638" s="21"/>
      <c r="QUB1638" s="21"/>
      <c r="QUC1638" s="21"/>
      <c r="QUD1638" s="21"/>
      <c r="QUE1638" s="21"/>
      <c r="QUF1638" s="21"/>
      <c r="QUG1638" s="21"/>
      <c r="QUH1638" s="21"/>
      <c r="QUI1638" s="21"/>
      <c r="QUJ1638" s="21"/>
      <c r="QUK1638" s="21"/>
      <c r="QUL1638" s="21"/>
      <c r="QUM1638" s="21"/>
      <c r="QUN1638" s="21"/>
      <c r="QUO1638" s="21"/>
      <c r="QUP1638" s="21"/>
      <c r="QUQ1638" s="21"/>
      <c r="QUR1638" s="21"/>
      <c r="QUS1638" s="21"/>
      <c r="QUT1638" s="21"/>
      <c r="QUU1638" s="21"/>
      <c r="QUV1638" s="21"/>
      <c r="QUW1638" s="21"/>
      <c r="QUX1638" s="21"/>
      <c r="QUY1638" s="21"/>
      <c r="QUZ1638" s="21"/>
      <c r="QVA1638" s="21"/>
      <c r="QVB1638" s="21"/>
      <c r="QVC1638" s="21"/>
      <c r="QVD1638" s="21"/>
      <c r="QVE1638" s="21"/>
      <c r="QVF1638" s="21"/>
      <c r="QVG1638" s="21"/>
      <c r="QVH1638" s="21"/>
      <c r="QVI1638" s="21"/>
      <c r="QVJ1638" s="21"/>
      <c r="QVK1638" s="21"/>
      <c r="QVL1638" s="21"/>
      <c r="QVM1638" s="21"/>
      <c r="QVN1638" s="21"/>
      <c r="QVO1638" s="21"/>
      <c r="QVP1638" s="21"/>
      <c r="QVQ1638" s="21"/>
      <c r="QVR1638" s="21"/>
      <c r="QVS1638" s="21"/>
      <c r="QVT1638" s="21"/>
      <c r="QVU1638" s="21"/>
      <c r="QVV1638" s="21"/>
      <c r="QVW1638" s="21"/>
      <c r="QVX1638" s="21"/>
      <c r="QVY1638" s="21"/>
      <c r="QVZ1638" s="21"/>
      <c r="QWA1638" s="21"/>
      <c r="QWB1638" s="21"/>
      <c r="QWC1638" s="21"/>
      <c r="QWD1638" s="21"/>
      <c r="QWE1638" s="21"/>
      <c r="QWF1638" s="21"/>
      <c r="QWG1638" s="21"/>
      <c r="QWH1638" s="21"/>
      <c r="QWI1638" s="21"/>
      <c r="QWJ1638" s="21"/>
      <c r="QWK1638" s="21"/>
      <c r="QWL1638" s="21"/>
      <c r="QWM1638" s="21"/>
      <c r="QWN1638" s="21"/>
      <c r="QWO1638" s="21"/>
      <c r="QWP1638" s="21"/>
      <c r="QWQ1638" s="21"/>
      <c r="QWR1638" s="21"/>
      <c r="QWS1638" s="21"/>
      <c r="QWT1638" s="21"/>
      <c r="QWU1638" s="21"/>
      <c r="QWV1638" s="21"/>
      <c r="QWW1638" s="21"/>
      <c r="QWX1638" s="21"/>
      <c r="QWY1638" s="21"/>
      <c r="QWZ1638" s="21"/>
      <c r="QXA1638" s="21"/>
      <c r="QXB1638" s="21"/>
      <c r="QXC1638" s="21"/>
      <c r="QXD1638" s="21"/>
      <c r="QXE1638" s="21"/>
      <c r="QXF1638" s="21"/>
      <c r="QXG1638" s="21"/>
      <c r="QXH1638" s="21"/>
      <c r="QXI1638" s="21"/>
      <c r="QXJ1638" s="21"/>
      <c r="QXK1638" s="21"/>
      <c r="QXL1638" s="21"/>
      <c r="QXM1638" s="21"/>
      <c r="QXN1638" s="21"/>
      <c r="QXO1638" s="21"/>
      <c r="QXP1638" s="21"/>
      <c r="QXQ1638" s="21"/>
      <c r="QXR1638" s="21"/>
      <c r="QXS1638" s="21"/>
      <c r="QXT1638" s="21"/>
      <c r="QXU1638" s="21"/>
      <c r="QXV1638" s="21"/>
      <c r="QXW1638" s="21"/>
      <c r="QXX1638" s="21"/>
      <c r="QXY1638" s="21"/>
      <c r="QXZ1638" s="21"/>
      <c r="QYA1638" s="21"/>
      <c r="QYB1638" s="21"/>
      <c r="QYC1638" s="21"/>
      <c r="QYD1638" s="21"/>
      <c r="QYE1638" s="21"/>
      <c r="QYF1638" s="21"/>
      <c r="QYG1638" s="21"/>
      <c r="QYH1638" s="21"/>
      <c r="QYI1638" s="21"/>
      <c r="QYJ1638" s="21"/>
      <c r="QYK1638" s="21"/>
      <c r="QYL1638" s="21"/>
      <c r="QYM1638" s="21"/>
      <c r="QYN1638" s="21"/>
      <c r="QYO1638" s="21"/>
      <c r="QYP1638" s="21"/>
      <c r="QYQ1638" s="21"/>
      <c r="QYR1638" s="21"/>
      <c r="QYS1638" s="21"/>
      <c r="QYT1638" s="21"/>
      <c r="QYU1638" s="21"/>
      <c r="QYV1638" s="21"/>
      <c r="QYW1638" s="21"/>
      <c r="QYX1638" s="21"/>
      <c r="QYY1638" s="21"/>
      <c r="QYZ1638" s="21"/>
      <c r="QZA1638" s="21"/>
      <c r="QZB1638" s="21"/>
      <c r="QZC1638" s="21"/>
      <c r="QZD1638" s="21"/>
      <c r="QZE1638" s="21"/>
      <c r="QZF1638" s="21"/>
      <c r="QZG1638" s="21"/>
      <c r="QZH1638" s="21"/>
      <c r="QZI1638" s="21"/>
      <c r="QZJ1638" s="21"/>
      <c r="QZK1638" s="21"/>
      <c r="QZL1638" s="21"/>
      <c r="QZM1638" s="21"/>
      <c r="QZN1638" s="21"/>
      <c r="QZO1638" s="21"/>
      <c r="QZP1638" s="21"/>
      <c r="QZQ1638" s="21"/>
      <c r="QZR1638" s="21"/>
      <c r="QZS1638" s="21"/>
      <c r="QZT1638" s="21"/>
      <c r="QZU1638" s="21"/>
      <c r="QZV1638" s="21"/>
      <c r="QZW1638" s="21"/>
      <c r="QZX1638" s="21"/>
      <c r="QZY1638" s="21"/>
      <c r="QZZ1638" s="21"/>
      <c r="RAA1638" s="21"/>
      <c r="RAB1638" s="21"/>
      <c r="RAC1638" s="21"/>
      <c r="RAD1638" s="21"/>
      <c r="RAE1638" s="21"/>
      <c r="RAF1638" s="21"/>
      <c r="RAG1638" s="21"/>
      <c r="RAH1638" s="21"/>
      <c r="RAI1638" s="21"/>
      <c r="RAJ1638" s="21"/>
      <c r="RAK1638" s="21"/>
      <c r="RAL1638" s="21"/>
      <c r="RAM1638" s="21"/>
      <c r="RAN1638" s="21"/>
      <c r="RAO1638" s="21"/>
      <c r="RAP1638" s="21"/>
      <c r="RAQ1638" s="21"/>
      <c r="RAR1638" s="21"/>
      <c r="RAS1638" s="21"/>
      <c r="RAT1638" s="21"/>
      <c r="RAU1638" s="21"/>
      <c r="RAV1638" s="21"/>
      <c r="RAW1638" s="21"/>
      <c r="RAX1638" s="21"/>
      <c r="RAY1638" s="21"/>
      <c r="RAZ1638" s="21"/>
      <c r="RBA1638" s="21"/>
      <c r="RBB1638" s="21"/>
      <c r="RBC1638" s="21"/>
      <c r="RBD1638" s="21"/>
      <c r="RBE1638" s="21"/>
      <c r="RBF1638" s="21"/>
      <c r="RBG1638" s="21"/>
      <c r="RBH1638" s="21"/>
      <c r="RBI1638" s="21"/>
      <c r="RBJ1638" s="21"/>
      <c r="RBK1638" s="21"/>
      <c r="RBL1638" s="21"/>
      <c r="RBM1638" s="21"/>
      <c r="RBN1638" s="21"/>
      <c r="RBO1638" s="21"/>
      <c r="RBP1638" s="21"/>
      <c r="RBQ1638" s="21"/>
      <c r="RBR1638" s="21"/>
      <c r="RBS1638" s="21"/>
      <c r="RBT1638" s="21"/>
      <c r="RBU1638" s="21"/>
      <c r="RBV1638" s="21"/>
      <c r="RBW1638" s="21"/>
      <c r="RBX1638" s="21"/>
      <c r="RBY1638" s="21"/>
      <c r="RBZ1638" s="21"/>
      <c r="RCA1638" s="21"/>
      <c r="RCB1638" s="21"/>
      <c r="RCC1638" s="21"/>
      <c r="RCD1638" s="21"/>
      <c r="RCE1638" s="21"/>
      <c r="RCF1638" s="21"/>
      <c r="RCG1638" s="21"/>
      <c r="RCH1638" s="21"/>
      <c r="RCI1638" s="21"/>
      <c r="RCJ1638" s="21"/>
      <c r="RCK1638" s="21"/>
      <c r="RCL1638" s="21"/>
      <c r="RCM1638" s="21"/>
      <c r="RCN1638" s="21"/>
      <c r="RCO1638" s="21"/>
      <c r="RCP1638" s="21"/>
      <c r="RCQ1638" s="21"/>
      <c r="RCR1638" s="21"/>
      <c r="RCS1638" s="21"/>
      <c r="RCT1638" s="21"/>
      <c r="RCU1638" s="21"/>
      <c r="RCV1638" s="21"/>
      <c r="RCW1638" s="21"/>
      <c r="RCX1638" s="21"/>
      <c r="RCY1638" s="21"/>
      <c r="RCZ1638" s="21"/>
      <c r="RDA1638" s="21"/>
      <c r="RDB1638" s="21"/>
      <c r="RDC1638" s="21"/>
      <c r="RDD1638" s="21"/>
      <c r="RDE1638" s="21"/>
      <c r="RDF1638" s="21"/>
      <c r="RDG1638" s="21"/>
      <c r="RDH1638" s="21"/>
      <c r="RDI1638" s="21"/>
      <c r="RDJ1638" s="21"/>
      <c r="RDK1638" s="21"/>
      <c r="RDL1638" s="21"/>
      <c r="RDM1638" s="21"/>
      <c r="RDN1638" s="21"/>
      <c r="RDO1638" s="21"/>
      <c r="RDP1638" s="21"/>
      <c r="RDQ1638" s="21"/>
      <c r="RDR1638" s="21"/>
      <c r="RDS1638" s="21"/>
      <c r="RDT1638" s="21"/>
      <c r="RDU1638" s="21"/>
      <c r="RDV1638" s="21"/>
      <c r="RDW1638" s="21"/>
      <c r="RDX1638" s="21"/>
      <c r="RDY1638" s="21"/>
      <c r="RDZ1638" s="21"/>
      <c r="REA1638" s="21"/>
      <c r="REB1638" s="21"/>
      <c r="REC1638" s="21"/>
      <c r="RED1638" s="21"/>
      <c r="REE1638" s="21"/>
      <c r="REF1638" s="21"/>
      <c r="REG1638" s="21"/>
      <c r="REH1638" s="21"/>
      <c r="REI1638" s="21"/>
      <c r="REJ1638" s="21"/>
      <c r="REK1638" s="21"/>
      <c r="REL1638" s="21"/>
      <c r="REM1638" s="21"/>
      <c r="REN1638" s="21"/>
      <c r="REO1638" s="21"/>
      <c r="REP1638" s="21"/>
      <c r="REQ1638" s="21"/>
      <c r="RER1638" s="21"/>
      <c r="RES1638" s="21"/>
      <c r="RET1638" s="21"/>
      <c r="REU1638" s="21"/>
      <c r="REV1638" s="21"/>
      <c r="REW1638" s="21"/>
      <c r="REX1638" s="21"/>
      <c r="REY1638" s="21"/>
      <c r="REZ1638" s="21"/>
      <c r="RFA1638" s="21"/>
      <c r="RFB1638" s="21"/>
      <c r="RFC1638" s="21"/>
      <c r="RFD1638" s="21"/>
      <c r="RFE1638" s="21"/>
      <c r="RFF1638" s="21"/>
      <c r="RFG1638" s="21"/>
      <c r="RFH1638" s="21"/>
      <c r="RFI1638" s="21"/>
      <c r="RFJ1638" s="21"/>
      <c r="RFK1638" s="21"/>
      <c r="RFL1638" s="21"/>
      <c r="RFM1638" s="21"/>
      <c r="RFN1638" s="21"/>
      <c r="RFO1638" s="21"/>
      <c r="RFP1638" s="21"/>
      <c r="RFQ1638" s="21"/>
      <c r="RFR1638" s="21"/>
      <c r="RFS1638" s="21"/>
      <c r="RFT1638" s="21"/>
      <c r="RFU1638" s="21"/>
      <c r="RFV1638" s="21"/>
      <c r="RFW1638" s="21"/>
      <c r="RFX1638" s="21"/>
      <c r="RFY1638" s="21"/>
      <c r="RFZ1638" s="21"/>
      <c r="RGA1638" s="21"/>
      <c r="RGB1638" s="21"/>
      <c r="RGC1638" s="21"/>
      <c r="RGD1638" s="21"/>
      <c r="RGE1638" s="21"/>
      <c r="RGF1638" s="21"/>
      <c r="RGG1638" s="21"/>
      <c r="RGH1638" s="21"/>
      <c r="RGI1638" s="21"/>
      <c r="RGJ1638" s="21"/>
      <c r="RGK1638" s="21"/>
      <c r="RGL1638" s="21"/>
      <c r="RGM1638" s="21"/>
      <c r="RGN1638" s="21"/>
      <c r="RGO1638" s="21"/>
      <c r="RGP1638" s="21"/>
      <c r="RGQ1638" s="21"/>
      <c r="RGR1638" s="21"/>
      <c r="RGS1638" s="21"/>
      <c r="RGT1638" s="21"/>
      <c r="RGU1638" s="21"/>
      <c r="RGV1638" s="21"/>
      <c r="RGW1638" s="21"/>
      <c r="RGX1638" s="21"/>
      <c r="RGY1638" s="21"/>
      <c r="RGZ1638" s="21"/>
      <c r="RHA1638" s="21"/>
      <c r="RHB1638" s="21"/>
      <c r="RHC1638" s="21"/>
      <c r="RHD1638" s="21"/>
      <c r="RHE1638" s="21"/>
      <c r="RHF1638" s="21"/>
      <c r="RHG1638" s="21"/>
      <c r="RHH1638" s="21"/>
      <c r="RHI1638" s="21"/>
      <c r="RHJ1638" s="21"/>
      <c r="RHK1638" s="21"/>
      <c r="RHL1638" s="21"/>
      <c r="RHM1638" s="21"/>
      <c r="RHN1638" s="21"/>
      <c r="RHO1638" s="21"/>
      <c r="RHP1638" s="21"/>
      <c r="RHQ1638" s="21"/>
      <c r="RHR1638" s="21"/>
      <c r="RHS1638" s="21"/>
      <c r="RHT1638" s="21"/>
      <c r="RHU1638" s="21"/>
      <c r="RHV1638" s="21"/>
      <c r="RHW1638" s="21"/>
      <c r="RHX1638" s="21"/>
      <c r="RHY1638" s="21"/>
      <c r="RHZ1638" s="21"/>
      <c r="RIA1638" s="21"/>
      <c r="RIB1638" s="21"/>
      <c r="RIC1638" s="21"/>
      <c r="RID1638" s="21"/>
      <c r="RIE1638" s="21"/>
      <c r="RIF1638" s="21"/>
      <c r="RIG1638" s="21"/>
      <c r="RIH1638" s="21"/>
      <c r="RII1638" s="21"/>
      <c r="RIJ1638" s="21"/>
      <c r="RIK1638" s="21"/>
      <c r="RIL1638" s="21"/>
      <c r="RIM1638" s="21"/>
      <c r="RIN1638" s="21"/>
      <c r="RIO1638" s="21"/>
      <c r="RIP1638" s="21"/>
      <c r="RIQ1638" s="21"/>
      <c r="RIR1638" s="21"/>
      <c r="RIS1638" s="21"/>
      <c r="RIT1638" s="21"/>
      <c r="RIU1638" s="21"/>
      <c r="RIV1638" s="21"/>
      <c r="RIW1638" s="21"/>
      <c r="RIX1638" s="21"/>
      <c r="RIY1638" s="21"/>
      <c r="RIZ1638" s="21"/>
      <c r="RJA1638" s="21"/>
      <c r="RJB1638" s="21"/>
      <c r="RJC1638" s="21"/>
      <c r="RJD1638" s="21"/>
      <c r="RJE1638" s="21"/>
      <c r="RJF1638" s="21"/>
      <c r="RJG1638" s="21"/>
      <c r="RJH1638" s="21"/>
      <c r="RJI1638" s="21"/>
      <c r="RJJ1638" s="21"/>
      <c r="RJK1638" s="21"/>
      <c r="RJL1638" s="21"/>
      <c r="RJM1638" s="21"/>
      <c r="RJN1638" s="21"/>
      <c r="RJO1638" s="21"/>
      <c r="RJP1638" s="21"/>
      <c r="RJQ1638" s="21"/>
      <c r="RJR1638" s="21"/>
      <c r="RJS1638" s="21"/>
      <c r="RJT1638" s="21"/>
      <c r="RJU1638" s="21"/>
      <c r="RJV1638" s="21"/>
      <c r="RJW1638" s="21"/>
      <c r="RJX1638" s="21"/>
      <c r="RJY1638" s="21"/>
      <c r="RJZ1638" s="21"/>
      <c r="RKA1638" s="21"/>
      <c r="RKB1638" s="21"/>
      <c r="RKC1638" s="21"/>
      <c r="RKD1638" s="21"/>
      <c r="RKE1638" s="21"/>
      <c r="RKF1638" s="21"/>
      <c r="RKG1638" s="21"/>
      <c r="RKH1638" s="21"/>
      <c r="RKI1638" s="21"/>
      <c r="RKJ1638" s="21"/>
      <c r="RKK1638" s="21"/>
      <c r="RKL1638" s="21"/>
      <c r="RKM1638" s="21"/>
      <c r="RKN1638" s="21"/>
      <c r="RKO1638" s="21"/>
      <c r="RKP1638" s="21"/>
      <c r="RKQ1638" s="21"/>
      <c r="RKR1638" s="21"/>
      <c r="RKS1638" s="21"/>
      <c r="RKT1638" s="21"/>
      <c r="RKU1638" s="21"/>
      <c r="RKV1638" s="21"/>
      <c r="RKW1638" s="21"/>
      <c r="RKX1638" s="21"/>
      <c r="RKY1638" s="21"/>
      <c r="RKZ1638" s="21"/>
      <c r="RLA1638" s="21"/>
      <c r="RLB1638" s="21"/>
      <c r="RLC1638" s="21"/>
      <c r="RLD1638" s="21"/>
      <c r="RLE1638" s="21"/>
      <c r="RLF1638" s="21"/>
      <c r="RLG1638" s="21"/>
      <c r="RLH1638" s="21"/>
      <c r="RLI1638" s="21"/>
      <c r="RLJ1638" s="21"/>
      <c r="RLK1638" s="21"/>
      <c r="RLL1638" s="21"/>
      <c r="RLM1638" s="21"/>
      <c r="RLN1638" s="21"/>
      <c r="RLO1638" s="21"/>
      <c r="RLP1638" s="21"/>
      <c r="RLQ1638" s="21"/>
      <c r="RLR1638" s="21"/>
      <c r="RLS1638" s="21"/>
      <c r="RLT1638" s="21"/>
      <c r="RLU1638" s="21"/>
      <c r="RLV1638" s="21"/>
      <c r="RLW1638" s="21"/>
      <c r="RLX1638" s="21"/>
      <c r="RLY1638" s="21"/>
      <c r="RLZ1638" s="21"/>
      <c r="RMA1638" s="21"/>
      <c r="RMB1638" s="21"/>
      <c r="RMC1638" s="21"/>
      <c r="RMD1638" s="21"/>
      <c r="RME1638" s="21"/>
      <c r="RMF1638" s="21"/>
      <c r="RMG1638" s="21"/>
      <c r="RMH1638" s="21"/>
      <c r="RMI1638" s="21"/>
      <c r="RMJ1638" s="21"/>
      <c r="RMK1638" s="21"/>
      <c r="RML1638" s="21"/>
      <c r="RMM1638" s="21"/>
      <c r="RMN1638" s="21"/>
      <c r="RMO1638" s="21"/>
      <c r="RMP1638" s="21"/>
      <c r="RMQ1638" s="21"/>
      <c r="RMR1638" s="21"/>
      <c r="RMS1638" s="21"/>
      <c r="RMT1638" s="21"/>
      <c r="RMU1638" s="21"/>
      <c r="RMV1638" s="21"/>
      <c r="RMW1638" s="21"/>
      <c r="RMX1638" s="21"/>
      <c r="RMY1638" s="21"/>
      <c r="RMZ1638" s="21"/>
      <c r="RNA1638" s="21"/>
      <c r="RNB1638" s="21"/>
      <c r="RNC1638" s="21"/>
      <c r="RND1638" s="21"/>
      <c r="RNE1638" s="21"/>
      <c r="RNF1638" s="21"/>
      <c r="RNG1638" s="21"/>
      <c r="RNH1638" s="21"/>
      <c r="RNI1638" s="21"/>
      <c r="RNJ1638" s="21"/>
      <c r="RNK1638" s="21"/>
      <c r="RNL1638" s="21"/>
      <c r="RNM1638" s="21"/>
      <c r="RNN1638" s="21"/>
      <c r="RNO1638" s="21"/>
      <c r="RNP1638" s="21"/>
      <c r="RNQ1638" s="21"/>
      <c r="RNR1638" s="21"/>
      <c r="RNS1638" s="21"/>
      <c r="RNT1638" s="21"/>
      <c r="RNU1638" s="21"/>
      <c r="RNV1638" s="21"/>
      <c r="RNW1638" s="21"/>
      <c r="RNX1638" s="21"/>
      <c r="RNY1638" s="21"/>
      <c r="RNZ1638" s="21"/>
      <c r="ROA1638" s="21"/>
      <c r="ROB1638" s="21"/>
      <c r="ROC1638" s="21"/>
      <c r="ROD1638" s="21"/>
      <c r="ROE1638" s="21"/>
      <c r="ROF1638" s="21"/>
      <c r="ROG1638" s="21"/>
      <c r="ROH1638" s="21"/>
      <c r="ROI1638" s="21"/>
      <c r="ROJ1638" s="21"/>
      <c r="ROK1638" s="21"/>
      <c r="ROL1638" s="21"/>
      <c r="ROM1638" s="21"/>
      <c r="RON1638" s="21"/>
      <c r="ROO1638" s="21"/>
      <c r="ROP1638" s="21"/>
      <c r="ROQ1638" s="21"/>
      <c r="ROR1638" s="21"/>
      <c r="ROS1638" s="21"/>
      <c r="ROT1638" s="21"/>
      <c r="ROU1638" s="21"/>
      <c r="ROV1638" s="21"/>
      <c r="ROW1638" s="21"/>
      <c r="ROX1638" s="21"/>
      <c r="ROY1638" s="21"/>
      <c r="ROZ1638" s="21"/>
      <c r="RPA1638" s="21"/>
      <c r="RPB1638" s="21"/>
      <c r="RPC1638" s="21"/>
      <c r="RPD1638" s="21"/>
      <c r="RPE1638" s="21"/>
      <c r="RPF1638" s="21"/>
      <c r="RPG1638" s="21"/>
      <c r="RPH1638" s="21"/>
      <c r="RPI1638" s="21"/>
      <c r="RPJ1638" s="21"/>
      <c r="RPK1638" s="21"/>
      <c r="RPL1638" s="21"/>
      <c r="RPM1638" s="21"/>
      <c r="RPN1638" s="21"/>
      <c r="RPO1638" s="21"/>
      <c r="RPP1638" s="21"/>
      <c r="RPQ1638" s="21"/>
      <c r="RPR1638" s="21"/>
      <c r="RPS1638" s="21"/>
      <c r="RPT1638" s="21"/>
      <c r="RPU1638" s="21"/>
      <c r="RPV1638" s="21"/>
      <c r="RPW1638" s="21"/>
      <c r="RPX1638" s="21"/>
      <c r="RPY1638" s="21"/>
      <c r="RPZ1638" s="21"/>
      <c r="RQA1638" s="21"/>
      <c r="RQB1638" s="21"/>
      <c r="RQC1638" s="21"/>
      <c r="RQD1638" s="21"/>
      <c r="RQE1638" s="21"/>
      <c r="RQF1638" s="21"/>
      <c r="RQG1638" s="21"/>
      <c r="RQH1638" s="21"/>
      <c r="RQI1638" s="21"/>
      <c r="RQJ1638" s="21"/>
      <c r="RQK1638" s="21"/>
      <c r="RQL1638" s="21"/>
      <c r="RQM1638" s="21"/>
      <c r="RQN1638" s="21"/>
      <c r="RQO1638" s="21"/>
      <c r="RQP1638" s="21"/>
      <c r="RQQ1638" s="21"/>
      <c r="RQR1638" s="21"/>
      <c r="RQS1638" s="21"/>
      <c r="RQT1638" s="21"/>
      <c r="RQU1638" s="21"/>
      <c r="RQV1638" s="21"/>
      <c r="RQW1638" s="21"/>
      <c r="RQX1638" s="21"/>
      <c r="RQY1638" s="21"/>
      <c r="RQZ1638" s="21"/>
      <c r="RRA1638" s="21"/>
      <c r="RRB1638" s="21"/>
      <c r="RRC1638" s="21"/>
      <c r="RRD1638" s="21"/>
      <c r="RRE1638" s="21"/>
      <c r="RRF1638" s="21"/>
      <c r="RRG1638" s="21"/>
      <c r="RRH1638" s="21"/>
      <c r="RRI1638" s="21"/>
      <c r="RRJ1638" s="21"/>
      <c r="RRK1638" s="21"/>
      <c r="RRL1638" s="21"/>
      <c r="RRM1638" s="21"/>
      <c r="RRN1638" s="21"/>
      <c r="RRO1638" s="21"/>
      <c r="RRP1638" s="21"/>
      <c r="RRQ1638" s="21"/>
      <c r="RRR1638" s="21"/>
      <c r="RRS1638" s="21"/>
      <c r="RRT1638" s="21"/>
      <c r="RRU1638" s="21"/>
      <c r="RRV1638" s="21"/>
      <c r="RRW1638" s="21"/>
      <c r="RRX1638" s="21"/>
      <c r="RRY1638" s="21"/>
      <c r="RRZ1638" s="21"/>
      <c r="RSA1638" s="21"/>
      <c r="RSB1638" s="21"/>
      <c r="RSC1638" s="21"/>
      <c r="RSD1638" s="21"/>
      <c r="RSE1638" s="21"/>
      <c r="RSF1638" s="21"/>
      <c r="RSG1638" s="21"/>
      <c r="RSH1638" s="21"/>
      <c r="RSI1638" s="21"/>
      <c r="RSJ1638" s="21"/>
      <c r="RSK1638" s="21"/>
      <c r="RSL1638" s="21"/>
      <c r="RSM1638" s="21"/>
      <c r="RSN1638" s="21"/>
      <c r="RSO1638" s="21"/>
      <c r="RSP1638" s="21"/>
      <c r="RSQ1638" s="21"/>
      <c r="RSR1638" s="21"/>
      <c r="RSS1638" s="21"/>
      <c r="RST1638" s="21"/>
      <c r="RSU1638" s="21"/>
      <c r="RSV1638" s="21"/>
      <c r="RSW1638" s="21"/>
      <c r="RSX1638" s="21"/>
      <c r="RSY1638" s="21"/>
      <c r="RSZ1638" s="21"/>
      <c r="RTA1638" s="21"/>
      <c r="RTB1638" s="21"/>
      <c r="RTC1638" s="21"/>
      <c r="RTD1638" s="21"/>
      <c r="RTE1638" s="21"/>
      <c r="RTF1638" s="21"/>
      <c r="RTG1638" s="21"/>
      <c r="RTH1638" s="21"/>
      <c r="RTI1638" s="21"/>
      <c r="RTJ1638" s="21"/>
      <c r="RTK1638" s="21"/>
      <c r="RTL1638" s="21"/>
      <c r="RTM1638" s="21"/>
      <c r="RTN1638" s="21"/>
      <c r="RTO1638" s="21"/>
      <c r="RTP1638" s="21"/>
      <c r="RTQ1638" s="21"/>
      <c r="RTR1638" s="21"/>
      <c r="RTS1638" s="21"/>
      <c r="RTT1638" s="21"/>
      <c r="RTU1638" s="21"/>
      <c r="RTV1638" s="21"/>
      <c r="RTW1638" s="21"/>
      <c r="RTX1638" s="21"/>
      <c r="RTY1638" s="21"/>
      <c r="RTZ1638" s="21"/>
      <c r="RUA1638" s="21"/>
      <c r="RUB1638" s="21"/>
      <c r="RUC1638" s="21"/>
      <c r="RUD1638" s="21"/>
      <c r="RUE1638" s="21"/>
      <c r="RUF1638" s="21"/>
      <c r="RUG1638" s="21"/>
      <c r="RUH1638" s="21"/>
      <c r="RUI1638" s="21"/>
      <c r="RUJ1638" s="21"/>
      <c r="RUK1638" s="21"/>
      <c r="RUL1638" s="21"/>
      <c r="RUM1638" s="21"/>
      <c r="RUN1638" s="21"/>
      <c r="RUO1638" s="21"/>
      <c r="RUP1638" s="21"/>
      <c r="RUQ1638" s="21"/>
      <c r="RUR1638" s="21"/>
      <c r="RUS1638" s="21"/>
      <c r="RUT1638" s="21"/>
      <c r="RUU1638" s="21"/>
      <c r="RUV1638" s="21"/>
      <c r="RUW1638" s="21"/>
      <c r="RUX1638" s="21"/>
      <c r="RUY1638" s="21"/>
      <c r="RUZ1638" s="21"/>
      <c r="RVA1638" s="21"/>
      <c r="RVB1638" s="21"/>
      <c r="RVC1638" s="21"/>
      <c r="RVD1638" s="21"/>
      <c r="RVE1638" s="21"/>
      <c r="RVF1638" s="21"/>
      <c r="RVG1638" s="21"/>
      <c r="RVH1638" s="21"/>
      <c r="RVI1638" s="21"/>
      <c r="RVJ1638" s="21"/>
      <c r="RVK1638" s="21"/>
      <c r="RVL1638" s="21"/>
      <c r="RVM1638" s="21"/>
      <c r="RVN1638" s="21"/>
      <c r="RVO1638" s="21"/>
      <c r="RVP1638" s="21"/>
      <c r="RVQ1638" s="21"/>
      <c r="RVR1638" s="21"/>
      <c r="RVS1638" s="21"/>
      <c r="RVT1638" s="21"/>
      <c r="RVU1638" s="21"/>
      <c r="RVV1638" s="21"/>
      <c r="RVW1638" s="21"/>
      <c r="RVX1638" s="21"/>
      <c r="RVY1638" s="21"/>
      <c r="RVZ1638" s="21"/>
      <c r="RWA1638" s="21"/>
      <c r="RWB1638" s="21"/>
      <c r="RWC1638" s="21"/>
      <c r="RWD1638" s="21"/>
      <c r="RWE1638" s="21"/>
      <c r="RWF1638" s="21"/>
      <c r="RWG1638" s="21"/>
      <c r="RWH1638" s="21"/>
      <c r="RWI1638" s="21"/>
      <c r="RWJ1638" s="21"/>
      <c r="RWK1638" s="21"/>
      <c r="RWL1638" s="21"/>
      <c r="RWM1638" s="21"/>
      <c r="RWN1638" s="21"/>
      <c r="RWO1638" s="21"/>
      <c r="RWP1638" s="21"/>
      <c r="RWQ1638" s="21"/>
      <c r="RWR1638" s="21"/>
      <c r="RWS1638" s="21"/>
      <c r="RWT1638" s="21"/>
      <c r="RWU1638" s="21"/>
      <c r="RWV1638" s="21"/>
      <c r="RWW1638" s="21"/>
      <c r="RWX1638" s="21"/>
      <c r="RWY1638" s="21"/>
      <c r="RWZ1638" s="21"/>
      <c r="RXA1638" s="21"/>
      <c r="RXB1638" s="21"/>
      <c r="RXC1638" s="21"/>
      <c r="RXD1638" s="21"/>
      <c r="RXE1638" s="21"/>
      <c r="RXF1638" s="21"/>
      <c r="RXG1638" s="21"/>
      <c r="RXH1638" s="21"/>
      <c r="RXI1638" s="21"/>
      <c r="RXJ1638" s="21"/>
      <c r="RXK1638" s="21"/>
      <c r="RXL1638" s="21"/>
      <c r="RXM1638" s="21"/>
      <c r="RXN1638" s="21"/>
      <c r="RXO1638" s="21"/>
      <c r="RXP1638" s="21"/>
      <c r="RXQ1638" s="21"/>
      <c r="RXR1638" s="21"/>
      <c r="RXS1638" s="21"/>
      <c r="RXT1638" s="21"/>
      <c r="RXU1638" s="21"/>
      <c r="RXV1638" s="21"/>
      <c r="RXW1638" s="21"/>
      <c r="RXX1638" s="21"/>
      <c r="RXY1638" s="21"/>
      <c r="RXZ1638" s="21"/>
      <c r="RYA1638" s="21"/>
      <c r="RYB1638" s="21"/>
      <c r="RYC1638" s="21"/>
      <c r="RYD1638" s="21"/>
      <c r="RYE1638" s="21"/>
      <c r="RYF1638" s="21"/>
      <c r="RYG1638" s="21"/>
      <c r="RYH1638" s="21"/>
      <c r="RYI1638" s="21"/>
      <c r="RYJ1638" s="21"/>
      <c r="RYK1638" s="21"/>
      <c r="RYL1638" s="21"/>
      <c r="RYM1638" s="21"/>
      <c r="RYN1638" s="21"/>
      <c r="RYO1638" s="21"/>
      <c r="RYP1638" s="21"/>
      <c r="RYQ1638" s="21"/>
      <c r="RYR1638" s="21"/>
      <c r="RYS1638" s="21"/>
      <c r="RYT1638" s="21"/>
      <c r="RYU1638" s="21"/>
      <c r="RYV1638" s="21"/>
      <c r="RYW1638" s="21"/>
      <c r="RYX1638" s="21"/>
      <c r="RYY1638" s="21"/>
      <c r="RYZ1638" s="21"/>
      <c r="RZA1638" s="21"/>
      <c r="RZB1638" s="21"/>
      <c r="RZC1638" s="21"/>
      <c r="RZD1638" s="21"/>
      <c r="RZE1638" s="21"/>
      <c r="RZF1638" s="21"/>
      <c r="RZG1638" s="21"/>
      <c r="RZH1638" s="21"/>
      <c r="RZI1638" s="21"/>
      <c r="RZJ1638" s="21"/>
      <c r="RZK1638" s="21"/>
      <c r="RZL1638" s="21"/>
      <c r="RZM1638" s="21"/>
      <c r="RZN1638" s="21"/>
      <c r="RZO1638" s="21"/>
      <c r="RZP1638" s="21"/>
      <c r="RZQ1638" s="21"/>
      <c r="RZR1638" s="21"/>
      <c r="RZS1638" s="21"/>
      <c r="RZT1638" s="21"/>
      <c r="RZU1638" s="21"/>
      <c r="RZV1638" s="21"/>
      <c r="RZW1638" s="21"/>
      <c r="RZX1638" s="21"/>
      <c r="RZY1638" s="21"/>
      <c r="RZZ1638" s="21"/>
      <c r="SAA1638" s="21"/>
      <c r="SAB1638" s="21"/>
      <c r="SAC1638" s="21"/>
      <c r="SAD1638" s="21"/>
      <c r="SAE1638" s="21"/>
      <c r="SAF1638" s="21"/>
      <c r="SAG1638" s="21"/>
      <c r="SAH1638" s="21"/>
      <c r="SAI1638" s="21"/>
      <c r="SAJ1638" s="21"/>
      <c r="SAK1638" s="21"/>
      <c r="SAL1638" s="21"/>
      <c r="SAM1638" s="21"/>
      <c r="SAN1638" s="21"/>
      <c r="SAO1638" s="21"/>
      <c r="SAP1638" s="21"/>
      <c r="SAQ1638" s="21"/>
      <c r="SAR1638" s="21"/>
      <c r="SAS1638" s="21"/>
      <c r="SAT1638" s="21"/>
      <c r="SAU1638" s="21"/>
      <c r="SAV1638" s="21"/>
      <c r="SAW1638" s="21"/>
      <c r="SAX1638" s="21"/>
      <c r="SAY1638" s="21"/>
      <c r="SAZ1638" s="21"/>
      <c r="SBA1638" s="21"/>
      <c r="SBB1638" s="21"/>
      <c r="SBC1638" s="21"/>
      <c r="SBD1638" s="21"/>
      <c r="SBE1638" s="21"/>
      <c r="SBF1638" s="21"/>
      <c r="SBG1638" s="21"/>
      <c r="SBH1638" s="21"/>
      <c r="SBI1638" s="21"/>
      <c r="SBJ1638" s="21"/>
      <c r="SBK1638" s="21"/>
      <c r="SBL1638" s="21"/>
      <c r="SBM1638" s="21"/>
      <c r="SBN1638" s="21"/>
      <c r="SBO1638" s="21"/>
      <c r="SBP1638" s="21"/>
      <c r="SBQ1638" s="21"/>
      <c r="SBR1638" s="21"/>
      <c r="SBS1638" s="21"/>
      <c r="SBT1638" s="21"/>
      <c r="SBU1638" s="21"/>
      <c r="SBV1638" s="21"/>
      <c r="SBW1638" s="21"/>
      <c r="SBX1638" s="21"/>
      <c r="SBY1638" s="21"/>
      <c r="SBZ1638" s="21"/>
      <c r="SCA1638" s="21"/>
      <c r="SCB1638" s="21"/>
      <c r="SCC1638" s="21"/>
      <c r="SCD1638" s="21"/>
      <c r="SCE1638" s="21"/>
      <c r="SCF1638" s="21"/>
      <c r="SCG1638" s="21"/>
      <c r="SCH1638" s="21"/>
      <c r="SCI1638" s="21"/>
      <c r="SCJ1638" s="21"/>
      <c r="SCK1638" s="21"/>
      <c r="SCL1638" s="21"/>
      <c r="SCM1638" s="21"/>
      <c r="SCN1638" s="21"/>
      <c r="SCO1638" s="21"/>
      <c r="SCP1638" s="21"/>
      <c r="SCQ1638" s="21"/>
      <c r="SCR1638" s="21"/>
      <c r="SCS1638" s="21"/>
      <c r="SCT1638" s="21"/>
      <c r="SCU1638" s="21"/>
      <c r="SCV1638" s="21"/>
      <c r="SCW1638" s="21"/>
      <c r="SCX1638" s="21"/>
      <c r="SCY1638" s="21"/>
      <c r="SCZ1638" s="21"/>
      <c r="SDA1638" s="21"/>
      <c r="SDB1638" s="21"/>
      <c r="SDC1638" s="21"/>
      <c r="SDD1638" s="21"/>
      <c r="SDE1638" s="21"/>
      <c r="SDF1638" s="21"/>
      <c r="SDG1638" s="21"/>
      <c r="SDH1638" s="21"/>
      <c r="SDI1638" s="21"/>
      <c r="SDJ1638" s="21"/>
      <c r="SDK1638" s="21"/>
      <c r="SDL1638" s="21"/>
      <c r="SDM1638" s="21"/>
      <c r="SDN1638" s="21"/>
      <c r="SDO1638" s="21"/>
      <c r="SDP1638" s="21"/>
      <c r="SDQ1638" s="21"/>
      <c r="SDR1638" s="21"/>
      <c r="SDS1638" s="21"/>
      <c r="SDT1638" s="21"/>
      <c r="SDU1638" s="21"/>
      <c r="SDV1638" s="21"/>
      <c r="SDW1638" s="21"/>
      <c r="SDX1638" s="21"/>
      <c r="SDY1638" s="21"/>
      <c r="SDZ1638" s="21"/>
      <c r="SEA1638" s="21"/>
      <c r="SEB1638" s="21"/>
      <c r="SEC1638" s="21"/>
      <c r="SED1638" s="21"/>
      <c r="SEE1638" s="21"/>
      <c r="SEF1638" s="21"/>
      <c r="SEG1638" s="21"/>
      <c r="SEH1638" s="21"/>
      <c r="SEI1638" s="21"/>
      <c r="SEJ1638" s="21"/>
      <c r="SEK1638" s="21"/>
      <c r="SEL1638" s="21"/>
      <c r="SEM1638" s="21"/>
      <c r="SEN1638" s="21"/>
      <c r="SEO1638" s="21"/>
      <c r="SEP1638" s="21"/>
      <c r="SEQ1638" s="21"/>
      <c r="SER1638" s="21"/>
      <c r="SES1638" s="21"/>
      <c r="SET1638" s="21"/>
      <c r="SEU1638" s="21"/>
      <c r="SEV1638" s="21"/>
      <c r="SEW1638" s="21"/>
      <c r="SEX1638" s="21"/>
      <c r="SEY1638" s="21"/>
      <c r="SEZ1638" s="21"/>
      <c r="SFA1638" s="21"/>
      <c r="SFB1638" s="21"/>
      <c r="SFC1638" s="21"/>
      <c r="SFD1638" s="21"/>
      <c r="SFE1638" s="21"/>
      <c r="SFF1638" s="21"/>
      <c r="SFG1638" s="21"/>
      <c r="SFH1638" s="21"/>
      <c r="SFI1638" s="21"/>
      <c r="SFJ1638" s="21"/>
      <c r="SFK1638" s="21"/>
      <c r="SFL1638" s="21"/>
      <c r="SFM1638" s="21"/>
      <c r="SFN1638" s="21"/>
      <c r="SFO1638" s="21"/>
      <c r="SFP1638" s="21"/>
      <c r="SFQ1638" s="21"/>
      <c r="SFR1638" s="21"/>
      <c r="SFS1638" s="21"/>
      <c r="SFT1638" s="21"/>
      <c r="SFU1638" s="21"/>
      <c r="SFV1638" s="21"/>
      <c r="SFW1638" s="21"/>
      <c r="SFX1638" s="21"/>
      <c r="SFY1638" s="21"/>
      <c r="SFZ1638" s="21"/>
      <c r="SGA1638" s="21"/>
      <c r="SGB1638" s="21"/>
      <c r="SGC1638" s="21"/>
      <c r="SGD1638" s="21"/>
      <c r="SGE1638" s="21"/>
      <c r="SGF1638" s="21"/>
      <c r="SGG1638" s="21"/>
      <c r="SGH1638" s="21"/>
      <c r="SGI1638" s="21"/>
      <c r="SGJ1638" s="21"/>
      <c r="SGK1638" s="21"/>
      <c r="SGL1638" s="21"/>
      <c r="SGM1638" s="21"/>
      <c r="SGN1638" s="21"/>
      <c r="SGO1638" s="21"/>
      <c r="SGP1638" s="21"/>
      <c r="SGQ1638" s="21"/>
      <c r="SGR1638" s="21"/>
      <c r="SGS1638" s="21"/>
      <c r="SGT1638" s="21"/>
      <c r="SGU1638" s="21"/>
      <c r="SGV1638" s="21"/>
      <c r="SGW1638" s="21"/>
      <c r="SGX1638" s="21"/>
      <c r="SGY1638" s="21"/>
      <c r="SGZ1638" s="21"/>
      <c r="SHA1638" s="21"/>
      <c r="SHB1638" s="21"/>
      <c r="SHC1638" s="21"/>
      <c r="SHD1638" s="21"/>
      <c r="SHE1638" s="21"/>
      <c r="SHF1638" s="21"/>
      <c r="SHG1638" s="21"/>
      <c r="SHH1638" s="21"/>
      <c r="SHI1638" s="21"/>
      <c r="SHJ1638" s="21"/>
      <c r="SHK1638" s="21"/>
      <c r="SHL1638" s="21"/>
      <c r="SHM1638" s="21"/>
      <c r="SHN1638" s="21"/>
      <c r="SHO1638" s="21"/>
      <c r="SHP1638" s="21"/>
      <c r="SHQ1638" s="21"/>
      <c r="SHR1638" s="21"/>
      <c r="SHS1638" s="21"/>
      <c r="SHT1638" s="21"/>
      <c r="SHU1638" s="21"/>
      <c r="SHV1638" s="21"/>
      <c r="SHW1638" s="21"/>
      <c r="SHX1638" s="21"/>
      <c r="SHY1638" s="21"/>
      <c r="SHZ1638" s="21"/>
      <c r="SIA1638" s="21"/>
      <c r="SIB1638" s="21"/>
      <c r="SIC1638" s="21"/>
      <c r="SID1638" s="21"/>
      <c r="SIE1638" s="21"/>
      <c r="SIF1638" s="21"/>
      <c r="SIG1638" s="21"/>
      <c r="SIH1638" s="21"/>
      <c r="SII1638" s="21"/>
      <c r="SIJ1638" s="21"/>
      <c r="SIK1638" s="21"/>
      <c r="SIL1638" s="21"/>
      <c r="SIM1638" s="21"/>
      <c r="SIN1638" s="21"/>
      <c r="SIO1638" s="21"/>
      <c r="SIP1638" s="21"/>
      <c r="SIQ1638" s="21"/>
      <c r="SIR1638" s="21"/>
      <c r="SIS1638" s="21"/>
      <c r="SIT1638" s="21"/>
      <c r="SIU1638" s="21"/>
      <c r="SIV1638" s="21"/>
      <c r="SIW1638" s="21"/>
      <c r="SIX1638" s="21"/>
      <c r="SIY1638" s="21"/>
      <c r="SIZ1638" s="21"/>
      <c r="SJA1638" s="21"/>
      <c r="SJB1638" s="21"/>
      <c r="SJC1638" s="21"/>
      <c r="SJD1638" s="21"/>
      <c r="SJE1638" s="21"/>
      <c r="SJF1638" s="21"/>
      <c r="SJG1638" s="21"/>
      <c r="SJH1638" s="21"/>
      <c r="SJI1638" s="21"/>
      <c r="SJJ1638" s="21"/>
      <c r="SJK1638" s="21"/>
      <c r="SJL1638" s="21"/>
      <c r="SJM1638" s="21"/>
      <c r="SJN1638" s="21"/>
      <c r="SJO1638" s="21"/>
      <c r="SJP1638" s="21"/>
      <c r="SJQ1638" s="21"/>
      <c r="SJR1638" s="21"/>
      <c r="SJS1638" s="21"/>
      <c r="SJT1638" s="21"/>
      <c r="SJU1638" s="21"/>
      <c r="SJV1638" s="21"/>
      <c r="SJW1638" s="21"/>
      <c r="SJX1638" s="21"/>
      <c r="SJY1638" s="21"/>
      <c r="SJZ1638" s="21"/>
      <c r="SKA1638" s="21"/>
      <c r="SKB1638" s="21"/>
      <c r="SKC1638" s="21"/>
      <c r="SKD1638" s="21"/>
      <c r="SKE1638" s="21"/>
      <c r="SKF1638" s="21"/>
      <c r="SKG1638" s="21"/>
      <c r="SKH1638" s="21"/>
      <c r="SKI1638" s="21"/>
      <c r="SKJ1638" s="21"/>
      <c r="SKK1638" s="21"/>
      <c r="SKL1638" s="21"/>
      <c r="SKM1638" s="21"/>
      <c r="SKN1638" s="21"/>
      <c r="SKO1638" s="21"/>
      <c r="SKP1638" s="21"/>
      <c r="SKQ1638" s="21"/>
      <c r="SKR1638" s="21"/>
      <c r="SKS1638" s="21"/>
      <c r="SKT1638" s="21"/>
      <c r="SKU1638" s="21"/>
      <c r="SKV1638" s="21"/>
      <c r="SKW1638" s="21"/>
      <c r="SKX1638" s="21"/>
      <c r="SKY1638" s="21"/>
      <c r="SKZ1638" s="21"/>
      <c r="SLA1638" s="21"/>
      <c r="SLB1638" s="21"/>
      <c r="SLC1638" s="21"/>
      <c r="SLD1638" s="21"/>
      <c r="SLE1638" s="21"/>
      <c r="SLF1638" s="21"/>
      <c r="SLG1638" s="21"/>
      <c r="SLH1638" s="21"/>
      <c r="SLI1638" s="21"/>
      <c r="SLJ1638" s="21"/>
      <c r="SLK1638" s="21"/>
      <c r="SLL1638" s="21"/>
      <c r="SLM1638" s="21"/>
      <c r="SLN1638" s="21"/>
      <c r="SLO1638" s="21"/>
      <c r="SLP1638" s="21"/>
      <c r="SLQ1638" s="21"/>
      <c r="SLR1638" s="21"/>
      <c r="SLS1638" s="21"/>
      <c r="SLT1638" s="21"/>
      <c r="SLU1638" s="21"/>
      <c r="SLV1638" s="21"/>
      <c r="SLW1638" s="21"/>
      <c r="SLX1638" s="21"/>
      <c r="SLY1638" s="21"/>
      <c r="SLZ1638" s="21"/>
      <c r="SMA1638" s="21"/>
      <c r="SMB1638" s="21"/>
      <c r="SMC1638" s="21"/>
      <c r="SMD1638" s="21"/>
      <c r="SME1638" s="21"/>
      <c r="SMF1638" s="21"/>
      <c r="SMG1638" s="21"/>
      <c r="SMH1638" s="21"/>
      <c r="SMI1638" s="21"/>
      <c r="SMJ1638" s="21"/>
      <c r="SMK1638" s="21"/>
      <c r="SML1638" s="21"/>
      <c r="SMM1638" s="21"/>
      <c r="SMN1638" s="21"/>
      <c r="SMO1638" s="21"/>
      <c r="SMP1638" s="21"/>
      <c r="SMQ1638" s="21"/>
      <c r="SMR1638" s="21"/>
      <c r="SMS1638" s="21"/>
      <c r="SMT1638" s="21"/>
      <c r="SMU1638" s="21"/>
      <c r="SMV1638" s="21"/>
      <c r="SMW1638" s="21"/>
      <c r="SMX1638" s="21"/>
      <c r="SMY1638" s="21"/>
      <c r="SMZ1638" s="21"/>
      <c r="SNA1638" s="21"/>
      <c r="SNB1638" s="21"/>
      <c r="SNC1638" s="21"/>
      <c r="SND1638" s="21"/>
      <c r="SNE1638" s="21"/>
      <c r="SNF1638" s="21"/>
      <c r="SNG1638" s="21"/>
      <c r="SNH1638" s="21"/>
      <c r="SNI1638" s="21"/>
      <c r="SNJ1638" s="21"/>
      <c r="SNK1638" s="21"/>
      <c r="SNL1638" s="21"/>
      <c r="SNM1638" s="21"/>
      <c r="SNN1638" s="21"/>
      <c r="SNO1638" s="21"/>
      <c r="SNP1638" s="21"/>
      <c r="SNQ1638" s="21"/>
      <c r="SNR1638" s="21"/>
      <c r="SNS1638" s="21"/>
      <c r="SNT1638" s="21"/>
      <c r="SNU1638" s="21"/>
      <c r="SNV1638" s="21"/>
      <c r="SNW1638" s="21"/>
      <c r="SNX1638" s="21"/>
      <c r="SNY1638" s="21"/>
      <c r="SNZ1638" s="21"/>
      <c r="SOA1638" s="21"/>
      <c r="SOB1638" s="21"/>
      <c r="SOC1638" s="21"/>
      <c r="SOD1638" s="21"/>
      <c r="SOE1638" s="21"/>
      <c r="SOF1638" s="21"/>
      <c r="SOG1638" s="21"/>
      <c r="SOH1638" s="21"/>
      <c r="SOI1638" s="21"/>
      <c r="SOJ1638" s="21"/>
      <c r="SOK1638" s="21"/>
      <c r="SOL1638" s="21"/>
      <c r="SOM1638" s="21"/>
      <c r="SON1638" s="21"/>
      <c r="SOO1638" s="21"/>
      <c r="SOP1638" s="21"/>
      <c r="SOQ1638" s="21"/>
      <c r="SOR1638" s="21"/>
      <c r="SOS1638" s="21"/>
      <c r="SOT1638" s="21"/>
      <c r="SOU1638" s="21"/>
      <c r="SOV1638" s="21"/>
      <c r="SOW1638" s="21"/>
      <c r="SOX1638" s="21"/>
      <c r="SOY1638" s="21"/>
      <c r="SOZ1638" s="21"/>
      <c r="SPA1638" s="21"/>
      <c r="SPB1638" s="21"/>
      <c r="SPC1638" s="21"/>
      <c r="SPD1638" s="21"/>
      <c r="SPE1638" s="21"/>
      <c r="SPF1638" s="21"/>
      <c r="SPG1638" s="21"/>
      <c r="SPH1638" s="21"/>
      <c r="SPI1638" s="21"/>
      <c r="SPJ1638" s="21"/>
      <c r="SPK1638" s="21"/>
      <c r="SPL1638" s="21"/>
      <c r="SPM1638" s="21"/>
      <c r="SPN1638" s="21"/>
      <c r="SPO1638" s="21"/>
      <c r="SPP1638" s="21"/>
      <c r="SPQ1638" s="21"/>
      <c r="SPR1638" s="21"/>
      <c r="SPS1638" s="21"/>
      <c r="SPT1638" s="21"/>
      <c r="SPU1638" s="21"/>
      <c r="SPV1638" s="21"/>
      <c r="SPW1638" s="21"/>
      <c r="SPX1638" s="21"/>
      <c r="SPY1638" s="21"/>
      <c r="SPZ1638" s="21"/>
      <c r="SQA1638" s="21"/>
      <c r="SQB1638" s="21"/>
      <c r="SQC1638" s="21"/>
      <c r="SQD1638" s="21"/>
      <c r="SQE1638" s="21"/>
      <c r="SQF1638" s="21"/>
      <c r="SQG1638" s="21"/>
      <c r="SQH1638" s="21"/>
      <c r="SQI1638" s="21"/>
      <c r="SQJ1638" s="21"/>
      <c r="SQK1638" s="21"/>
      <c r="SQL1638" s="21"/>
      <c r="SQM1638" s="21"/>
      <c r="SQN1638" s="21"/>
      <c r="SQO1638" s="21"/>
      <c r="SQP1638" s="21"/>
      <c r="SQQ1638" s="21"/>
      <c r="SQR1638" s="21"/>
      <c r="SQS1638" s="21"/>
      <c r="SQT1638" s="21"/>
      <c r="SQU1638" s="21"/>
      <c r="SQV1638" s="21"/>
      <c r="SQW1638" s="21"/>
      <c r="SQX1638" s="21"/>
      <c r="SQY1638" s="21"/>
      <c r="SQZ1638" s="21"/>
      <c r="SRA1638" s="21"/>
      <c r="SRB1638" s="21"/>
      <c r="SRC1638" s="21"/>
      <c r="SRD1638" s="21"/>
      <c r="SRE1638" s="21"/>
      <c r="SRF1638" s="21"/>
      <c r="SRG1638" s="21"/>
      <c r="SRH1638" s="21"/>
      <c r="SRI1638" s="21"/>
      <c r="SRJ1638" s="21"/>
      <c r="SRK1638" s="21"/>
      <c r="SRL1638" s="21"/>
      <c r="SRM1638" s="21"/>
      <c r="SRN1638" s="21"/>
      <c r="SRO1638" s="21"/>
      <c r="SRP1638" s="21"/>
      <c r="SRQ1638" s="21"/>
      <c r="SRR1638" s="21"/>
      <c r="SRS1638" s="21"/>
      <c r="SRT1638" s="21"/>
      <c r="SRU1638" s="21"/>
      <c r="SRV1638" s="21"/>
      <c r="SRW1638" s="21"/>
      <c r="SRX1638" s="21"/>
      <c r="SRY1638" s="21"/>
      <c r="SRZ1638" s="21"/>
      <c r="SSA1638" s="21"/>
      <c r="SSB1638" s="21"/>
      <c r="SSC1638" s="21"/>
      <c r="SSD1638" s="21"/>
      <c r="SSE1638" s="21"/>
      <c r="SSF1638" s="21"/>
      <c r="SSG1638" s="21"/>
      <c r="SSH1638" s="21"/>
      <c r="SSI1638" s="21"/>
      <c r="SSJ1638" s="21"/>
      <c r="SSK1638" s="21"/>
      <c r="SSL1638" s="21"/>
      <c r="SSM1638" s="21"/>
      <c r="SSN1638" s="21"/>
      <c r="SSO1638" s="21"/>
      <c r="SSP1638" s="21"/>
      <c r="SSQ1638" s="21"/>
      <c r="SSR1638" s="21"/>
      <c r="SSS1638" s="21"/>
      <c r="SST1638" s="21"/>
      <c r="SSU1638" s="21"/>
      <c r="SSV1638" s="21"/>
      <c r="SSW1638" s="21"/>
      <c r="SSX1638" s="21"/>
      <c r="SSY1638" s="21"/>
      <c r="SSZ1638" s="21"/>
      <c r="STA1638" s="21"/>
      <c r="STB1638" s="21"/>
      <c r="STC1638" s="21"/>
      <c r="STD1638" s="21"/>
      <c r="STE1638" s="21"/>
      <c r="STF1638" s="21"/>
      <c r="STG1638" s="21"/>
      <c r="STH1638" s="21"/>
      <c r="STI1638" s="21"/>
      <c r="STJ1638" s="21"/>
      <c r="STK1638" s="21"/>
      <c r="STL1638" s="21"/>
      <c r="STM1638" s="21"/>
      <c r="STN1638" s="21"/>
      <c r="STO1638" s="21"/>
      <c r="STP1638" s="21"/>
      <c r="STQ1638" s="21"/>
      <c r="STR1638" s="21"/>
      <c r="STS1638" s="21"/>
      <c r="STT1638" s="21"/>
      <c r="STU1638" s="21"/>
      <c r="STV1638" s="21"/>
      <c r="STW1638" s="21"/>
      <c r="STX1638" s="21"/>
      <c r="STY1638" s="21"/>
      <c r="STZ1638" s="21"/>
      <c r="SUA1638" s="21"/>
      <c r="SUB1638" s="21"/>
      <c r="SUC1638" s="21"/>
      <c r="SUD1638" s="21"/>
      <c r="SUE1638" s="21"/>
      <c r="SUF1638" s="21"/>
      <c r="SUG1638" s="21"/>
      <c r="SUH1638" s="21"/>
      <c r="SUI1638" s="21"/>
      <c r="SUJ1638" s="21"/>
      <c r="SUK1638" s="21"/>
      <c r="SUL1638" s="21"/>
      <c r="SUM1638" s="21"/>
      <c r="SUN1638" s="21"/>
      <c r="SUO1638" s="21"/>
      <c r="SUP1638" s="21"/>
      <c r="SUQ1638" s="21"/>
      <c r="SUR1638" s="21"/>
      <c r="SUS1638" s="21"/>
      <c r="SUT1638" s="21"/>
      <c r="SUU1638" s="21"/>
      <c r="SUV1638" s="21"/>
      <c r="SUW1638" s="21"/>
      <c r="SUX1638" s="21"/>
      <c r="SUY1638" s="21"/>
      <c r="SUZ1638" s="21"/>
      <c r="SVA1638" s="21"/>
      <c r="SVB1638" s="21"/>
      <c r="SVC1638" s="21"/>
      <c r="SVD1638" s="21"/>
      <c r="SVE1638" s="21"/>
      <c r="SVF1638" s="21"/>
      <c r="SVG1638" s="21"/>
      <c r="SVH1638" s="21"/>
      <c r="SVI1638" s="21"/>
      <c r="SVJ1638" s="21"/>
      <c r="SVK1638" s="21"/>
      <c r="SVL1638" s="21"/>
      <c r="SVM1638" s="21"/>
      <c r="SVN1638" s="21"/>
      <c r="SVO1638" s="21"/>
      <c r="SVP1638" s="21"/>
      <c r="SVQ1638" s="21"/>
      <c r="SVR1638" s="21"/>
      <c r="SVS1638" s="21"/>
      <c r="SVT1638" s="21"/>
      <c r="SVU1638" s="21"/>
      <c r="SVV1638" s="21"/>
      <c r="SVW1638" s="21"/>
      <c r="SVX1638" s="21"/>
      <c r="SVY1638" s="21"/>
      <c r="SVZ1638" s="21"/>
      <c r="SWA1638" s="21"/>
      <c r="SWB1638" s="21"/>
      <c r="SWC1638" s="21"/>
      <c r="SWD1638" s="21"/>
      <c r="SWE1638" s="21"/>
      <c r="SWF1638" s="21"/>
      <c r="SWG1638" s="21"/>
      <c r="SWH1638" s="21"/>
      <c r="SWI1638" s="21"/>
      <c r="SWJ1638" s="21"/>
      <c r="SWK1638" s="21"/>
      <c r="SWL1638" s="21"/>
      <c r="SWM1638" s="21"/>
      <c r="SWN1638" s="21"/>
      <c r="SWO1638" s="21"/>
      <c r="SWP1638" s="21"/>
      <c r="SWQ1638" s="21"/>
      <c r="SWR1638" s="21"/>
      <c r="SWS1638" s="21"/>
      <c r="SWT1638" s="21"/>
      <c r="SWU1638" s="21"/>
      <c r="SWV1638" s="21"/>
      <c r="SWW1638" s="21"/>
      <c r="SWX1638" s="21"/>
      <c r="SWY1638" s="21"/>
      <c r="SWZ1638" s="21"/>
      <c r="SXA1638" s="21"/>
      <c r="SXB1638" s="21"/>
      <c r="SXC1638" s="21"/>
      <c r="SXD1638" s="21"/>
      <c r="SXE1638" s="21"/>
      <c r="SXF1638" s="21"/>
      <c r="SXG1638" s="21"/>
      <c r="SXH1638" s="21"/>
      <c r="SXI1638" s="21"/>
      <c r="SXJ1638" s="21"/>
      <c r="SXK1638" s="21"/>
      <c r="SXL1638" s="21"/>
      <c r="SXM1638" s="21"/>
      <c r="SXN1638" s="21"/>
      <c r="SXO1638" s="21"/>
      <c r="SXP1638" s="21"/>
      <c r="SXQ1638" s="21"/>
      <c r="SXR1638" s="21"/>
      <c r="SXS1638" s="21"/>
      <c r="SXT1638" s="21"/>
      <c r="SXU1638" s="21"/>
      <c r="SXV1638" s="21"/>
      <c r="SXW1638" s="21"/>
      <c r="SXX1638" s="21"/>
      <c r="SXY1638" s="21"/>
      <c r="SXZ1638" s="21"/>
      <c r="SYA1638" s="21"/>
      <c r="SYB1638" s="21"/>
      <c r="SYC1638" s="21"/>
      <c r="SYD1638" s="21"/>
      <c r="SYE1638" s="21"/>
      <c r="SYF1638" s="21"/>
      <c r="SYG1638" s="21"/>
      <c r="SYH1638" s="21"/>
      <c r="SYI1638" s="21"/>
      <c r="SYJ1638" s="21"/>
      <c r="SYK1638" s="21"/>
      <c r="SYL1638" s="21"/>
      <c r="SYM1638" s="21"/>
      <c r="SYN1638" s="21"/>
      <c r="SYO1638" s="21"/>
      <c r="SYP1638" s="21"/>
      <c r="SYQ1638" s="21"/>
      <c r="SYR1638" s="21"/>
      <c r="SYS1638" s="21"/>
      <c r="SYT1638" s="21"/>
      <c r="SYU1638" s="21"/>
      <c r="SYV1638" s="21"/>
      <c r="SYW1638" s="21"/>
      <c r="SYX1638" s="21"/>
      <c r="SYY1638" s="21"/>
      <c r="SYZ1638" s="21"/>
      <c r="SZA1638" s="21"/>
      <c r="SZB1638" s="21"/>
      <c r="SZC1638" s="21"/>
      <c r="SZD1638" s="21"/>
      <c r="SZE1638" s="21"/>
      <c r="SZF1638" s="21"/>
      <c r="SZG1638" s="21"/>
      <c r="SZH1638" s="21"/>
      <c r="SZI1638" s="21"/>
      <c r="SZJ1638" s="21"/>
      <c r="SZK1638" s="21"/>
      <c r="SZL1638" s="21"/>
      <c r="SZM1638" s="21"/>
      <c r="SZN1638" s="21"/>
      <c r="SZO1638" s="21"/>
      <c r="SZP1638" s="21"/>
      <c r="SZQ1638" s="21"/>
      <c r="SZR1638" s="21"/>
      <c r="SZS1638" s="21"/>
      <c r="SZT1638" s="21"/>
      <c r="SZU1638" s="21"/>
      <c r="SZV1638" s="21"/>
      <c r="SZW1638" s="21"/>
      <c r="SZX1638" s="21"/>
      <c r="SZY1638" s="21"/>
      <c r="SZZ1638" s="21"/>
      <c r="TAA1638" s="21"/>
      <c r="TAB1638" s="21"/>
      <c r="TAC1638" s="21"/>
      <c r="TAD1638" s="21"/>
      <c r="TAE1638" s="21"/>
      <c r="TAF1638" s="21"/>
      <c r="TAG1638" s="21"/>
      <c r="TAH1638" s="21"/>
      <c r="TAI1638" s="21"/>
      <c r="TAJ1638" s="21"/>
      <c r="TAK1638" s="21"/>
      <c r="TAL1638" s="21"/>
      <c r="TAM1638" s="21"/>
      <c r="TAN1638" s="21"/>
      <c r="TAO1638" s="21"/>
      <c r="TAP1638" s="21"/>
      <c r="TAQ1638" s="21"/>
      <c r="TAR1638" s="21"/>
      <c r="TAS1638" s="21"/>
      <c r="TAT1638" s="21"/>
      <c r="TAU1638" s="21"/>
      <c r="TAV1638" s="21"/>
      <c r="TAW1638" s="21"/>
      <c r="TAX1638" s="21"/>
      <c r="TAY1638" s="21"/>
      <c r="TAZ1638" s="21"/>
      <c r="TBA1638" s="21"/>
      <c r="TBB1638" s="21"/>
      <c r="TBC1638" s="21"/>
      <c r="TBD1638" s="21"/>
      <c r="TBE1638" s="21"/>
      <c r="TBF1638" s="21"/>
      <c r="TBG1638" s="21"/>
      <c r="TBH1638" s="21"/>
      <c r="TBI1638" s="21"/>
      <c r="TBJ1638" s="21"/>
      <c r="TBK1638" s="21"/>
      <c r="TBL1638" s="21"/>
      <c r="TBM1638" s="21"/>
      <c r="TBN1638" s="21"/>
      <c r="TBO1638" s="21"/>
      <c r="TBP1638" s="21"/>
      <c r="TBQ1638" s="21"/>
      <c r="TBR1638" s="21"/>
      <c r="TBS1638" s="21"/>
      <c r="TBT1638" s="21"/>
      <c r="TBU1638" s="21"/>
      <c r="TBV1638" s="21"/>
      <c r="TBW1638" s="21"/>
      <c r="TBX1638" s="21"/>
      <c r="TBY1638" s="21"/>
      <c r="TBZ1638" s="21"/>
      <c r="TCA1638" s="21"/>
      <c r="TCB1638" s="21"/>
      <c r="TCC1638" s="21"/>
      <c r="TCD1638" s="21"/>
      <c r="TCE1638" s="21"/>
      <c r="TCF1638" s="21"/>
      <c r="TCG1638" s="21"/>
      <c r="TCH1638" s="21"/>
      <c r="TCI1638" s="21"/>
      <c r="TCJ1638" s="21"/>
      <c r="TCK1638" s="21"/>
      <c r="TCL1638" s="21"/>
      <c r="TCM1638" s="21"/>
      <c r="TCN1638" s="21"/>
      <c r="TCO1638" s="21"/>
      <c r="TCP1638" s="21"/>
      <c r="TCQ1638" s="21"/>
      <c r="TCR1638" s="21"/>
      <c r="TCS1638" s="21"/>
      <c r="TCT1638" s="21"/>
      <c r="TCU1638" s="21"/>
      <c r="TCV1638" s="21"/>
      <c r="TCW1638" s="21"/>
      <c r="TCX1638" s="21"/>
      <c r="TCY1638" s="21"/>
      <c r="TCZ1638" s="21"/>
      <c r="TDA1638" s="21"/>
      <c r="TDB1638" s="21"/>
      <c r="TDC1638" s="21"/>
      <c r="TDD1638" s="21"/>
      <c r="TDE1638" s="21"/>
      <c r="TDF1638" s="21"/>
      <c r="TDG1638" s="21"/>
      <c r="TDH1638" s="21"/>
      <c r="TDI1638" s="21"/>
      <c r="TDJ1638" s="21"/>
      <c r="TDK1638" s="21"/>
      <c r="TDL1638" s="21"/>
      <c r="TDM1638" s="21"/>
      <c r="TDN1638" s="21"/>
      <c r="TDO1638" s="21"/>
      <c r="TDP1638" s="21"/>
      <c r="TDQ1638" s="21"/>
      <c r="TDR1638" s="21"/>
      <c r="TDS1638" s="21"/>
      <c r="TDT1638" s="21"/>
      <c r="TDU1638" s="21"/>
      <c r="TDV1638" s="21"/>
      <c r="TDW1638" s="21"/>
      <c r="TDX1638" s="21"/>
      <c r="TDY1638" s="21"/>
      <c r="TDZ1638" s="21"/>
      <c r="TEA1638" s="21"/>
      <c r="TEB1638" s="21"/>
      <c r="TEC1638" s="21"/>
      <c r="TED1638" s="21"/>
      <c r="TEE1638" s="21"/>
      <c r="TEF1638" s="21"/>
      <c r="TEG1638" s="21"/>
      <c r="TEH1638" s="21"/>
      <c r="TEI1638" s="21"/>
      <c r="TEJ1638" s="21"/>
      <c r="TEK1638" s="21"/>
      <c r="TEL1638" s="21"/>
      <c r="TEM1638" s="21"/>
      <c r="TEN1638" s="21"/>
      <c r="TEO1638" s="21"/>
      <c r="TEP1638" s="21"/>
      <c r="TEQ1638" s="21"/>
      <c r="TER1638" s="21"/>
      <c r="TES1638" s="21"/>
      <c r="TET1638" s="21"/>
      <c r="TEU1638" s="21"/>
      <c r="TEV1638" s="21"/>
      <c r="TEW1638" s="21"/>
      <c r="TEX1638" s="21"/>
      <c r="TEY1638" s="21"/>
      <c r="TEZ1638" s="21"/>
      <c r="TFA1638" s="21"/>
      <c r="TFB1638" s="21"/>
      <c r="TFC1638" s="21"/>
      <c r="TFD1638" s="21"/>
      <c r="TFE1638" s="21"/>
      <c r="TFF1638" s="21"/>
      <c r="TFG1638" s="21"/>
      <c r="TFH1638" s="21"/>
      <c r="TFI1638" s="21"/>
      <c r="TFJ1638" s="21"/>
      <c r="TFK1638" s="21"/>
      <c r="TFL1638" s="21"/>
      <c r="TFM1638" s="21"/>
      <c r="TFN1638" s="21"/>
      <c r="TFO1638" s="21"/>
      <c r="TFP1638" s="21"/>
      <c r="TFQ1638" s="21"/>
      <c r="TFR1638" s="21"/>
      <c r="TFS1638" s="21"/>
      <c r="TFT1638" s="21"/>
      <c r="TFU1638" s="21"/>
      <c r="TFV1638" s="21"/>
      <c r="TFW1638" s="21"/>
      <c r="TFX1638" s="21"/>
      <c r="TFY1638" s="21"/>
      <c r="TFZ1638" s="21"/>
      <c r="TGA1638" s="21"/>
      <c r="TGB1638" s="21"/>
      <c r="TGC1638" s="21"/>
      <c r="TGD1638" s="21"/>
      <c r="TGE1638" s="21"/>
      <c r="TGF1638" s="21"/>
      <c r="TGG1638" s="21"/>
      <c r="TGH1638" s="21"/>
      <c r="TGI1638" s="21"/>
      <c r="TGJ1638" s="21"/>
      <c r="TGK1638" s="21"/>
      <c r="TGL1638" s="21"/>
      <c r="TGM1638" s="21"/>
      <c r="TGN1638" s="21"/>
      <c r="TGO1638" s="21"/>
      <c r="TGP1638" s="21"/>
      <c r="TGQ1638" s="21"/>
      <c r="TGR1638" s="21"/>
      <c r="TGS1638" s="21"/>
      <c r="TGT1638" s="21"/>
      <c r="TGU1638" s="21"/>
      <c r="TGV1638" s="21"/>
      <c r="TGW1638" s="21"/>
      <c r="TGX1638" s="21"/>
      <c r="TGY1638" s="21"/>
      <c r="TGZ1638" s="21"/>
      <c r="THA1638" s="21"/>
      <c r="THB1638" s="21"/>
      <c r="THC1638" s="21"/>
      <c r="THD1638" s="21"/>
      <c r="THE1638" s="21"/>
      <c r="THF1638" s="21"/>
      <c r="THG1638" s="21"/>
      <c r="THH1638" s="21"/>
      <c r="THI1638" s="21"/>
      <c r="THJ1638" s="21"/>
      <c r="THK1638" s="21"/>
      <c r="THL1638" s="21"/>
      <c r="THM1638" s="21"/>
      <c r="THN1638" s="21"/>
      <c r="THO1638" s="21"/>
      <c r="THP1638" s="21"/>
      <c r="THQ1638" s="21"/>
      <c r="THR1638" s="21"/>
      <c r="THS1638" s="21"/>
      <c r="THT1638" s="21"/>
      <c r="THU1638" s="21"/>
      <c r="THV1638" s="21"/>
      <c r="THW1638" s="21"/>
      <c r="THX1638" s="21"/>
      <c r="THY1638" s="21"/>
      <c r="THZ1638" s="21"/>
      <c r="TIA1638" s="21"/>
      <c r="TIB1638" s="21"/>
      <c r="TIC1638" s="21"/>
      <c r="TID1638" s="21"/>
      <c r="TIE1638" s="21"/>
      <c r="TIF1638" s="21"/>
      <c r="TIG1638" s="21"/>
      <c r="TIH1638" s="21"/>
      <c r="TII1638" s="21"/>
      <c r="TIJ1638" s="21"/>
      <c r="TIK1638" s="21"/>
      <c r="TIL1638" s="21"/>
      <c r="TIM1638" s="21"/>
      <c r="TIN1638" s="21"/>
      <c r="TIO1638" s="21"/>
      <c r="TIP1638" s="21"/>
      <c r="TIQ1638" s="21"/>
      <c r="TIR1638" s="21"/>
      <c r="TIS1638" s="21"/>
      <c r="TIT1638" s="21"/>
      <c r="TIU1638" s="21"/>
      <c r="TIV1638" s="21"/>
      <c r="TIW1638" s="21"/>
      <c r="TIX1638" s="21"/>
      <c r="TIY1638" s="21"/>
      <c r="TIZ1638" s="21"/>
      <c r="TJA1638" s="21"/>
      <c r="TJB1638" s="21"/>
      <c r="TJC1638" s="21"/>
      <c r="TJD1638" s="21"/>
      <c r="TJE1638" s="21"/>
      <c r="TJF1638" s="21"/>
      <c r="TJG1638" s="21"/>
      <c r="TJH1638" s="21"/>
      <c r="TJI1638" s="21"/>
      <c r="TJJ1638" s="21"/>
      <c r="TJK1638" s="21"/>
      <c r="TJL1638" s="21"/>
      <c r="TJM1638" s="21"/>
      <c r="TJN1638" s="21"/>
      <c r="TJO1638" s="21"/>
      <c r="TJP1638" s="21"/>
      <c r="TJQ1638" s="21"/>
      <c r="TJR1638" s="21"/>
      <c r="TJS1638" s="21"/>
      <c r="TJT1638" s="21"/>
      <c r="TJU1638" s="21"/>
      <c r="TJV1638" s="21"/>
      <c r="TJW1638" s="21"/>
      <c r="TJX1638" s="21"/>
      <c r="TJY1638" s="21"/>
      <c r="TJZ1638" s="21"/>
      <c r="TKA1638" s="21"/>
      <c r="TKB1638" s="21"/>
      <c r="TKC1638" s="21"/>
      <c r="TKD1638" s="21"/>
      <c r="TKE1638" s="21"/>
      <c r="TKF1638" s="21"/>
      <c r="TKG1638" s="21"/>
      <c r="TKH1638" s="21"/>
      <c r="TKI1638" s="21"/>
      <c r="TKJ1638" s="21"/>
      <c r="TKK1638" s="21"/>
      <c r="TKL1638" s="21"/>
      <c r="TKM1638" s="21"/>
      <c r="TKN1638" s="21"/>
      <c r="TKO1638" s="21"/>
      <c r="TKP1638" s="21"/>
      <c r="TKQ1638" s="21"/>
      <c r="TKR1638" s="21"/>
      <c r="TKS1638" s="21"/>
      <c r="TKT1638" s="21"/>
      <c r="TKU1638" s="21"/>
      <c r="TKV1638" s="21"/>
      <c r="TKW1638" s="21"/>
      <c r="TKX1638" s="21"/>
      <c r="TKY1638" s="21"/>
      <c r="TKZ1638" s="21"/>
      <c r="TLA1638" s="21"/>
      <c r="TLB1638" s="21"/>
      <c r="TLC1638" s="21"/>
      <c r="TLD1638" s="21"/>
      <c r="TLE1638" s="21"/>
      <c r="TLF1638" s="21"/>
      <c r="TLG1638" s="21"/>
      <c r="TLH1638" s="21"/>
      <c r="TLI1638" s="21"/>
      <c r="TLJ1638" s="21"/>
      <c r="TLK1638" s="21"/>
      <c r="TLL1638" s="21"/>
      <c r="TLM1638" s="21"/>
      <c r="TLN1638" s="21"/>
      <c r="TLO1638" s="21"/>
      <c r="TLP1638" s="21"/>
      <c r="TLQ1638" s="21"/>
      <c r="TLR1638" s="21"/>
      <c r="TLS1638" s="21"/>
      <c r="TLT1638" s="21"/>
      <c r="TLU1638" s="21"/>
      <c r="TLV1638" s="21"/>
      <c r="TLW1638" s="21"/>
      <c r="TLX1638" s="21"/>
      <c r="TLY1638" s="21"/>
      <c r="TLZ1638" s="21"/>
      <c r="TMA1638" s="21"/>
      <c r="TMB1638" s="21"/>
      <c r="TMC1638" s="21"/>
      <c r="TMD1638" s="21"/>
      <c r="TME1638" s="21"/>
      <c r="TMF1638" s="21"/>
      <c r="TMG1638" s="21"/>
      <c r="TMH1638" s="21"/>
      <c r="TMI1638" s="21"/>
      <c r="TMJ1638" s="21"/>
      <c r="TMK1638" s="21"/>
      <c r="TML1638" s="21"/>
      <c r="TMM1638" s="21"/>
      <c r="TMN1638" s="21"/>
      <c r="TMO1638" s="21"/>
      <c r="TMP1638" s="21"/>
      <c r="TMQ1638" s="21"/>
      <c r="TMR1638" s="21"/>
      <c r="TMS1638" s="21"/>
      <c r="TMT1638" s="21"/>
      <c r="TMU1638" s="21"/>
      <c r="TMV1638" s="21"/>
      <c r="TMW1638" s="21"/>
      <c r="TMX1638" s="21"/>
      <c r="TMY1638" s="21"/>
      <c r="TMZ1638" s="21"/>
      <c r="TNA1638" s="21"/>
      <c r="TNB1638" s="21"/>
      <c r="TNC1638" s="21"/>
      <c r="TND1638" s="21"/>
      <c r="TNE1638" s="21"/>
      <c r="TNF1638" s="21"/>
      <c r="TNG1638" s="21"/>
      <c r="TNH1638" s="21"/>
      <c r="TNI1638" s="21"/>
      <c r="TNJ1638" s="21"/>
      <c r="TNK1638" s="21"/>
      <c r="TNL1638" s="21"/>
      <c r="TNM1638" s="21"/>
      <c r="TNN1638" s="21"/>
      <c r="TNO1638" s="21"/>
      <c r="TNP1638" s="21"/>
      <c r="TNQ1638" s="21"/>
      <c r="TNR1638" s="21"/>
      <c r="TNS1638" s="21"/>
      <c r="TNT1638" s="21"/>
      <c r="TNU1638" s="21"/>
      <c r="TNV1638" s="21"/>
      <c r="TNW1638" s="21"/>
      <c r="TNX1638" s="21"/>
      <c r="TNY1638" s="21"/>
      <c r="TNZ1638" s="21"/>
      <c r="TOA1638" s="21"/>
      <c r="TOB1638" s="21"/>
      <c r="TOC1638" s="21"/>
      <c r="TOD1638" s="21"/>
      <c r="TOE1638" s="21"/>
      <c r="TOF1638" s="21"/>
      <c r="TOG1638" s="21"/>
      <c r="TOH1638" s="21"/>
      <c r="TOI1638" s="21"/>
      <c r="TOJ1638" s="21"/>
      <c r="TOK1638" s="21"/>
      <c r="TOL1638" s="21"/>
      <c r="TOM1638" s="21"/>
      <c r="TON1638" s="21"/>
      <c r="TOO1638" s="21"/>
      <c r="TOP1638" s="21"/>
      <c r="TOQ1638" s="21"/>
      <c r="TOR1638" s="21"/>
      <c r="TOS1638" s="21"/>
      <c r="TOT1638" s="21"/>
      <c r="TOU1638" s="21"/>
      <c r="TOV1638" s="21"/>
      <c r="TOW1638" s="21"/>
      <c r="TOX1638" s="21"/>
      <c r="TOY1638" s="21"/>
      <c r="TOZ1638" s="21"/>
      <c r="TPA1638" s="21"/>
      <c r="TPB1638" s="21"/>
      <c r="TPC1638" s="21"/>
      <c r="TPD1638" s="21"/>
      <c r="TPE1638" s="21"/>
      <c r="TPF1638" s="21"/>
      <c r="TPG1638" s="21"/>
      <c r="TPH1638" s="21"/>
      <c r="TPI1638" s="21"/>
      <c r="TPJ1638" s="21"/>
      <c r="TPK1638" s="21"/>
      <c r="TPL1638" s="21"/>
      <c r="TPM1638" s="21"/>
      <c r="TPN1638" s="21"/>
      <c r="TPO1638" s="21"/>
      <c r="TPP1638" s="21"/>
      <c r="TPQ1638" s="21"/>
      <c r="TPR1638" s="21"/>
      <c r="TPS1638" s="21"/>
      <c r="TPT1638" s="21"/>
      <c r="TPU1638" s="21"/>
      <c r="TPV1638" s="21"/>
      <c r="TPW1638" s="21"/>
      <c r="TPX1638" s="21"/>
      <c r="TPY1638" s="21"/>
      <c r="TPZ1638" s="21"/>
      <c r="TQA1638" s="21"/>
      <c r="TQB1638" s="21"/>
      <c r="TQC1638" s="21"/>
      <c r="TQD1638" s="21"/>
      <c r="TQE1638" s="21"/>
      <c r="TQF1638" s="21"/>
      <c r="TQG1638" s="21"/>
      <c r="TQH1638" s="21"/>
      <c r="TQI1638" s="21"/>
      <c r="TQJ1638" s="21"/>
      <c r="TQK1638" s="21"/>
      <c r="TQL1638" s="21"/>
      <c r="TQM1638" s="21"/>
      <c r="TQN1638" s="21"/>
      <c r="TQO1638" s="21"/>
      <c r="TQP1638" s="21"/>
      <c r="TQQ1638" s="21"/>
      <c r="TQR1638" s="21"/>
      <c r="TQS1638" s="21"/>
      <c r="TQT1638" s="21"/>
      <c r="TQU1638" s="21"/>
      <c r="TQV1638" s="21"/>
      <c r="TQW1638" s="21"/>
      <c r="TQX1638" s="21"/>
      <c r="TQY1638" s="21"/>
      <c r="TQZ1638" s="21"/>
      <c r="TRA1638" s="21"/>
      <c r="TRB1638" s="21"/>
      <c r="TRC1638" s="21"/>
      <c r="TRD1638" s="21"/>
      <c r="TRE1638" s="21"/>
      <c r="TRF1638" s="21"/>
      <c r="TRG1638" s="21"/>
      <c r="TRH1638" s="21"/>
      <c r="TRI1638" s="21"/>
      <c r="TRJ1638" s="21"/>
      <c r="TRK1638" s="21"/>
      <c r="TRL1638" s="21"/>
      <c r="TRM1638" s="21"/>
      <c r="TRN1638" s="21"/>
      <c r="TRO1638" s="21"/>
      <c r="TRP1638" s="21"/>
      <c r="TRQ1638" s="21"/>
      <c r="TRR1638" s="21"/>
      <c r="TRS1638" s="21"/>
      <c r="TRT1638" s="21"/>
      <c r="TRU1638" s="21"/>
      <c r="TRV1638" s="21"/>
      <c r="TRW1638" s="21"/>
      <c r="TRX1638" s="21"/>
      <c r="TRY1638" s="21"/>
      <c r="TRZ1638" s="21"/>
      <c r="TSA1638" s="21"/>
      <c r="TSB1638" s="21"/>
      <c r="TSC1638" s="21"/>
      <c r="TSD1638" s="21"/>
      <c r="TSE1638" s="21"/>
      <c r="TSF1638" s="21"/>
      <c r="TSG1638" s="21"/>
      <c r="TSH1638" s="21"/>
      <c r="TSI1638" s="21"/>
      <c r="TSJ1638" s="21"/>
      <c r="TSK1638" s="21"/>
      <c r="TSL1638" s="21"/>
      <c r="TSM1638" s="21"/>
      <c r="TSN1638" s="21"/>
      <c r="TSO1638" s="21"/>
      <c r="TSP1638" s="21"/>
      <c r="TSQ1638" s="21"/>
      <c r="TSR1638" s="21"/>
      <c r="TSS1638" s="21"/>
      <c r="TST1638" s="21"/>
      <c r="TSU1638" s="21"/>
      <c r="TSV1638" s="21"/>
      <c r="TSW1638" s="21"/>
      <c r="TSX1638" s="21"/>
      <c r="TSY1638" s="21"/>
      <c r="TSZ1638" s="21"/>
      <c r="TTA1638" s="21"/>
      <c r="TTB1638" s="21"/>
      <c r="TTC1638" s="21"/>
      <c r="TTD1638" s="21"/>
      <c r="TTE1638" s="21"/>
      <c r="TTF1638" s="21"/>
      <c r="TTG1638" s="21"/>
      <c r="TTH1638" s="21"/>
      <c r="TTI1638" s="21"/>
      <c r="TTJ1638" s="21"/>
      <c r="TTK1638" s="21"/>
      <c r="TTL1638" s="21"/>
      <c r="TTM1638" s="21"/>
      <c r="TTN1638" s="21"/>
      <c r="TTO1638" s="21"/>
      <c r="TTP1638" s="21"/>
      <c r="TTQ1638" s="21"/>
      <c r="TTR1638" s="21"/>
      <c r="TTS1638" s="21"/>
      <c r="TTT1638" s="21"/>
      <c r="TTU1638" s="21"/>
      <c r="TTV1638" s="21"/>
      <c r="TTW1638" s="21"/>
      <c r="TTX1638" s="21"/>
      <c r="TTY1638" s="21"/>
      <c r="TTZ1638" s="21"/>
      <c r="TUA1638" s="21"/>
      <c r="TUB1638" s="21"/>
      <c r="TUC1638" s="21"/>
      <c r="TUD1638" s="21"/>
      <c r="TUE1638" s="21"/>
      <c r="TUF1638" s="21"/>
      <c r="TUG1638" s="21"/>
      <c r="TUH1638" s="21"/>
      <c r="TUI1638" s="21"/>
      <c r="TUJ1638" s="21"/>
      <c r="TUK1638" s="21"/>
      <c r="TUL1638" s="21"/>
      <c r="TUM1638" s="21"/>
      <c r="TUN1638" s="21"/>
      <c r="TUO1638" s="21"/>
      <c r="TUP1638" s="21"/>
      <c r="TUQ1638" s="21"/>
      <c r="TUR1638" s="21"/>
      <c r="TUS1638" s="21"/>
      <c r="TUT1638" s="21"/>
      <c r="TUU1638" s="21"/>
      <c r="TUV1638" s="21"/>
      <c r="TUW1638" s="21"/>
      <c r="TUX1638" s="21"/>
      <c r="TUY1638" s="21"/>
      <c r="TUZ1638" s="21"/>
      <c r="TVA1638" s="21"/>
      <c r="TVB1638" s="21"/>
      <c r="TVC1638" s="21"/>
      <c r="TVD1638" s="21"/>
      <c r="TVE1638" s="21"/>
      <c r="TVF1638" s="21"/>
      <c r="TVG1638" s="21"/>
      <c r="TVH1638" s="21"/>
      <c r="TVI1638" s="21"/>
      <c r="TVJ1638" s="21"/>
      <c r="TVK1638" s="21"/>
      <c r="TVL1638" s="21"/>
      <c r="TVM1638" s="21"/>
      <c r="TVN1638" s="21"/>
      <c r="TVO1638" s="21"/>
      <c r="TVP1638" s="21"/>
      <c r="TVQ1638" s="21"/>
      <c r="TVR1638" s="21"/>
      <c r="TVS1638" s="21"/>
      <c r="TVT1638" s="21"/>
      <c r="TVU1638" s="21"/>
      <c r="TVV1638" s="21"/>
      <c r="TVW1638" s="21"/>
      <c r="TVX1638" s="21"/>
      <c r="TVY1638" s="21"/>
      <c r="TVZ1638" s="21"/>
      <c r="TWA1638" s="21"/>
      <c r="TWB1638" s="21"/>
      <c r="TWC1638" s="21"/>
      <c r="TWD1638" s="21"/>
      <c r="TWE1638" s="21"/>
      <c r="TWF1638" s="21"/>
      <c r="TWG1638" s="21"/>
      <c r="TWH1638" s="21"/>
      <c r="TWI1638" s="21"/>
      <c r="TWJ1638" s="21"/>
      <c r="TWK1638" s="21"/>
      <c r="TWL1638" s="21"/>
      <c r="TWM1638" s="21"/>
      <c r="TWN1638" s="21"/>
      <c r="TWO1638" s="21"/>
      <c r="TWP1638" s="21"/>
      <c r="TWQ1638" s="21"/>
      <c r="TWR1638" s="21"/>
      <c r="TWS1638" s="21"/>
      <c r="TWT1638" s="21"/>
      <c r="TWU1638" s="21"/>
      <c r="TWV1638" s="21"/>
      <c r="TWW1638" s="21"/>
      <c r="TWX1638" s="21"/>
      <c r="TWY1638" s="21"/>
      <c r="TWZ1638" s="21"/>
      <c r="TXA1638" s="21"/>
      <c r="TXB1638" s="21"/>
      <c r="TXC1638" s="21"/>
      <c r="TXD1638" s="21"/>
      <c r="TXE1638" s="21"/>
      <c r="TXF1638" s="21"/>
      <c r="TXG1638" s="21"/>
      <c r="TXH1638" s="21"/>
      <c r="TXI1638" s="21"/>
      <c r="TXJ1638" s="21"/>
      <c r="TXK1638" s="21"/>
      <c r="TXL1638" s="21"/>
      <c r="TXM1638" s="21"/>
      <c r="TXN1638" s="21"/>
      <c r="TXO1638" s="21"/>
      <c r="TXP1638" s="21"/>
      <c r="TXQ1638" s="21"/>
      <c r="TXR1638" s="21"/>
      <c r="TXS1638" s="21"/>
      <c r="TXT1638" s="21"/>
      <c r="TXU1638" s="21"/>
      <c r="TXV1638" s="21"/>
      <c r="TXW1638" s="21"/>
      <c r="TXX1638" s="21"/>
      <c r="TXY1638" s="21"/>
      <c r="TXZ1638" s="21"/>
      <c r="TYA1638" s="21"/>
      <c r="TYB1638" s="21"/>
      <c r="TYC1638" s="21"/>
      <c r="TYD1638" s="21"/>
      <c r="TYE1638" s="21"/>
      <c r="TYF1638" s="21"/>
      <c r="TYG1638" s="21"/>
      <c r="TYH1638" s="21"/>
      <c r="TYI1638" s="21"/>
      <c r="TYJ1638" s="21"/>
      <c r="TYK1638" s="21"/>
      <c r="TYL1638" s="21"/>
      <c r="TYM1638" s="21"/>
      <c r="TYN1638" s="21"/>
      <c r="TYO1638" s="21"/>
      <c r="TYP1638" s="21"/>
      <c r="TYQ1638" s="21"/>
      <c r="TYR1638" s="21"/>
      <c r="TYS1638" s="21"/>
      <c r="TYT1638" s="21"/>
      <c r="TYU1638" s="21"/>
      <c r="TYV1638" s="21"/>
      <c r="TYW1638" s="21"/>
      <c r="TYX1638" s="21"/>
      <c r="TYY1638" s="21"/>
      <c r="TYZ1638" s="21"/>
      <c r="TZA1638" s="21"/>
      <c r="TZB1638" s="21"/>
      <c r="TZC1638" s="21"/>
      <c r="TZD1638" s="21"/>
      <c r="TZE1638" s="21"/>
      <c r="TZF1638" s="21"/>
      <c r="TZG1638" s="21"/>
      <c r="TZH1638" s="21"/>
      <c r="TZI1638" s="21"/>
      <c r="TZJ1638" s="21"/>
      <c r="TZK1638" s="21"/>
      <c r="TZL1638" s="21"/>
      <c r="TZM1638" s="21"/>
      <c r="TZN1638" s="21"/>
      <c r="TZO1638" s="21"/>
      <c r="TZP1638" s="21"/>
      <c r="TZQ1638" s="21"/>
      <c r="TZR1638" s="21"/>
      <c r="TZS1638" s="21"/>
      <c r="TZT1638" s="21"/>
      <c r="TZU1638" s="21"/>
      <c r="TZV1638" s="21"/>
      <c r="TZW1638" s="21"/>
      <c r="TZX1638" s="21"/>
      <c r="TZY1638" s="21"/>
      <c r="TZZ1638" s="21"/>
      <c r="UAA1638" s="21"/>
      <c r="UAB1638" s="21"/>
      <c r="UAC1638" s="21"/>
      <c r="UAD1638" s="21"/>
      <c r="UAE1638" s="21"/>
      <c r="UAF1638" s="21"/>
      <c r="UAG1638" s="21"/>
      <c r="UAH1638" s="21"/>
      <c r="UAI1638" s="21"/>
      <c r="UAJ1638" s="21"/>
      <c r="UAK1638" s="21"/>
      <c r="UAL1638" s="21"/>
      <c r="UAM1638" s="21"/>
      <c r="UAN1638" s="21"/>
      <c r="UAO1638" s="21"/>
      <c r="UAP1638" s="21"/>
      <c r="UAQ1638" s="21"/>
      <c r="UAR1638" s="21"/>
      <c r="UAS1638" s="21"/>
      <c r="UAT1638" s="21"/>
      <c r="UAU1638" s="21"/>
      <c r="UAV1638" s="21"/>
      <c r="UAW1638" s="21"/>
      <c r="UAX1638" s="21"/>
      <c r="UAY1638" s="21"/>
      <c r="UAZ1638" s="21"/>
      <c r="UBA1638" s="21"/>
      <c r="UBB1638" s="21"/>
      <c r="UBC1638" s="21"/>
      <c r="UBD1638" s="21"/>
      <c r="UBE1638" s="21"/>
      <c r="UBF1638" s="21"/>
      <c r="UBG1638" s="21"/>
      <c r="UBH1638" s="21"/>
      <c r="UBI1638" s="21"/>
      <c r="UBJ1638" s="21"/>
      <c r="UBK1638" s="21"/>
      <c r="UBL1638" s="21"/>
      <c r="UBM1638" s="21"/>
      <c r="UBN1638" s="21"/>
      <c r="UBO1638" s="21"/>
      <c r="UBP1638" s="21"/>
      <c r="UBQ1638" s="21"/>
      <c r="UBR1638" s="21"/>
      <c r="UBS1638" s="21"/>
      <c r="UBT1638" s="21"/>
      <c r="UBU1638" s="21"/>
      <c r="UBV1638" s="21"/>
      <c r="UBW1638" s="21"/>
      <c r="UBX1638" s="21"/>
      <c r="UBY1638" s="21"/>
      <c r="UBZ1638" s="21"/>
      <c r="UCA1638" s="21"/>
      <c r="UCB1638" s="21"/>
      <c r="UCC1638" s="21"/>
      <c r="UCD1638" s="21"/>
      <c r="UCE1638" s="21"/>
      <c r="UCF1638" s="21"/>
      <c r="UCG1638" s="21"/>
      <c r="UCH1638" s="21"/>
      <c r="UCI1638" s="21"/>
      <c r="UCJ1638" s="21"/>
      <c r="UCK1638" s="21"/>
      <c r="UCL1638" s="21"/>
      <c r="UCM1638" s="21"/>
      <c r="UCN1638" s="21"/>
      <c r="UCO1638" s="21"/>
      <c r="UCP1638" s="21"/>
      <c r="UCQ1638" s="21"/>
      <c r="UCR1638" s="21"/>
      <c r="UCS1638" s="21"/>
      <c r="UCT1638" s="21"/>
      <c r="UCU1638" s="21"/>
      <c r="UCV1638" s="21"/>
      <c r="UCW1638" s="21"/>
      <c r="UCX1638" s="21"/>
      <c r="UCY1638" s="21"/>
      <c r="UCZ1638" s="21"/>
      <c r="UDA1638" s="21"/>
      <c r="UDB1638" s="21"/>
      <c r="UDC1638" s="21"/>
      <c r="UDD1638" s="21"/>
      <c r="UDE1638" s="21"/>
      <c r="UDF1638" s="21"/>
      <c r="UDG1638" s="21"/>
      <c r="UDH1638" s="21"/>
      <c r="UDI1638" s="21"/>
      <c r="UDJ1638" s="21"/>
      <c r="UDK1638" s="21"/>
      <c r="UDL1638" s="21"/>
      <c r="UDM1638" s="21"/>
      <c r="UDN1638" s="21"/>
      <c r="UDO1638" s="21"/>
      <c r="UDP1638" s="21"/>
      <c r="UDQ1638" s="21"/>
      <c r="UDR1638" s="21"/>
      <c r="UDS1638" s="21"/>
      <c r="UDT1638" s="21"/>
      <c r="UDU1638" s="21"/>
      <c r="UDV1638" s="21"/>
      <c r="UDW1638" s="21"/>
      <c r="UDX1638" s="21"/>
      <c r="UDY1638" s="21"/>
      <c r="UDZ1638" s="21"/>
      <c r="UEA1638" s="21"/>
      <c r="UEB1638" s="21"/>
      <c r="UEC1638" s="21"/>
      <c r="UED1638" s="21"/>
      <c r="UEE1638" s="21"/>
      <c r="UEF1638" s="21"/>
      <c r="UEG1638" s="21"/>
      <c r="UEH1638" s="21"/>
      <c r="UEI1638" s="21"/>
      <c r="UEJ1638" s="21"/>
      <c r="UEK1638" s="21"/>
      <c r="UEL1638" s="21"/>
      <c r="UEM1638" s="21"/>
      <c r="UEN1638" s="21"/>
      <c r="UEO1638" s="21"/>
      <c r="UEP1638" s="21"/>
      <c r="UEQ1638" s="21"/>
      <c r="UER1638" s="21"/>
      <c r="UES1638" s="21"/>
      <c r="UET1638" s="21"/>
      <c r="UEU1638" s="21"/>
      <c r="UEV1638" s="21"/>
      <c r="UEW1638" s="21"/>
      <c r="UEX1638" s="21"/>
      <c r="UEY1638" s="21"/>
      <c r="UEZ1638" s="21"/>
      <c r="UFA1638" s="21"/>
      <c r="UFB1638" s="21"/>
      <c r="UFC1638" s="21"/>
      <c r="UFD1638" s="21"/>
      <c r="UFE1638" s="21"/>
      <c r="UFF1638" s="21"/>
      <c r="UFG1638" s="21"/>
      <c r="UFH1638" s="21"/>
      <c r="UFI1638" s="21"/>
      <c r="UFJ1638" s="21"/>
      <c r="UFK1638" s="21"/>
      <c r="UFL1638" s="21"/>
      <c r="UFM1638" s="21"/>
      <c r="UFN1638" s="21"/>
      <c r="UFO1638" s="21"/>
      <c r="UFP1638" s="21"/>
      <c r="UFQ1638" s="21"/>
      <c r="UFR1638" s="21"/>
      <c r="UFS1638" s="21"/>
      <c r="UFT1638" s="21"/>
      <c r="UFU1638" s="21"/>
      <c r="UFV1638" s="21"/>
      <c r="UFW1638" s="21"/>
      <c r="UFX1638" s="21"/>
      <c r="UFY1638" s="21"/>
      <c r="UFZ1638" s="21"/>
      <c r="UGA1638" s="21"/>
      <c r="UGB1638" s="21"/>
      <c r="UGC1638" s="21"/>
      <c r="UGD1638" s="21"/>
      <c r="UGE1638" s="21"/>
      <c r="UGF1638" s="21"/>
      <c r="UGG1638" s="21"/>
      <c r="UGH1638" s="21"/>
      <c r="UGI1638" s="21"/>
      <c r="UGJ1638" s="21"/>
      <c r="UGK1638" s="21"/>
      <c r="UGL1638" s="21"/>
      <c r="UGM1638" s="21"/>
      <c r="UGN1638" s="21"/>
      <c r="UGO1638" s="21"/>
      <c r="UGP1638" s="21"/>
      <c r="UGQ1638" s="21"/>
      <c r="UGR1638" s="21"/>
      <c r="UGS1638" s="21"/>
      <c r="UGT1638" s="21"/>
      <c r="UGU1638" s="21"/>
      <c r="UGV1638" s="21"/>
      <c r="UGW1638" s="21"/>
      <c r="UGX1638" s="21"/>
      <c r="UGY1638" s="21"/>
      <c r="UGZ1638" s="21"/>
      <c r="UHA1638" s="21"/>
      <c r="UHB1638" s="21"/>
      <c r="UHC1638" s="21"/>
      <c r="UHD1638" s="21"/>
      <c r="UHE1638" s="21"/>
      <c r="UHF1638" s="21"/>
      <c r="UHG1638" s="21"/>
      <c r="UHH1638" s="21"/>
      <c r="UHI1638" s="21"/>
      <c r="UHJ1638" s="21"/>
      <c r="UHK1638" s="21"/>
      <c r="UHL1638" s="21"/>
      <c r="UHM1638" s="21"/>
      <c r="UHN1638" s="21"/>
      <c r="UHO1638" s="21"/>
      <c r="UHP1638" s="21"/>
      <c r="UHQ1638" s="21"/>
      <c r="UHR1638" s="21"/>
      <c r="UHS1638" s="21"/>
      <c r="UHT1638" s="21"/>
      <c r="UHU1638" s="21"/>
      <c r="UHV1638" s="21"/>
      <c r="UHW1638" s="21"/>
      <c r="UHX1638" s="21"/>
      <c r="UHY1638" s="21"/>
      <c r="UHZ1638" s="21"/>
      <c r="UIA1638" s="21"/>
      <c r="UIB1638" s="21"/>
      <c r="UIC1638" s="21"/>
      <c r="UID1638" s="21"/>
      <c r="UIE1638" s="21"/>
      <c r="UIF1638" s="21"/>
      <c r="UIG1638" s="21"/>
      <c r="UIH1638" s="21"/>
      <c r="UII1638" s="21"/>
      <c r="UIJ1638" s="21"/>
      <c r="UIK1638" s="21"/>
      <c r="UIL1638" s="21"/>
      <c r="UIM1638" s="21"/>
      <c r="UIN1638" s="21"/>
      <c r="UIO1638" s="21"/>
      <c r="UIP1638" s="21"/>
      <c r="UIQ1638" s="21"/>
      <c r="UIR1638" s="21"/>
      <c r="UIS1638" s="21"/>
      <c r="UIT1638" s="21"/>
      <c r="UIU1638" s="21"/>
      <c r="UIV1638" s="21"/>
      <c r="UIW1638" s="21"/>
      <c r="UIX1638" s="21"/>
      <c r="UIY1638" s="21"/>
      <c r="UIZ1638" s="21"/>
      <c r="UJA1638" s="21"/>
      <c r="UJB1638" s="21"/>
      <c r="UJC1638" s="21"/>
      <c r="UJD1638" s="21"/>
      <c r="UJE1638" s="21"/>
      <c r="UJF1638" s="21"/>
      <c r="UJG1638" s="21"/>
      <c r="UJH1638" s="21"/>
      <c r="UJI1638" s="21"/>
      <c r="UJJ1638" s="21"/>
      <c r="UJK1638" s="21"/>
      <c r="UJL1638" s="21"/>
      <c r="UJM1638" s="21"/>
      <c r="UJN1638" s="21"/>
      <c r="UJO1638" s="21"/>
      <c r="UJP1638" s="21"/>
      <c r="UJQ1638" s="21"/>
      <c r="UJR1638" s="21"/>
      <c r="UJS1638" s="21"/>
      <c r="UJT1638" s="21"/>
      <c r="UJU1638" s="21"/>
      <c r="UJV1638" s="21"/>
      <c r="UJW1638" s="21"/>
      <c r="UJX1638" s="21"/>
      <c r="UJY1638" s="21"/>
      <c r="UJZ1638" s="21"/>
      <c r="UKA1638" s="21"/>
      <c r="UKB1638" s="21"/>
      <c r="UKC1638" s="21"/>
      <c r="UKD1638" s="21"/>
      <c r="UKE1638" s="21"/>
      <c r="UKF1638" s="21"/>
      <c r="UKG1638" s="21"/>
      <c r="UKH1638" s="21"/>
      <c r="UKI1638" s="21"/>
      <c r="UKJ1638" s="21"/>
      <c r="UKK1638" s="21"/>
      <c r="UKL1638" s="21"/>
      <c r="UKM1638" s="21"/>
      <c r="UKN1638" s="21"/>
      <c r="UKO1638" s="21"/>
      <c r="UKP1638" s="21"/>
      <c r="UKQ1638" s="21"/>
      <c r="UKR1638" s="21"/>
      <c r="UKS1638" s="21"/>
      <c r="UKT1638" s="21"/>
      <c r="UKU1638" s="21"/>
      <c r="UKV1638" s="21"/>
      <c r="UKW1638" s="21"/>
      <c r="UKX1638" s="21"/>
      <c r="UKY1638" s="21"/>
      <c r="UKZ1638" s="21"/>
      <c r="ULA1638" s="21"/>
      <c r="ULB1638" s="21"/>
      <c r="ULC1638" s="21"/>
      <c r="ULD1638" s="21"/>
      <c r="ULE1638" s="21"/>
      <c r="ULF1638" s="21"/>
      <c r="ULG1638" s="21"/>
      <c r="ULH1638" s="21"/>
      <c r="ULI1638" s="21"/>
      <c r="ULJ1638" s="21"/>
      <c r="ULK1638" s="21"/>
      <c r="ULL1638" s="21"/>
      <c r="ULM1638" s="21"/>
      <c r="ULN1638" s="21"/>
      <c r="ULO1638" s="21"/>
      <c r="ULP1638" s="21"/>
      <c r="ULQ1638" s="21"/>
      <c r="ULR1638" s="21"/>
      <c r="ULS1638" s="21"/>
      <c r="ULT1638" s="21"/>
      <c r="ULU1638" s="21"/>
      <c r="ULV1638" s="21"/>
      <c r="ULW1638" s="21"/>
      <c r="ULX1638" s="21"/>
      <c r="ULY1638" s="21"/>
      <c r="ULZ1638" s="21"/>
      <c r="UMA1638" s="21"/>
      <c r="UMB1638" s="21"/>
      <c r="UMC1638" s="21"/>
      <c r="UMD1638" s="21"/>
      <c r="UME1638" s="21"/>
      <c r="UMF1638" s="21"/>
      <c r="UMG1638" s="21"/>
      <c r="UMH1638" s="21"/>
      <c r="UMI1638" s="21"/>
      <c r="UMJ1638" s="21"/>
      <c r="UMK1638" s="21"/>
      <c r="UML1638" s="21"/>
      <c r="UMM1638" s="21"/>
      <c r="UMN1638" s="21"/>
      <c r="UMO1638" s="21"/>
      <c r="UMP1638" s="21"/>
      <c r="UMQ1638" s="21"/>
      <c r="UMR1638" s="21"/>
      <c r="UMS1638" s="21"/>
      <c r="UMT1638" s="21"/>
      <c r="UMU1638" s="21"/>
      <c r="UMV1638" s="21"/>
      <c r="UMW1638" s="21"/>
      <c r="UMX1638" s="21"/>
      <c r="UMY1638" s="21"/>
      <c r="UMZ1638" s="21"/>
      <c r="UNA1638" s="21"/>
      <c r="UNB1638" s="21"/>
      <c r="UNC1638" s="21"/>
      <c r="UND1638" s="21"/>
      <c r="UNE1638" s="21"/>
      <c r="UNF1638" s="21"/>
      <c r="UNG1638" s="21"/>
      <c r="UNH1638" s="21"/>
      <c r="UNI1638" s="21"/>
      <c r="UNJ1638" s="21"/>
      <c r="UNK1638" s="21"/>
      <c r="UNL1638" s="21"/>
      <c r="UNM1638" s="21"/>
      <c r="UNN1638" s="21"/>
      <c r="UNO1638" s="21"/>
      <c r="UNP1638" s="21"/>
      <c r="UNQ1638" s="21"/>
      <c r="UNR1638" s="21"/>
      <c r="UNS1638" s="21"/>
      <c r="UNT1638" s="21"/>
      <c r="UNU1638" s="21"/>
      <c r="UNV1638" s="21"/>
      <c r="UNW1638" s="21"/>
      <c r="UNX1638" s="21"/>
      <c r="UNY1638" s="21"/>
      <c r="UNZ1638" s="21"/>
      <c r="UOA1638" s="21"/>
      <c r="UOB1638" s="21"/>
      <c r="UOC1638" s="21"/>
      <c r="UOD1638" s="21"/>
      <c r="UOE1638" s="21"/>
      <c r="UOF1638" s="21"/>
      <c r="UOG1638" s="21"/>
      <c r="UOH1638" s="21"/>
      <c r="UOI1638" s="21"/>
      <c r="UOJ1638" s="21"/>
      <c r="UOK1638" s="21"/>
      <c r="UOL1638" s="21"/>
      <c r="UOM1638" s="21"/>
      <c r="UON1638" s="21"/>
      <c r="UOO1638" s="21"/>
      <c r="UOP1638" s="21"/>
      <c r="UOQ1638" s="21"/>
      <c r="UOR1638" s="21"/>
      <c r="UOS1638" s="21"/>
      <c r="UOT1638" s="21"/>
      <c r="UOU1638" s="21"/>
      <c r="UOV1638" s="21"/>
      <c r="UOW1638" s="21"/>
      <c r="UOX1638" s="21"/>
      <c r="UOY1638" s="21"/>
      <c r="UOZ1638" s="21"/>
      <c r="UPA1638" s="21"/>
      <c r="UPB1638" s="21"/>
      <c r="UPC1638" s="21"/>
      <c r="UPD1638" s="21"/>
      <c r="UPE1638" s="21"/>
      <c r="UPF1638" s="21"/>
      <c r="UPG1638" s="21"/>
      <c r="UPH1638" s="21"/>
      <c r="UPI1638" s="21"/>
      <c r="UPJ1638" s="21"/>
      <c r="UPK1638" s="21"/>
      <c r="UPL1638" s="21"/>
      <c r="UPM1638" s="21"/>
      <c r="UPN1638" s="21"/>
      <c r="UPO1638" s="21"/>
      <c r="UPP1638" s="21"/>
      <c r="UPQ1638" s="21"/>
      <c r="UPR1638" s="21"/>
      <c r="UPS1638" s="21"/>
      <c r="UPT1638" s="21"/>
      <c r="UPU1638" s="21"/>
      <c r="UPV1638" s="21"/>
      <c r="UPW1638" s="21"/>
      <c r="UPX1638" s="21"/>
      <c r="UPY1638" s="21"/>
      <c r="UPZ1638" s="21"/>
      <c r="UQA1638" s="21"/>
      <c r="UQB1638" s="21"/>
      <c r="UQC1638" s="21"/>
      <c r="UQD1638" s="21"/>
      <c r="UQE1638" s="21"/>
      <c r="UQF1638" s="21"/>
      <c r="UQG1638" s="21"/>
      <c r="UQH1638" s="21"/>
      <c r="UQI1638" s="21"/>
      <c r="UQJ1638" s="21"/>
      <c r="UQK1638" s="21"/>
      <c r="UQL1638" s="21"/>
      <c r="UQM1638" s="21"/>
      <c r="UQN1638" s="21"/>
      <c r="UQO1638" s="21"/>
      <c r="UQP1638" s="21"/>
      <c r="UQQ1638" s="21"/>
      <c r="UQR1638" s="21"/>
      <c r="UQS1638" s="21"/>
      <c r="UQT1638" s="21"/>
      <c r="UQU1638" s="21"/>
      <c r="UQV1638" s="21"/>
      <c r="UQW1638" s="21"/>
      <c r="UQX1638" s="21"/>
      <c r="UQY1638" s="21"/>
      <c r="UQZ1638" s="21"/>
      <c r="URA1638" s="21"/>
      <c r="URB1638" s="21"/>
      <c r="URC1638" s="21"/>
      <c r="URD1638" s="21"/>
      <c r="URE1638" s="21"/>
      <c r="URF1638" s="21"/>
      <c r="URG1638" s="21"/>
      <c r="URH1638" s="21"/>
      <c r="URI1638" s="21"/>
      <c r="URJ1638" s="21"/>
      <c r="URK1638" s="21"/>
      <c r="URL1638" s="21"/>
      <c r="URM1638" s="21"/>
      <c r="URN1638" s="21"/>
      <c r="URO1638" s="21"/>
      <c r="URP1638" s="21"/>
      <c r="URQ1638" s="21"/>
      <c r="URR1638" s="21"/>
      <c r="URS1638" s="21"/>
      <c r="URT1638" s="21"/>
      <c r="URU1638" s="21"/>
      <c r="URV1638" s="21"/>
      <c r="URW1638" s="21"/>
      <c r="URX1638" s="21"/>
      <c r="URY1638" s="21"/>
      <c r="URZ1638" s="21"/>
      <c r="USA1638" s="21"/>
      <c r="USB1638" s="21"/>
      <c r="USC1638" s="21"/>
      <c r="USD1638" s="21"/>
      <c r="USE1638" s="21"/>
      <c r="USF1638" s="21"/>
      <c r="USG1638" s="21"/>
      <c r="USH1638" s="21"/>
      <c r="USI1638" s="21"/>
      <c r="USJ1638" s="21"/>
      <c r="USK1638" s="21"/>
      <c r="USL1638" s="21"/>
      <c r="USM1638" s="21"/>
      <c r="USN1638" s="21"/>
      <c r="USO1638" s="21"/>
      <c r="USP1638" s="21"/>
      <c r="USQ1638" s="21"/>
      <c r="USR1638" s="21"/>
      <c r="USS1638" s="21"/>
      <c r="UST1638" s="21"/>
      <c r="USU1638" s="21"/>
      <c r="USV1638" s="21"/>
      <c r="USW1638" s="21"/>
      <c r="USX1638" s="21"/>
      <c r="USY1638" s="21"/>
      <c r="USZ1638" s="21"/>
      <c r="UTA1638" s="21"/>
      <c r="UTB1638" s="21"/>
      <c r="UTC1638" s="21"/>
      <c r="UTD1638" s="21"/>
      <c r="UTE1638" s="21"/>
      <c r="UTF1638" s="21"/>
      <c r="UTG1638" s="21"/>
      <c r="UTH1638" s="21"/>
      <c r="UTI1638" s="21"/>
      <c r="UTJ1638" s="21"/>
      <c r="UTK1638" s="21"/>
      <c r="UTL1638" s="21"/>
      <c r="UTM1638" s="21"/>
      <c r="UTN1638" s="21"/>
      <c r="UTO1638" s="21"/>
      <c r="UTP1638" s="21"/>
      <c r="UTQ1638" s="21"/>
      <c r="UTR1638" s="21"/>
      <c r="UTS1638" s="21"/>
      <c r="UTT1638" s="21"/>
      <c r="UTU1638" s="21"/>
      <c r="UTV1638" s="21"/>
      <c r="UTW1638" s="21"/>
      <c r="UTX1638" s="21"/>
      <c r="UTY1638" s="21"/>
      <c r="UTZ1638" s="21"/>
      <c r="UUA1638" s="21"/>
      <c r="UUB1638" s="21"/>
      <c r="UUC1638" s="21"/>
      <c r="UUD1638" s="21"/>
      <c r="UUE1638" s="21"/>
      <c r="UUF1638" s="21"/>
      <c r="UUG1638" s="21"/>
      <c r="UUH1638" s="21"/>
      <c r="UUI1638" s="21"/>
      <c r="UUJ1638" s="21"/>
      <c r="UUK1638" s="21"/>
      <c r="UUL1638" s="21"/>
      <c r="UUM1638" s="21"/>
      <c r="UUN1638" s="21"/>
      <c r="UUO1638" s="21"/>
      <c r="UUP1638" s="21"/>
      <c r="UUQ1638" s="21"/>
      <c r="UUR1638" s="21"/>
      <c r="UUS1638" s="21"/>
      <c r="UUT1638" s="21"/>
      <c r="UUU1638" s="21"/>
      <c r="UUV1638" s="21"/>
      <c r="UUW1638" s="21"/>
      <c r="UUX1638" s="21"/>
      <c r="UUY1638" s="21"/>
      <c r="UUZ1638" s="21"/>
      <c r="UVA1638" s="21"/>
      <c r="UVB1638" s="21"/>
      <c r="UVC1638" s="21"/>
      <c r="UVD1638" s="21"/>
      <c r="UVE1638" s="21"/>
      <c r="UVF1638" s="21"/>
      <c r="UVG1638" s="21"/>
      <c r="UVH1638" s="21"/>
      <c r="UVI1638" s="21"/>
      <c r="UVJ1638" s="21"/>
      <c r="UVK1638" s="21"/>
      <c r="UVL1638" s="21"/>
      <c r="UVM1638" s="21"/>
      <c r="UVN1638" s="21"/>
      <c r="UVO1638" s="21"/>
      <c r="UVP1638" s="21"/>
      <c r="UVQ1638" s="21"/>
      <c r="UVR1638" s="21"/>
      <c r="UVS1638" s="21"/>
      <c r="UVT1638" s="21"/>
      <c r="UVU1638" s="21"/>
      <c r="UVV1638" s="21"/>
      <c r="UVW1638" s="21"/>
      <c r="UVX1638" s="21"/>
      <c r="UVY1638" s="21"/>
      <c r="UVZ1638" s="21"/>
      <c r="UWA1638" s="21"/>
      <c r="UWB1638" s="21"/>
      <c r="UWC1638" s="21"/>
      <c r="UWD1638" s="21"/>
      <c r="UWE1638" s="21"/>
      <c r="UWF1638" s="21"/>
      <c r="UWG1638" s="21"/>
      <c r="UWH1638" s="21"/>
      <c r="UWI1638" s="21"/>
      <c r="UWJ1638" s="21"/>
      <c r="UWK1638" s="21"/>
      <c r="UWL1638" s="21"/>
      <c r="UWM1638" s="21"/>
      <c r="UWN1638" s="21"/>
      <c r="UWO1638" s="21"/>
      <c r="UWP1638" s="21"/>
      <c r="UWQ1638" s="21"/>
      <c r="UWR1638" s="21"/>
      <c r="UWS1638" s="21"/>
      <c r="UWT1638" s="21"/>
      <c r="UWU1638" s="21"/>
      <c r="UWV1638" s="21"/>
      <c r="UWW1638" s="21"/>
      <c r="UWX1638" s="21"/>
      <c r="UWY1638" s="21"/>
      <c r="UWZ1638" s="21"/>
      <c r="UXA1638" s="21"/>
      <c r="UXB1638" s="21"/>
      <c r="UXC1638" s="21"/>
      <c r="UXD1638" s="21"/>
      <c r="UXE1638" s="21"/>
      <c r="UXF1638" s="21"/>
      <c r="UXG1638" s="21"/>
      <c r="UXH1638" s="21"/>
      <c r="UXI1638" s="21"/>
      <c r="UXJ1638" s="21"/>
      <c r="UXK1638" s="21"/>
      <c r="UXL1638" s="21"/>
      <c r="UXM1638" s="21"/>
      <c r="UXN1638" s="21"/>
      <c r="UXO1638" s="21"/>
      <c r="UXP1638" s="21"/>
      <c r="UXQ1638" s="21"/>
      <c r="UXR1638" s="21"/>
      <c r="UXS1638" s="21"/>
      <c r="UXT1638" s="21"/>
      <c r="UXU1638" s="21"/>
      <c r="UXV1638" s="21"/>
      <c r="UXW1638" s="21"/>
      <c r="UXX1638" s="21"/>
      <c r="UXY1638" s="21"/>
      <c r="UXZ1638" s="21"/>
      <c r="UYA1638" s="21"/>
      <c r="UYB1638" s="21"/>
      <c r="UYC1638" s="21"/>
      <c r="UYD1638" s="21"/>
      <c r="UYE1638" s="21"/>
      <c r="UYF1638" s="21"/>
      <c r="UYG1638" s="21"/>
      <c r="UYH1638" s="21"/>
      <c r="UYI1638" s="21"/>
      <c r="UYJ1638" s="21"/>
      <c r="UYK1638" s="21"/>
      <c r="UYL1638" s="21"/>
      <c r="UYM1638" s="21"/>
      <c r="UYN1638" s="21"/>
      <c r="UYO1638" s="21"/>
      <c r="UYP1638" s="21"/>
      <c r="UYQ1638" s="21"/>
      <c r="UYR1638" s="21"/>
      <c r="UYS1638" s="21"/>
      <c r="UYT1638" s="21"/>
      <c r="UYU1638" s="21"/>
      <c r="UYV1638" s="21"/>
      <c r="UYW1638" s="21"/>
      <c r="UYX1638" s="21"/>
      <c r="UYY1638" s="21"/>
      <c r="UYZ1638" s="21"/>
      <c r="UZA1638" s="21"/>
      <c r="UZB1638" s="21"/>
      <c r="UZC1638" s="21"/>
      <c r="UZD1638" s="21"/>
      <c r="UZE1638" s="21"/>
      <c r="UZF1638" s="21"/>
      <c r="UZG1638" s="21"/>
      <c r="UZH1638" s="21"/>
      <c r="UZI1638" s="21"/>
      <c r="UZJ1638" s="21"/>
      <c r="UZK1638" s="21"/>
      <c r="UZL1638" s="21"/>
      <c r="UZM1638" s="21"/>
      <c r="UZN1638" s="21"/>
      <c r="UZO1638" s="21"/>
      <c r="UZP1638" s="21"/>
      <c r="UZQ1638" s="21"/>
      <c r="UZR1638" s="21"/>
      <c r="UZS1638" s="21"/>
      <c r="UZT1638" s="21"/>
      <c r="UZU1638" s="21"/>
      <c r="UZV1638" s="21"/>
      <c r="UZW1638" s="21"/>
      <c r="UZX1638" s="21"/>
      <c r="UZY1638" s="21"/>
      <c r="UZZ1638" s="21"/>
      <c r="VAA1638" s="21"/>
      <c r="VAB1638" s="21"/>
      <c r="VAC1638" s="21"/>
      <c r="VAD1638" s="21"/>
      <c r="VAE1638" s="21"/>
      <c r="VAF1638" s="21"/>
      <c r="VAG1638" s="21"/>
      <c r="VAH1638" s="21"/>
      <c r="VAI1638" s="21"/>
      <c r="VAJ1638" s="21"/>
      <c r="VAK1638" s="21"/>
      <c r="VAL1638" s="21"/>
      <c r="VAM1638" s="21"/>
      <c r="VAN1638" s="21"/>
      <c r="VAO1638" s="21"/>
      <c r="VAP1638" s="21"/>
      <c r="VAQ1638" s="21"/>
      <c r="VAR1638" s="21"/>
      <c r="VAS1638" s="21"/>
      <c r="VAT1638" s="21"/>
      <c r="VAU1638" s="21"/>
      <c r="VAV1638" s="21"/>
      <c r="VAW1638" s="21"/>
      <c r="VAX1638" s="21"/>
      <c r="VAY1638" s="21"/>
      <c r="VAZ1638" s="21"/>
      <c r="VBA1638" s="21"/>
      <c r="VBB1638" s="21"/>
      <c r="VBC1638" s="21"/>
      <c r="VBD1638" s="21"/>
      <c r="VBE1638" s="21"/>
      <c r="VBF1638" s="21"/>
      <c r="VBG1638" s="21"/>
      <c r="VBH1638" s="21"/>
      <c r="VBI1638" s="21"/>
      <c r="VBJ1638" s="21"/>
      <c r="VBK1638" s="21"/>
      <c r="VBL1638" s="21"/>
      <c r="VBM1638" s="21"/>
      <c r="VBN1638" s="21"/>
      <c r="VBO1638" s="21"/>
      <c r="VBP1638" s="21"/>
      <c r="VBQ1638" s="21"/>
      <c r="VBR1638" s="21"/>
      <c r="VBS1638" s="21"/>
      <c r="VBT1638" s="21"/>
      <c r="VBU1638" s="21"/>
      <c r="VBV1638" s="21"/>
      <c r="VBW1638" s="21"/>
      <c r="VBX1638" s="21"/>
      <c r="VBY1638" s="21"/>
      <c r="VBZ1638" s="21"/>
      <c r="VCA1638" s="21"/>
      <c r="VCB1638" s="21"/>
      <c r="VCC1638" s="21"/>
      <c r="VCD1638" s="21"/>
      <c r="VCE1638" s="21"/>
      <c r="VCF1638" s="21"/>
      <c r="VCG1638" s="21"/>
      <c r="VCH1638" s="21"/>
      <c r="VCI1638" s="21"/>
      <c r="VCJ1638" s="21"/>
      <c r="VCK1638" s="21"/>
      <c r="VCL1638" s="21"/>
      <c r="VCM1638" s="21"/>
      <c r="VCN1638" s="21"/>
      <c r="VCO1638" s="21"/>
      <c r="VCP1638" s="21"/>
      <c r="VCQ1638" s="21"/>
      <c r="VCR1638" s="21"/>
      <c r="VCS1638" s="21"/>
      <c r="VCT1638" s="21"/>
      <c r="VCU1638" s="21"/>
      <c r="VCV1638" s="21"/>
      <c r="VCW1638" s="21"/>
      <c r="VCX1638" s="21"/>
      <c r="VCY1638" s="21"/>
      <c r="VCZ1638" s="21"/>
      <c r="VDA1638" s="21"/>
      <c r="VDB1638" s="21"/>
      <c r="VDC1638" s="21"/>
      <c r="VDD1638" s="21"/>
      <c r="VDE1638" s="21"/>
      <c r="VDF1638" s="21"/>
      <c r="VDG1638" s="21"/>
      <c r="VDH1638" s="21"/>
      <c r="VDI1638" s="21"/>
      <c r="VDJ1638" s="21"/>
      <c r="VDK1638" s="21"/>
      <c r="VDL1638" s="21"/>
      <c r="VDM1638" s="21"/>
      <c r="VDN1638" s="21"/>
      <c r="VDO1638" s="21"/>
      <c r="VDP1638" s="21"/>
      <c r="VDQ1638" s="21"/>
      <c r="VDR1638" s="21"/>
      <c r="VDS1638" s="21"/>
      <c r="VDT1638" s="21"/>
      <c r="VDU1638" s="21"/>
      <c r="VDV1638" s="21"/>
      <c r="VDW1638" s="21"/>
      <c r="VDX1638" s="21"/>
      <c r="VDY1638" s="21"/>
      <c r="VDZ1638" s="21"/>
      <c r="VEA1638" s="21"/>
      <c r="VEB1638" s="21"/>
      <c r="VEC1638" s="21"/>
      <c r="VED1638" s="21"/>
      <c r="VEE1638" s="21"/>
      <c r="VEF1638" s="21"/>
      <c r="VEG1638" s="21"/>
      <c r="VEH1638" s="21"/>
      <c r="VEI1638" s="21"/>
      <c r="VEJ1638" s="21"/>
      <c r="VEK1638" s="21"/>
      <c r="VEL1638" s="21"/>
      <c r="VEM1638" s="21"/>
      <c r="VEN1638" s="21"/>
      <c r="VEO1638" s="21"/>
      <c r="VEP1638" s="21"/>
      <c r="VEQ1638" s="21"/>
      <c r="VER1638" s="21"/>
      <c r="VES1638" s="21"/>
      <c r="VET1638" s="21"/>
      <c r="VEU1638" s="21"/>
      <c r="VEV1638" s="21"/>
      <c r="VEW1638" s="21"/>
      <c r="VEX1638" s="21"/>
      <c r="VEY1638" s="21"/>
      <c r="VEZ1638" s="21"/>
      <c r="VFA1638" s="21"/>
      <c r="VFB1638" s="21"/>
      <c r="VFC1638" s="21"/>
      <c r="VFD1638" s="21"/>
      <c r="VFE1638" s="21"/>
      <c r="VFF1638" s="21"/>
      <c r="VFG1638" s="21"/>
      <c r="VFH1638" s="21"/>
      <c r="VFI1638" s="21"/>
      <c r="VFJ1638" s="21"/>
      <c r="VFK1638" s="21"/>
      <c r="VFL1638" s="21"/>
      <c r="VFM1638" s="21"/>
      <c r="VFN1638" s="21"/>
      <c r="VFO1638" s="21"/>
      <c r="VFP1638" s="21"/>
      <c r="VFQ1638" s="21"/>
      <c r="VFR1638" s="21"/>
      <c r="VFS1638" s="21"/>
      <c r="VFT1638" s="21"/>
      <c r="VFU1638" s="21"/>
      <c r="VFV1638" s="21"/>
      <c r="VFW1638" s="21"/>
      <c r="VFX1638" s="21"/>
      <c r="VFY1638" s="21"/>
      <c r="VFZ1638" s="21"/>
      <c r="VGA1638" s="21"/>
      <c r="VGB1638" s="21"/>
      <c r="VGC1638" s="21"/>
      <c r="VGD1638" s="21"/>
      <c r="VGE1638" s="21"/>
      <c r="VGF1638" s="21"/>
      <c r="VGG1638" s="21"/>
      <c r="VGH1638" s="21"/>
      <c r="VGI1638" s="21"/>
      <c r="VGJ1638" s="21"/>
      <c r="VGK1638" s="21"/>
      <c r="VGL1638" s="21"/>
      <c r="VGM1638" s="21"/>
      <c r="VGN1638" s="21"/>
      <c r="VGO1638" s="21"/>
      <c r="VGP1638" s="21"/>
      <c r="VGQ1638" s="21"/>
      <c r="VGR1638" s="21"/>
      <c r="VGS1638" s="21"/>
      <c r="VGT1638" s="21"/>
      <c r="VGU1638" s="21"/>
      <c r="VGV1638" s="21"/>
      <c r="VGW1638" s="21"/>
      <c r="VGX1638" s="21"/>
      <c r="VGY1638" s="21"/>
      <c r="VGZ1638" s="21"/>
      <c r="VHA1638" s="21"/>
      <c r="VHB1638" s="21"/>
      <c r="VHC1638" s="21"/>
      <c r="VHD1638" s="21"/>
      <c r="VHE1638" s="21"/>
      <c r="VHF1638" s="21"/>
      <c r="VHG1638" s="21"/>
      <c r="VHH1638" s="21"/>
      <c r="VHI1638" s="21"/>
      <c r="VHJ1638" s="21"/>
      <c r="VHK1638" s="21"/>
      <c r="VHL1638" s="21"/>
      <c r="VHM1638" s="21"/>
      <c r="VHN1638" s="21"/>
      <c r="VHO1638" s="21"/>
      <c r="VHP1638" s="21"/>
      <c r="VHQ1638" s="21"/>
      <c r="VHR1638" s="21"/>
      <c r="VHS1638" s="21"/>
      <c r="VHT1638" s="21"/>
      <c r="VHU1638" s="21"/>
      <c r="VHV1638" s="21"/>
      <c r="VHW1638" s="21"/>
      <c r="VHX1638" s="21"/>
      <c r="VHY1638" s="21"/>
      <c r="VHZ1638" s="21"/>
      <c r="VIA1638" s="21"/>
      <c r="VIB1638" s="21"/>
      <c r="VIC1638" s="21"/>
      <c r="VID1638" s="21"/>
      <c r="VIE1638" s="21"/>
      <c r="VIF1638" s="21"/>
      <c r="VIG1638" s="21"/>
      <c r="VIH1638" s="21"/>
      <c r="VII1638" s="21"/>
      <c r="VIJ1638" s="21"/>
      <c r="VIK1638" s="21"/>
      <c r="VIL1638" s="21"/>
      <c r="VIM1638" s="21"/>
      <c r="VIN1638" s="21"/>
      <c r="VIO1638" s="21"/>
      <c r="VIP1638" s="21"/>
      <c r="VIQ1638" s="21"/>
      <c r="VIR1638" s="21"/>
      <c r="VIS1638" s="21"/>
      <c r="VIT1638" s="21"/>
      <c r="VIU1638" s="21"/>
      <c r="VIV1638" s="21"/>
      <c r="VIW1638" s="21"/>
      <c r="VIX1638" s="21"/>
      <c r="VIY1638" s="21"/>
      <c r="VIZ1638" s="21"/>
      <c r="VJA1638" s="21"/>
      <c r="VJB1638" s="21"/>
      <c r="VJC1638" s="21"/>
      <c r="VJD1638" s="21"/>
      <c r="VJE1638" s="21"/>
      <c r="VJF1638" s="21"/>
      <c r="VJG1638" s="21"/>
      <c r="VJH1638" s="21"/>
      <c r="VJI1638" s="21"/>
      <c r="VJJ1638" s="21"/>
      <c r="VJK1638" s="21"/>
      <c r="VJL1638" s="21"/>
      <c r="VJM1638" s="21"/>
      <c r="VJN1638" s="21"/>
      <c r="VJO1638" s="21"/>
      <c r="VJP1638" s="21"/>
      <c r="VJQ1638" s="21"/>
      <c r="VJR1638" s="21"/>
      <c r="VJS1638" s="21"/>
      <c r="VJT1638" s="21"/>
      <c r="VJU1638" s="21"/>
      <c r="VJV1638" s="21"/>
      <c r="VJW1638" s="21"/>
      <c r="VJX1638" s="21"/>
      <c r="VJY1638" s="21"/>
      <c r="VJZ1638" s="21"/>
      <c r="VKA1638" s="21"/>
      <c r="VKB1638" s="21"/>
      <c r="VKC1638" s="21"/>
      <c r="VKD1638" s="21"/>
      <c r="VKE1638" s="21"/>
      <c r="VKF1638" s="21"/>
      <c r="VKG1638" s="21"/>
      <c r="VKH1638" s="21"/>
      <c r="VKI1638" s="21"/>
      <c r="VKJ1638" s="21"/>
      <c r="VKK1638" s="21"/>
      <c r="VKL1638" s="21"/>
      <c r="VKM1638" s="21"/>
      <c r="VKN1638" s="21"/>
      <c r="VKO1638" s="21"/>
      <c r="VKP1638" s="21"/>
      <c r="VKQ1638" s="21"/>
      <c r="VKR1638" s="21"/>
      <c r="VKS1638" s="21"/>
      <c r="VKT1638" s="21"/>
      <c r="VKU1638" s="21"/>
      <c r="VKV1638" s="21"/>
      <c r="VKW1638" s="21"/>
      <c r="VKX1638" s="21"/>
      <c r="VKY1638" s="21"/>
      <c r="VKZ1638" s="21"/>
      <c r="VLA1638" s="21"/>
      <c r="VLB1638" s="21"/>
      <c r="VLC1638" s="21"/>
      <c r="VLD1638" s="21"/>
      <c r="VLE1638" s="21"/>
      <c r="VLF1638" s="21"/>
      <c r="VLG1638" s="21"/>
      <c r="VLH1638" s="21"/>
      <c r="VLI1638" s="21"/>
      <c r="VLJ1638" s="21"/>
      <c r="VLK1638" s="21"/>
      <c r="VLL1638" s="21"/>
      <c r="VLM1638" s="21"/>
      <c r="VLN1638" s="21"/>
      <c r="VLO1638" s="21"/>
      <c r="VLP1638" s="21"/>
      <c r="VLQ1638" s="21"/>
      <c r="VLR1638" s="21"/>
      <c r="VLS1638" s="21"/>
      <c r="VLT1638" s="21"/>
      <c r="VLU1638" s="21"/>
      <c r="VLV1638" s="21"/>
      <c r="VLW1638" s="21"/>
      <c r="VLX1638" s="21"/>
      <c r="VLY1638" s="21"/>
      <c r="VLZ1638" s="21"/>
      <c r="VMA1638" s="21"/>
      <c r="VMB1638" s="21"/>
      <c r="VMC1638" s="21"/>
      <c r="VMD1638" s="21"/>
      <c r="VME1638" s="21"/>
      <c r="VMF1638" s="21"/>
      <c r="VMG1638" s="21"/>
      <c r="VMH1638" s="21"/>
      <c r="VMI1638" s="21"/>
      <c r="VMJ1638" s="21"/>
      <c r="VMK1638" s="21"/>
      <c r="VML1638" s="21"/>
      <c r="VMM1638" s="21"/>
      <c r="VMN1638" s="21"/>
      <c r="VMO1638" s="21"/>
      <c r="VMP1638" s="21"/>
      <c r="VMQ1638" s="21"/>
      <c r="VMR1638" s="21"/>
      <c r="VMS1638" s="21"/>
      <c r="VMT1638" s="21"/>
      <c r="VMU1638" s="21"/>
      <c r="VMV1638" s="21"/>
      <c r="VMW1638" s="21"/>
      <c r="VMX1638" s="21"/>
      <c r="VMY1638" s="21"/>
      <c r="VMZ1638" s="21"/>
      <c r="VNA1638" s="21"/>
      <c r="VNB1638" s="21"/>
      <c r="VNC1638" s="21"/>
      <c r="VND1638" s="21"/>
      <c r="VNE1638" s="21"/>
      <c r="VNF1638" s="21"/>
      <c r="VNG1638" s="21"/>
      <c r="VNH1638" s="21"/>
      <c r="VNI1638" s="21"/>
      <c r="VNJ1638" s="21"/>
      <c r="VNK1638" s="21"/>
      <c r="VNL1638" s="21"/>
      <c r="VNM1638" s="21"/>
      <c r="VNN1638" s="21"/>
      <c r="VNO1638" s="21"/>
      <c r="VNP1638" s="21"/>
      <c r="VNQ1638" s="21"/>
      <c r="VNR1638" s="21"/>
      <c r="VNS1638" s="21"/>
      <c r="VNT1638" s="21"/>
      <c r="VNU1638" s="21"/>
      <c r="VNV1638" s="21"/>
      <c r="VNW1638" s="21"/>
      <c r="VNX1638" s="21"/>
      <c r="VNY1638" s="21"/>
      <c r="VNZ1638" s="21"/>
      <c r="VOA1638" s="21"/>
      <c r="VOB1638" s="21"/>
      <c r="VOC1638" s="21"/>
      <c r="VOD1638" s="21"/>
      <c r="VOE1638" s="21"/>
      <c r="VOF1638" s="21"/>
      <c r="VOG1638" s="21"/>
      <c r="VOH1638" s="21"/>
      <c r="VOI1638" s="21"/>
      <c r="VOJ1638" s="21"/>
      <c r="VOK1638" s="21"/>
      <c r="VOL1638" s="21"/>
      <c r="VOM1638" s="21"/>
      <c r="VON1638" s="21"/>
      <c r="VOO1638" s="21"/>
      <c r="VOP1638" s="21"/>
      <c r="VOQ1638" s="21"/>
      <c r="VOR1638" s="21"/>
      <c r="VOS1638" s="21"/>
      <c r="VOT1638" s="21"/>
      <c r="VOU1638" s="21"/>
      <c r="VOV1638" s="21"/>
      <c r="VOW1638" s="21"/>
      <c r="VOX1638" s="21"/>
      <c r="VOY1638" s="21"/>
      <c r="VOZ1638" s="21"/>
      <c r="VPA1638" s="21"/>
      <c r="VPB1638" s="21"/>
      <c r="VPC1638" s="21"/>
      <c r="VPD1638" s="21"/>
      <c r="VPE1638" s="21"/>
      <c r="VPF1638" s="21"/>
      <c r="VPG1638" s="21"/>
      <c r="VPH1638" s="21"/>
      <c r="VPI1638" s="21"/>
      <c r="VPJ1638" s="21"/>
      <c r="VPK1638" s="21"/>
      <c r="VPL1638" s="21"/>
      <c r="VPM1638" s="21"/>
      <c r="VPN1638" s="21"/>
      <c r="VPO1638" s="21"/>
      <c r="VPP1638" s="21"/>
      <c r="VPQ1638" s="21"/>
      <c r="VPR1638" s="21"/>
      <c r="VPS1638" s="21"/>
      <c r="VPT1638" s="21"/>
      <c r="VPU1638" s="21"/>
      <c r="VPV1638" s="21"/>
      <c r="VPW1638" s="21"/>
      <c r="VPX1638" s="21"/>
      <c r="VPY1638" s="21"/>
      <c r="VPZ1638" s="21"/>
      <c r="VQA1638" s="21"/>
      <c r="VQB1638" s="21"/>
      <c r="VQC1638" s="21"/>
      <c r="VQD1638" s="21"/>
      <c r="VQE1638" s="21"/>
      <c r="VQF1638" s="21"/>
      <c r="VQG1638" s="21"/>
      <c r="VQH1638" s="21"/>
      <c r="VQI1638" s="21"/>
      <c r="VQJ1638" s="21"/>
      <c r="VQK1638" s="21"/>
      <c r="VQL1638" s="21"/>
      <c r="VQM1638" s="21"/>
      <c r="VQN1638" s="21"/>
      <c r="VQO1638" s="21"/>
      <c r="VQP1638" s="21"/>
      <c r="VQQ1638" s="21"/>
      <c r="VQR1638" s="21"/>
      <c r="VQS1638" s="21"/>
      <c r="VQT1638" s="21"/>
      <c r="VQU1638" s="21"/>
      <c r="VQV1638" s="21"/>
      <c r="VQW1638" s="21"/>
      <c r="VQX1638" s="21"/>
      <c r="VQY1638" s="21"/>
      <c r="VQZ1638" s="21"/>
      <c r="VRA1638" s="21"/>
      <c r="VRB1638" s="21"/>
      <c r="VRC1638" s="21"/>
      <c r="VRD1638" s="21"/>
      <c r="VRE1638" s="21"/>
      <c r="VRF1638" s="21"/>
      <c r="VRG1638" s="21"/>
      <c r="VRH1638" s="21"/>
      <c r="VRI1638" s="21"/>
      <c r="VRJ1638" s="21"/>
      <c r="VRK1638" s="21"/>
      <c r="VRL1638" s="21"/>
      <c r="VRM1638" s="21"/>
      <c r="VRN1638" s="21"/>
      <c r="VRO1638" s="21"/>
      <c r="VRP1638" s="21"/>
      <c r="VRQ1638" s="21"/>
      <c r="VRR1638" s="21"/>
      <c r="VRS1638" s="21"/>
      <c r="VRT1638" s="21"/>
      <c r="VRU1638" s="21"/>
      <c r="VRV1638" s="21"/>
      <c r="VRW1638" s="21"/>
      <c r="VRX1638" s="21"/>
      <c r="VRY1638" s="21"/>
      <c r="VRZ1638" s="21"/>
      <c r="VSA1638" s="21"/>
      <c r="VSB1638" s="21"/>
      <c r="VSC1638" s="21"/>
      <c r="VSD1638" s="21"/>
      <c r="VSE1638" s="21"/>
      <c r="VSF1638" s="21"/>
      <c r="VSG1638" s="21"/>
      <c r="VSH1638" s="21"/>
      <c r="VSI1638" s="21"/>
      <c r="VSJ1638" s="21"/>
      <c r="VSK1638" s="21"/>
      <c r="VSL1638" s="21"/>
      <c r="VSM1638" s="21"/>
      <c r="VSN1638" s="21"/>
      <c r="VSO1638" s="21"/>
      <c r="VSP1638" s="21"/>
      <c r="VSQ1638" s="21"/>
      <c r="VSR1638" s="21"/>
      <c r="VSS1638" s="21"/>
      <c r="VST1638" s="21"/>
      <c r="VSU1638" s="21"/>
      <c r="VSV1638" s="21"/>
      <c r="VSW1638" s="21"/>
      <c r="VSX1638" s="21"/>
      <c r="VSY1638" s="21"/>
      <c r="VSZ1638" s="21"/>
      <c r="VTA1638" s="21"/>
      <c r="VTB1638" s="21"/>
      <c r="VTC1638" s="21"/>
      <c r="VTD1638" s="21"/>
      <c r="VTE1638" s="21"/>
      <c r="VTF1638" s="21"/>
      <c r="VTG1638" s="21"/>
      <c r="VTH1638" s="21"/>
      <c r="VTI1638" s="21"/>
      <c r="VTJ1638" s="21"/>
      <c r="VTK1638" s="21"/>
      <c r="VTL1638" s="21"/>
      <c r="VTM1638" s="21"/>
      <c r="VTN1638" s="21"/>
      <c r="VTO1638" s="21"/>
      <c r="VTP1638" s="21"/>
      <c r="VTQ1638" s="21"/>
      <c r="VTR1638" s="21"/>
      <c r="VTS1638" s="21"/>
      <c r="VTT1638" s="21"/>
      <c r="VTU1638" s="21"/>
      <c r="VTV1638" s="21"/>
      <c r="VTW1638" s="21"/>
      <c r="VTX1638" s="21"/>
      <c r="VTY1638" s="21"/>
      <c r="VTZ1638" s="21"/>
      <c r="VUA1638" s="21"/>
      <c r="VUB1638" s="21"/>
      <c r="VUC1638" s="21"/>
      <c r="VUD1638" s="21"/>
      <c r="VUE1638" s="21"/>
      <c r="VUF1638" s="21"/>
      <c r="VUG1638" s="21"/>
      <c r="VUH1638" s="21"/>
      <c r="VUI1638" s="21"/>
      <c r="VUJ1638" s="21"/>
      <c r="VUK1638" s="21"/>
      <c r="VUL1638" s="21"/>
      <c r="VUM1638" s="21"/>
      <c r="VUN1638" s="21"/>
      <c r="VUO1638" s="21"/>
      <c r="VUP1638" s="21"/>
      <c r="VUQ1638" s="21"/>
      <c r="VUR1638" s="21"/>
      <c r="VUS1638" s="21"/>
      <c r="VUT1638" s="21"/>
      <c r="VUU1638" s="21"/>
      <c r="VUV1638" s="21"/>
      <c r="VUW1638" s="21"/>
      <c r="VUX1638" s="21"/>
      <c r="VUY1638" s="21"/>
      <c r="VUZ1638" s="21"/>
      <c r="VVA1638" s="21"/>
      <c r="VVB1638" s="21"/>
      <c r="VVC1638" s="21"/>
      <c r="VVD1638" s="21"/>
      <c r="VVE1638" s="21"/>
      <c r="VVF1638" s="21"/>
      <c r="VVG1638" s="21"/>
      <c r="VVH1638" s="21"/>
      <c r="VVI1638" s="21"/>
      <c r="VVJ1638" s="21"/>
      <c r="VVK1638" s="21"/>
      <c r="VVL1638" s="21"/>
      <c r="VVM1638" s="21"/>
      <c r="VVN1638" s="21"/>
      <c r="VVO1638" s="21"/>
      <c r="VVP1638" s="21"/>
      <c r="VVQ1638" s="21"/>
      <c r="VVR1638" s="21"/>
      <c r="VVS1638" s="21"/>
      <c r="VVT1638" s="21"/>
      <c r="VVU1638" s="21"/>
      <c r="VVV1638" s="21"/>
      <c r="VVW1638" s="21"/>
      <c r="VVX1638" s="21"/>
      <c r="VVY1638" s="21"/>
      <c r="VVZ1638" s="21"/>
      <c r="VWA1638" s="21"/>
      <c r="VWB1638" s="21"/>
      <c r="VWC1638" s="21"/>
      <c r="VWD1638" s="21"/>
      <c r="VWE1638" s="21"/>
      <c r="VWF1638" s="21"/>
      <c r="VWG1638" s="21"/>
      <c r="VWH1638" s="21"/>
      <c r="VWI1638" s="21"/>
      <c r="VWJ1638" s="21"/>
      <c r="VWK1638" s="21"/>
      <c r="VWL1638" s="21"/>
      <c r="VWM1638" s="21"/>
      <c r="VWN1638" s="21"/>
      <c r="VWO1638" s="21"/>
      <c r="VWP1638" s="21"/>
      <c r="VWQ1638" s="21"/>
      <c r="VWR1638" s="21"/>
      <c r="VWS1638" s="21"/>
      <c r="VWT1638" s="21"/>
      <c r="VWU1638" s="21"/>
      <c r="VWV1638" s="21"/>
      <c r="VWW1638" s="21"/>
      <c r="VWX1638" s="21"/>
      <c r="VWY1638" s="21"/>
      <c r="VWZ1638" s="21"/>
      <c r="VXA1638" s="21"/>
      <c r="VXB1638" s="21"/>
      <c r="VXC1638" s="21"/>
      <c r="VXD1638" s="21"/>
      <c r="VXE1638" s="21"/>
      <c r="VXF1638" s="21"/>
      <c r="VXG1638" s="21"/>
      <c r="VXH1638" s="21"/>
      <c r="VXI1638" s="21"/>
      <c r="VXJ1638" s="21"/>
      <c r="VXK1638" s="21"/>
      <c r="VXL1638" s="21"/>
      <c r="VXM1638" s="21"/>
      <c r="VXN1638" s="21"/>
      <c r="VXO1638" s="21"/>
      <c r="VXP1638" s="21"/>
      <c r="VXQ1638" s="21"/>
      <c r="VXR1638" s="21"/>
      <c r="VXS1638" s="21"/>
      <c r="VXT1638" s="21"/>
      <c r="VXU1638" s="21"/>
      <c r="VXV1638" s="21"/>
      <c r="VXW1638" s="21"/>
      <c r="VXX1638" s="21"/>
      <c r="VXY1638" s="21"/>
      <c r="VXZ1638" s="21"/>
      <c r="VYA1638" s="21"/>
      <c r="VYB1638" s="21"/>
      <c r="VYC1638" s="21"/>
      <c r="VYD1638" s="21"/>
      <c r="VYE1638" s="21"/>
      <c r="VYF1638" s="21"/>
      <c r="VYG1638" s="21"/>
      <c r="VYH1638" s="21"/>
      <c r="VYI1638" s="21"/>
      <c r="VYJ1638" s="21"/>
      <c r="VYK1638" s="21"/>
      <c r="VYL1638" s="21"/>
      <c r="VYM1638" s="21"/>
      <c r="VYN1638" s="21"/>
      <c r="VYO1638" s="21"/>
      <c r="VYP1638" s="21"/>
      <c r="VYQ1638" s="21"/>
      <c r="VYR1638" s="21"/>
      <c r="VYS1638" s="21"/>
      <c r="VYT1638" s="21"/>
      <c r="VYU1638" s="21"/>
      <c r="VYV1638" s="21"/>
      <c r="VYW1638" s="21"/>
      <c r="VYX1638" s="21"/>
      <c r="VYY1638" s="21"/>
      <c r="VYZ1638" s="21"/>
      <c r="VZA1638" s="21"/>
      <c r="VZB1638" s="21"/>
      <c r="VZC1638" s="21"/>
      <c r="VZD1638" s="21"/>
      <c r="VZE1638" s="21"/>
      <c r="VZF1638" s="21"/>
      <c r="VZG1638" s="21"/>
      <c r="VZH1638" s="21"/>
      <c r="VZI1638" s="21"/>
      <c r="VZJ1638" s="21"/>
      <c r="VZK1638" s="21"/>
      <c r="VZL1638" s="21"/>
      <c r="VZM1638" s="21"/>
      <c r="VZN1638" s="21"/>
      <c r="VZO1638" s="21"/>
      <c r="VZP1638" s="21"/>
      <c r="VZQ1638" s="21"/>
      <c r="VZR1638" s="21"/>
      <c r="VZS1638" s="21"/>
      <c r="VZT1638" s="21"/>
      <c r="VZU1638" s="21"/>
      <c r="VZV1638" s="21"/>
      <c r="VZW1638" s="21"/>
      <c r="VZX1638" s="21"/>
      <c r="VZY1638" s="21"/>
      <c r="VZZ1638" s="21"/>
      <c r="WAA1638" s="21"/>
      <c r="WAB1638" s="21"/>
      <c r="WAC1638" s="21"/>
      <c r="WAD1638" s="21"/>
      <c r="WAE1638" s="21"/>
      <c r="WAF1638" s="21"/>
      <c r="WAG1638" s="21"/>
      <c r="WAH1638" s="21"/>
      <c r="WAI1638" s="21"/>
      <c r="WAJ1638" s="21"/>
      <c r="WAK1638" s="21"/>
      <c r="WAL1638" s="21"/>
      <c r="WAM1638" s="21"/>
      <c r="WAN1638" s="21"/>
      <c r="WAO1638" s="21"/>
      <c r="WAP1638" s="21"/>
      <c r="WAQ1638" s="21"/>
      <c r="WAR1638" s="21"/>
      <c r="WAS1638" s="21"/>
      <c r="WAT1638" s="21"/>
      <c r="WAU1638" s="21"/>
      <c r="WAV1638" s="21"/>
      <c r="WAW1638" s="21"/>
      <c r="WAX1638" s="21"/>
      <c r="WAY1638" s="21"/>
      <c r="WAZ1638" s="21"/>
      <c r="WBA1638" s="21"/>
      <c r="WBB1638" s="21"/>
      <c r="WBC1638" s="21"/>
      <c r="WBD1638" s="21"/>
      <c r="WBE1638" s="21"/>
      <c r="WBF1638" s="21"/>
      <c r="WBG1638" s="21"/>
      <c r="WBH1638" s="21"/>
      <c r="WBI1638" s="21"/>
      <c r="WBJ1638" s="21"/>
      <c r="WBK1638" s="21"/>
      <c r="WBL1638" s="21"/>
      <c r="WBM1638" s="21"/>
      <c r="WBN1638" s="21"/>
      <c r="WBO1638" s="21"/>
      <c r="WBP1638" s="21"/>
      <c r="WBQ1638" s="21"/>
      <c r="WBR1638" s="21"/>
      <c r="WBS1638" s="21"/>
      <c r="WBT1638" s="21"/>
      <c r="WBU1638" s="21"/>
      <c r="WBV1638" s="21"/>
      <c r="WBW1638" s="21"/>
      <c r="WBX1638" s="21"/>
      <c r="WBY1638" s="21"/>
      <c r="WBZ1638" s="21"/>
      <c r="WCA1638" s="21"/>
      <c r="WCB1638" s="21"/>
      <c r="WCC1638" s="21"/>
      <c r="WCD1638" s="21"/>
      <c r="WCE1638" s="21"/>
      <c r="WCF1638" s="21"/>
      <c r="WCG1638" s="21"/>
      <c r="WCH1638" s="21"/>
      <c r="WCI1638" s="21"/>
      <c r="WCJ1638" s="21"/>
      <c r="WCK1638" s="21"/>
      <c r="WCL1638" s="21"/>
      <c r="WCM1638" s="21"/>
      <c r="WCN1638" s="21"/>
      <c r="WCO1638" s="21"/>
      <c r="WCP1638" s="21"/>
      <c r="WCQ1638" s="21"/>
      <c r="WCR1638" s="21"/>
      <c r="WCS1638" s="21"/>
      <c r="WCT1638" s="21"/>
      <c r="WCU1638" s="21"/>
      <c r="WCV1638" s="21"/>
      <c r="WCW1638" s="21"/>
      <c r="WCX1638" s="21"/>
      <c r="WCY1638" s="21"/>
      <c r="WCZ1638" s="21"/>
      <c r="WDA1638" s="21"/>
      <c r="WDB1638" s="21"/>
      <c r="WDC1638" s="21"/>
      <c r="WDD1638" s="21"/>
      <c r="WDE1638" s="21"/>
      <c r="WDF1638" s="21"/>
      <c r="WDG1638" s="21"/>
      <c r="WDH1638" s="21"/>
      <c r="WDI1638" s="21"/>
      <c r="WDJ1638" s="21"/>
      <c r="WDK1638" s="21"/>
      <c r="WDL1638" s="21"/>
      <c r="WDM1638" s="21"/>
      <c r="WDN1638" s="21"/>
      <c r="WDO1638" s="21"/>
      <c r="WDP1638" s="21"/>
      <c r="WDQ1638" s="21"/>
      <c r="WDR1638" s="21"/>
      <c r="WDS1638" s="21"/>
      <c r="WDT1638" s="21"/>
      <c r="WDU1638" s="21"/>
      <c r="WDV1638" s="21"/>
      <c r="WDW1638" s="21"/>
      <c r="WDX1638" s="21"/>
      <c r="WDY1638" s="21"/>
      <c r="WDZ1638" s="21"/>
      <c r="WEA1638" s="21"/>
      <c r="WEB1638" s="21"/>
      <c r="WEC1638" s="21"/>
      <c r="WED1638" s="21"/>
      <c r="WEE1638" s="21"/>
      <c r="WEF1638" s="21"/>
      <c r="WEG1638" s="21"/>
      <c r="WEH1638" s="21"/>
      <c r="WEI1638" s="21"/>
      <c r="WEJ1638" s="21"/>
      <c r="WEK1638" s="21"/>
      <c r="WEL1638" s="21"/>
      <c r="WEM1638" s="21"/>
      <c r="WEN1638" s="21"/>
      <c r="WEO1638" s="21"/>
      <c r="WEP1638" s="21"/>
      <c r="WEQ1638" s="21"/>
      <c r="WER1638" s="21"/>
      <c r="WES1638" s="21"/>
      <c r="WET1638" s="21"/>
      <c r="WEU1638" s="21"/>
      <c r="WEV1638" s="21"/>
      <c r="WEW1638" s="21"/>
      <c r="WEX1638" s="21"/>
      <c r="WEY1638" s="21"/>
      <c r="WEZ1638" s="21"/>
      <c r="WFA1638" s="21"/>
      <c r="WFB1638" s="21"/>
      <c r="WFC1638" s="21"/>
      <c r="WFD1638" s="21"/>
      <c r="WFE1638" s="21"/>
      <c r="WFF1638" s="21"/>
      <c r="WFG1638" s="21"/>
      <c r="WFH1638" s="21"/>
      <c r="WFI1638" s="21"/>
      <c r="WFJ1638" s="21"/>
      <c r="WFK1638" s="21"/>
      <c r="WFL1638" s="21"/>
      <c r="WFM1638" s="21"/>
      <c r="WFN1638" s="21"/>
      <c r="WFO1638" s="21"/>
      <c r="WFP1638" s="21"/>
      <c r="WFQ1638" s="21"/>
      <c r="WFR1638" s="21"/>
      <c r="WFS1638" s="21"/>
      <c r="WFT1638" s="21"/>
      <c r="WFU1638" s="21"/>
      <c r="WFV1638" s="21"/>
      <c r="WFW1638" s="21"/>
      <c r="WFX1638" s="21"/>
      <c r="WFY1638" s="21"/>
      <c r="WFZ1638" s="21"/>
      <c r="WGA1638" s="21"/>
      <c r="WGB1638" s="21"/>
      <c r="WGC1638" s="21"/>
      <c r="WGD1638" s="21"/>
      <c r="WGE1638" s="21"/>
      <c r="WGF1638" s="21"/>
      <c r="WGG1638" s="21"/>
      <c r="WGH1638" s="21"/>
      <c r="WGI1638" s="21"/>
      <c r="WGJ1638" s="21"/>
      <c r="WGK1638" s="21"/>
      <c r="WGL1638" s="21"/>
      <c r="WGM1638" s="21"/>
      <c r="WGN1638" s="21"/>
      <c r="WGO1638" s="21"/>
      <c r="WGP1638" s="21"/>
      <c r="WGQ1638" s="21"/>
      <c r="WGR1638" s="21"/>
      <c r="WGS1638" s="21"/>
      <c r="WGT1638" s="21"/>
      <c r="WGU1638" s="21"/>
      <c r="WGV1638" s="21"/>
      <c r="WGW1638" s="21"/>
      <c r="WGX1638" s="21"/>
      <c r="WGY1638" s="21"/>
      <c r="WGZ1638" s="21"/>
      <c r="WHA1638" s="21"/>
      <c r="WHB1638" s="21"/>
      <c r="WHC1638" s="21"/>
      <c r="WHD1638" s="21"/>
      <c r="WHE1638" s="21"/>
      <c r="WHF1638" s="21"/>
      <c r="WHG1638" s="21"/>
      <c r="WHH1638" s="21"/>
      <c r="WHI1638" s="21"/>
      <c r="WHJ1638" s="21"/>
      <c r="WHK1638" s="21"/>
      <c r="WHL1638" s="21"/>
      <c r="WHM1638" s="21"/>
      <c r="WHN1638" s="21"/>
      <c r="WHO1638" s="21"/>
      <c r="WHP1638" s="21"/>
      <c r="WHQ1638" s="21"/>
      <c r="WHR1638" s="21"/>
      <c r="WHS1638" s="21"/>
      <c r="WHT1638" s="21"/>
      <c r="WHU1638" s="21"/>
      <c r="WHV1638" s="21"/>
      <c r="WHW1638" s="21"/>
      <c r="WHX1638" s="21"/>
      <c r="WHY1638" s="21"/>
      <c r="WHZ1638" s="21"/>
      <c r="WIA1638" s="21"/>
      <c r="WIB1638" s="21"/>
      <c r="WIC1638" s="21"/>
      <c r="WID1638" s="21"/>
      <c r="WIE1638" s="21"/>
      <c r="WIF1638" s="21"/>
      <c r="WIG1638" s="21"/>
      <c r="WIH1638" s="21"/>
      <c r="WII1638" s="21"/>
      <c r="WIJ1638" s="21"/>
      <c r="WIK1638" s="21"/>
      <c r="WIL1638" s="21"/>
      <c r="WIM1638" s="21"/>
      <c r="WIN1638" s="21"/>
      <c r="WIO1638" s="21"/>
      <c r="WIP1638" s="21"/>
      <c r="WIQ1638" s="21"/>
      <c r="WIR1638" s="21"/>
      <c r="WIS1638" s="21"/>
      <c r="WIT1638" s="21"/>
      <c r="WIU1638" s="21"/>
      <c r="WIV1638" s="21"/>
      <c r="WIW1638" s="21"/>
      <c r="WIX1638" s="21"/>
      <c r="WIY1638" s="21"/>
      <c r="WIZ1638" s="21"/>
      <c r="WJA1638" s="21"/>
      <c r="WJB1638" s="21"/>
      <c r="WJC1638" s="21"/>
      <c r="WJD1638" s="21"/>
      <c r="WJE1638" s="21"/>
      <c r="WJF1638" s="21"/>
      <c r="WJG1638" s="21"/>
      <c r="WJH1638" s="21"/>
      <c r="WJI1638" s="21"/>
      <c r="WJJ1638" s="21"/>
      <c r="WJK1638" s="21"/>
      <c r="WJL1638" s="21"/>
      <c r="WJM1638" s="21"/>
      <c r="WJN1638" s="21"/>
      <c r="WJO1638" s="21"/>
      <c r="WJP1638" s="21"/>
      <c r="WJQ1638" s="21"/>
      <c r="WJR1638" s="21"/>
      <c r="WJS1638" s="21"/>
      <c r="WJT1638" s="21"/>
      <c r="WJU1638" s="21"/>
      <c r="WJV1638" s="21"/>
      <c r="WJW1638" s="21"/>
      <c r="WJX1638" s="21"/>
      <c r="WJY1638" s="21"/>
      <c r="WJZ1638" s="21"/>
      <c r="WKA1638" s="21"/>
      <c r="WKB1638" s="21"/>
      <c r="WKC1638" s="21"/>
      <c r="WKD1638" s="21"/>
      <c r="WKE1638" s="21"/>
      <c r="WKF1638" s="21"/>
      <c r="WKG1638" s="21"/>
      <c r="WKH1638" s="21"/>
      <c r="WKI1638" s="21"/>
      <c r="WKJ1638" s="21"/>
      <c r="WKK1638" s="21"/>
      <c r="WKL1638" s="21"/>
      <c r="WKM1638" s="21"/>
      <c r="WKN1638" s="21"/>
      <c r="WKO1638" s="21"/>
      <c r="WKP1638" s="21"/>
      <c r="WKQ1638" s="21"/>
      <c r="WKR1638" s="21"/>
      <c r="WKS1638" s="21"/>
      <c r="WKT1638" s="21"/>
      <c r="WKU1638" s="21"/>
      <c r="WKV1638" s="21"/>
      <c r="WKW1638" s="21"/>
      <c r="WKX1638" s="21"/>
      <c r="WKY1638" s="21"/>
      <c r="WKZ1638" s="21"/>
      <c r="WLA1638" s="21"/>
      <c r="WLB1638" s="21"/>
      <c r="WLC1638" s="21"/>
      <c r="WLD1638" s="21"/>
      <c r="WLE1638" s="21"/>
      <c r="WLF1638" s="21"/>
      <c r="WLG1638" s="21"/>
      <c r="WLH1638" s="21"/>
      <c r="WLI1638" s="21"/>
      <c r="WLJ1638" s="21"/>
      <c r="WLK1638" s="21"/>
      <c r="WLL1638" s="21"/>
      <c r="WLM1638" s="21"/>
      <c r="WLN1638" s="21"/>
      <c r="WLO1638" s="21"/>
      <c r="WLP1638" s="21"/>
      <c r="WLQ1638" s="21"/>
      <c r="WLR1638" s="21"/>
      <c r="WLS1638" s="21"/>
      <c r="WLT1638" s="21"/>
      <c r="WLU1638" s="21"/>
      <c r="WLV1638" s="21"/>
      <c r="WLW1638" s="21"/>
      <c r="WLX1638" s="21"/>
      <c r="WLY1638" s="21"/>
      <c r="WLZ1638" s="21"/>
      <c r="WMA1638" s="21"/>
      <c r="WMB1638" s="21"/>
      <c r="WMC1638" s="21"/>
      <c r="WMD1638" s="21"/>
      <c r="WME1638" s="21"/>
      <c r="WMF1638" s="21"/>
      <c r="WMG1638" s="21"/>
      <c r="WMH1638" s="21"/>
      <c r="WMI1638" s="21"/>
      <c r="WMJ1638" s="21"/>
      <c r="WMK1638" s="21"/>
      <c r="WML1638" s="21"/>
      <c r="WMM1638" s="21"/>
      <c r="WMN1638" s="21"/>
      <c r="WMO1638" s="21"/>
      <c r="WMP1638" s="21"/>
      <c r="WMQ1638" s="21"/>
      <c r="WMR1638" s="21"/>
      <c r="WMS1638" s="21"/>
      <c r="WMT1638" s="21"/>
      <c r="WMU1638" s="21"/>
      <c r="WMV1638" s="21"/>
      <c r="WMW1638" s="21"/>
      <c r="WMX1638" s="21"/>
      <c r="WMY1638" s="21"/>
      <c r="WMZ1638" s="21"/>
      <c r="WNA1638" s="21"/>
      <c r="WNB1638" s="21"/>
      <c r="WNC1638" s="21"/>
      <c r="WND1638" s="21"/>
      <c r="WNE1638" s="21"/>
      <c r="WNF1638" s="21"/>
      <c r="WNG1638" s="21"/>
      <c r="WNH1638" s="21"/>
      <c r="WNI1638" s="21"/>
      <c r="WNJ1638" s="21"/>
      <c r="WNK1638" s="21"/>
      <c r="WNL1638" s="21"/>
      <c r="WNM1638" s="21"/>
      <c r="WNN1638" s="21"/>
      <c r="WNO1638" s="21"/>
      <c r="WNP1638" s="21"/>
      <c r="WNQ1638" s="21"/>
      <c r="WNR1638" s="21"/>
      <c r="WNS1638" s="21"/>
      <c r="WNT1638" s="21"/>
      <c r="WNU1638" s="21"/>
      <c r="WNV1638" s="21"/>
      <c r="WNW1638" s="21"/>
      <c r="WNX1638" s="21"/>
      <c r="WNY1638" s="21"/>
      <c r="WNZ1638" s="21"/>
      <c r="WOA1638" s="21"/>
      <c r="WOB1638" s="21"/>
      <c r="WOC1638" s="21"/>
      <c r="WOD1638" s="21"/>
      <c r="WOE1638" s="21"/>
      <c r="WOF1638" s="21"/>
      <c r="WOG1638" s="21"/>
      <c r="WOH1638" s="21"/>
      <c r="WOI1638" s="21"/>
      <c r="WOJ1638" s="21"/>
      <c r="WOK1638" s="21"/>
      <c r="WOL1638" s="21"/>
      <c r="WOM1638" s="21"/>
      <c r="WON1638" s="21"/>
      <c r="WOO1638" s="21"/>
      <c r="WOP1638" s="21"/>
      <c r="WOQ1638" s="21"/>
      <c r="WOR1638" s="21"/>
      <c r="WOS1638" s="21"/>
      <c r="WOT1638" s="21"/>
      <c r="WOU1638" s="21"/>
      <c r="WOV1638" s="21"/>
      <c r="WOW1638" s="21"/>
      <c r="WOX1638" s="21"/>
      <c r="WOY1638" s="21"/>
      <c r="WOZ1638" s="21"/>
      <c r="WPA1638" s="21"/>
      <c r="WPB1638" s="21"/>
      <c r="WPC1638" s="21"/>
      <c r="WPD1638" s="21"/>
      <c r="WPE1638" s="21"/>
      <c r="WPF1638" s="21"/>
      <c r="WPG1638" s="21"/>
      <c r="WPH1638" s="21"/>
      <c r="WPI1638" s="21"/>
      <c r="WPJ1638" s="21"/>
      <c r="WPK1638" s="21"/>
      <c r="WPL1638" s="21"/>
      <c r="WPM1638" s="21"/>
      <c r="WPN1638" s="21"/>
      <c r="WPO1638" s="21"/>
      <c r="WPP1638" s="21"/>
      <c r="WPQ1638" s="21"/>
      <c r="WPR1638" s="21"/>
      <c r="WPS1638" s="21"/>
      <c r="WPT1638" s="21"/>
      <c r="WPU1638" s="21"/>
      <c r="WPV1638" s="21"/>
      <c r="WPW1638" s="21"/>
      <c r="WPX1638" s="21"/>
      <c r="WPY1638" s="21"/>
      <c r="WPZ1638" s="21"/>
      <c r="WQA1638" s="21"/>
      <c r="WQB1638" s="21"/>
      <c r="WQC1638" s="21"/>
      <c r="WQD1638" s="21"/>
      <c r="WQE1638" s="21"/>
      <c r="WQF1638" s="21"/>
      <c r="WQG1638" s="21"/>
      <c r="WQH1638" s="21"/>
      <c r="WQI1638" s="21"/>
      <c r="WQJ1638" s="21"/>
      <c r="WQK1638" s="21"/>
      <c r="WQL1638" s="21"/>
      <c r="WQM1638" s="21"/>
      <c r="WQN1638" s="21"/>
      <c r="WQO1638" s="21"/>
      <c r="WQP1638" s="21"/>
      <c r="WQQ1638" s="21"/>
      <c r="WQR1638" s="21"/>
      <c r="WQS1638" s="21"/>
      <c r="WQT1638" s="21"/>
      <c r="WQU1638" s="21"/>
      <c r="WQV1638" s="21"/>
      <c r="WQW1638" s="21"/>
      <c r="WQX1638" s="21"/>
      <c r="WQY1638" s="21"/>
      <c r="WQZ1638" s="21"/>
      <c r="WRA1638" s="21"/>
      <c r="WRB1638" s="21"/>
      <c r="WRC1638" s="21"/>
      <c r="WRD1638" s="21"/>
      <c r="WRE1638" s="21"/>
      <c r="WRF1638" s="21"/>
      <c r="WRG1638" s="21"/>
      <c r="WRH1638" s="21"/>
      <c r="WRI1638" s="21"/>
      <c r="WRJ1638" s="21"/>
      <c r="WRK1638" s="21"/>
      <c r="WRL1638" s="21"/>
      <c r="WRM1638" s="21"/>
      <c r="WRN1638" s="21"/>
      <c r="WRO1638" s="21"/>
      <c r="WRP1638" s="21"/>
      <c r="WRQ1638" s="21"/>
      <c r="WRR1638" s="21"/>
      <c r="WRS1638" s="21"/>
      <c r="WRT1638" s="21"/>
      <c r="WRU1638" s="21"/>
      <c r="WRV1638" s="21"/>
      <c r="WRW1638" s="21"/>
      <c r="WRX1638" s="21"/>
      <c r="WRY1638" s="21"/>
      <c r="WRZ1638" s="21"/>
      <c r="WSA1638" s="21"/>
      <c r="WSB1638" s="21"/>
      <c r="WSC1638" s="21"/>
      <c r="WSD1638" s="21"/>
      <c r="WSE1638" s="21"/>
      <c r="WSF1638" s="21"/>
      <c r="WSG1638" s="21"/>
      <c r="WSH1638" s="21"/>
      <c r="WSI1638" s="21"/>
      <c r="WSJ1638" s="21"/>
      <c r="WSK1638" s="21"/>
      <c r="WSL1638" s="21"/>
      <c r="WSM1638" s="21"/>
      <c r="WSN1638" s="21"/>
      <c r="WSO1638" s="21"/>
      <c r="WSP1638" s="21"/>
      <c r="WSQ1638" s="21"/>
      <c r="WSR1638" s="21"/>
      <c r="WSS1638" s="21"/>
      <c r="WST1638" s="21"/>
      <c r="WSU1638" s="21"/>
      <c r="WSV1638" s="21"/>
      <c r="WSW1638" s="21"/>
      <c r="WSX1638" s="21"/>
      <c r="WSY1638" s="21"/>
      <c r="WSZ1638" s="21"/>
      <c r="WTA1638" s="21"/>
      <c r="WTB1638" s="21"/>
      <c r="WTC1638" s="21"/>
      <c r="WTD1638" s="21"/>
      <c r="WTE1638" s="21"/>
      <c r="WTF1638" s="21"/>
      <c r="WTG1638" s="21"/>
      <c r="WTH1638" s="21"/>
      <c r="WTI1638" s="21"/>
      <c r="WTJ1638" s="21"/>
      <c r="WTK1638" s="21"/>
      <c r="WTL1638" s="21"/>
      <c r="WTM1638" s="21"/>
      <c r="WTN1638" s="21"/>
      <c r="WTO1638" s="21"/>
      <c r="WTP1638" s="21"/>
      <c r="WTQ1638" s="21"/>
      <c r="WTR1638" s="21"/>
      <c r="WTS1638" s="21"/>
      <c r="WTT1638" s="21"/>
      <c r="WTU1638" s="21"/>
      <c r="WTV1638" s="21"/>
      <c r="WTW1638" s="21"/>
      <c r="WTX1638" s="21"/>
      <c r="WTY1638" s="21"/>
      <c r="WTZ1638" s="21"/>
      <c r="WUA1638" s="21"/>
      <c r="WUB1638" s="21"/>
      <c r="WUC1638" s="21"/>
      <c r="WUD1638" s="21"/>
      <c r="WUE1638" s="21"/>
      <c r="WUF1638" s="21"/>
      <c r="WUG1638" s="21"/>
      <c r="WUH1638" s="21"/>
      <c r="WUI1638" s="21"/>
      <c r="WUJ1638" s="21"/>
      <c r="WUK1638" s="21"/>
      <c r="WUL1638" s="21"/>
      <c r="WUM1638" s="21"/>
      <c r="WUN1638" s="21"/>
      <c r="WUO1638" s="21"/>
      <c r="WUP1638" s="21"/>
      <c r="WUQ1638" s="21"/>
      <c r="WUR1638" s="21"/>
      <c r="WUS1638" s="21"/>
      <c r="WUT1638" s="21"/>
      <c r="WUU1638" s="21"/>
      <c r="WUV1638" s="21"/>
      <c r="WUW1638" s="21"/>
      <c r="WUX1638" s="21"/>
      <c r="WUY1638" s="21"/>
      <c r="WUZ1638" s="21"/>
      <c r="WVA1638" s="21"/>
      <c r="WVB1638" s="21"/>
      <c r="WVC1638" s="21"/>
      <c r="WVD1638" s="21"/>
      <c r="WVE1638" s="21"/>
      <c r="WVF1638" s="21"/>
      <c r="WVG1638" s="21"/>
      <c r="WVH1638" s="21"/>
      <c r="WVI1638" s="21"/>
      <c r="WVJ1638" s="21"/>
      <c r="WVK1638" s="21"/>
      <c r="WVL1638" s="21"/>
      <c r="WVM1638" s="21"/>
      <c r="WVN1638" s="21"/>
      <c r="WVO1638" s="21"/>
      <c r="WVP1638" s="21"/>
      <c r="WVQ1638" s="21"/>
      <c r="WVR1638" s="21"/>
      <c r="WVS1638" s="21"/>
      <c r="WVT1638" s="21"/>
      <c r="WVU1638" s="21"/>
      <c r="WVV1638" s="21"/>
      <c r="WVW1638" s="21"/>
      <c r="WVX1638" s="21"/>
      <c r="WVY1638" s="21"/>
      <c r="WVZ1638" s="21"/>
      <c r="WWA1638" s="21"/>
      <c r="WWB1638" s="21"/>
      <c r="WWC1638" s="21"/>
      <c r="WWD1638" s="21"/>
      <c r="WWE1638" s="21"/>
      <c r="WWF1638" s="21"/>
      <c r="WWG1638" s="21"/>
      <c r="WWH1638" s="21"/>
      <c r="WWI1638" s="21"/>
      <c r="WWJ1638" s="21"/>
      <c r="WWK1638" s="21"/>
      <c r="WWL1638" s="21"/>
      <c r="WWM1638" s="21"/>
      <c r="WWN1638" s="21"/>
      <c r="WWO1638" s="21"/>
      <c r="WWP1638" s="21"/>
      <c r="WWQ1638" s="21"/>
      <c r="WWR1638" s="21"/>
      <c r="WWS1638" s="21"/>
      <c r="WWT1638" s="21"/>
      <c r="WWU1638" s="21"/>
      <c r="WWV1638" s="21"/>
      <c r="WWW1638" s="21"/>
      <c r="WWX1638" s="21"/>
      <c r="WWY1638" s="21"/>
      <c r="WWZ1638" s="21"/>
      <c r="WXA1638" s="21"/>
      <c r="WXB1638" s="21"/>
      <c r="WXC1638" s="21"/>
      <c r="WXD1638" s="21"/>
      <c r="WXE1638" s="21"/>
      <c r="WXF1638" s="21"/>
      <c r="WXG1638" s="21"/>
      <c r="WXH1638" s="21"/>
      <c r="WXI1638" s="21"/>
      <c r="WXJ1638" s="21"/>
      <c r="WXK1638" s="21"/>
      <c r="WXL1638" s="21"/>
      <c r="WXM1638" s="21"/>
      <c r="WXN1638" s="21"/>
      <c r="WXO1638" s="21"/>
      <c r="WXP1638" s="21"/>
      <c r="WXQ1638" s="21"/>
      <c r="WXR1638" s="21"/>
      <c r="WXS1638" s="21"/>
      <c r="WXT1638" s="21"/>
      <c r="WXU1638" s="21"/>
      <c r="WXV1638" s="21"/>
      <c r="WXW1638" s="21"/>
      <c r="WXX1638" s="21"/>
      <c r="WXY1638" s="21"/>
      <c r="WXZ1638" s="21"/>
      <c r="WYA1638" s="21"/>
      <c r="WYB1638" s="21"/>
      <c r="WYC1638" s="21"/>
      <c r="WYD1638" s="21"/>
      <c r="WYE1638" s="21"/>
      <c r="WYF1638" s="21"/>
      <c r="WYG1638" s="21"/>
      <c r="WYH1638" s="21"/>
      <c r="WYI1638" s="21"/>
      <c r="WYJ1638" s="21"/>
      <c r="WYK1638" s="21"/>
      <c r="WYL1638" s="21"/>
      <c r="WYM1638" s="21"/>
      <c r="WYN1638" s="21"/>
      <c r="WYO1638" s="21"/>
      <c r="WYP1638" s="21"/>
      <c r="WYQ1638" s="21"/>
      <c r="WYR1638" s="21"/>
      <c r="WYS1638" s="21"/>
      <c r="WYT1638" s="21"/>
      <c r="WYU1638" s="21"/>
      <c r="WYV1638" s="21"/>
      <c r="WYW1638" s="21"/>
      <c r="WYX1638" s="21"/>
      <c r="WYY1638" s="21"/>
      <c r="WYZ1638" s="21"/>
      <c r="WZA1638" s="21"/>
      <c r="WZB1638" s="21"/>
      <c r="WZC1638" s="21"/>
      <c r="WZD1638" s="21"/>
      <c r="WZE1638" s="21"/>
      <c r="WZF1638" s="21"/>
      <c r="WZG1638" s="21"/>
      <c r="WZH1638" s="21"/>
      <c r="WZI1638" s="21"/>
      <c r="WZJ1638" s="21"/>
      <c r="WZK1638" s="21"/>
      <c r="WZL1638" s="21"/>
      <c r="WZM1638" s="21"/>
      <c r="WZN1638" s="21"/>
      <c r="WZO1638" s="21"/>
      <c r="WZP1638" s="21"/>
      <c r="WZQ1638" s="21"/>
      <c r="WZR1638" s="21"/>
      <c r="WZS1638" s="21"/>
      <c r="WZT1638" s="21"/>
      <c r="WZU1638" s="21"/>
      <c r="WZV1638" s="21"/>
      <c r="WZW1638" s="21"/>
      <c r="WZX1638" s="21"/>
      <c r="WZY1638" s="21"/>
      <c r="WZZ1638" s="21"/>
      <c r="XAA1638" s="21"/>
      <c r="XAB1638" s="21"/>
      <c r="XAC1638" s="21"/>
      <c r="XAD1638" s="21"/>
      <c r="XAE1638" s="21"/>
      <c r="XAF1638" s="21"/>
      <c r="XAG1638" s="21"/>
      <c r="XAH1638" s="21"/>
      <c r="XAI1638" s="21"/>
      <c r="XAJ1638" s="21"/>
      <c r="XAK1638" s="21"/>
      <c r="XAL1638" s="21"/>
      <c r="XAM1638" s="21"/>
      <c r="XAN1638" s="21"/>
      <c r="XAO1638" s="21"/>
      <c r="XAP1638" s="21"/>
      <c r="XAQ1638" s="21"/>
      <c r="XAR1638" s="21"/>
      <c r="XAS1638" s="21"/>
      <c r="XAT1638" s="21"/>
      <c r="XAU1638" s="21"/>
      <c r="XAV1638" s="21"/>
      <c r="XAW1638" s="21"/>
      <c r="XAX1638" s="21"/>
      <c r="XAY1638" s="21"/>
      <c r="XAZ1638" s="21"/>
      <c r="XBA1638" s="21"/>
      <c r="XBB1638" s="21"/>
      <c r="XBC1638" s="21"/>
      <c r="XBD1638" s="21"/>
      <c r="XBE1638" s="21"/>
      <c r="XBF1638" s="21"/>
      <c r="XBG1638" s="21"/>
      <c r="XBH1638" s="21"/>
      <c r="XBI1638" s="21"/>
      <c r="XBJ1638" s="21"/>
      <c r="XBK1638" s="21"/>
      <c r="XBL1638" s="21"/>
      <c r="XBM1638" s="21"/>
      <c r="XBN1638" s="21"/>
      <c r="XBO1638" s="21"/>
      <c r="XBP1638" s="21"/>
      <c r="XBQ1638" s="21"/>
      <c r="XBR1638" s="21"/>
      <c r="XBS1638" s="21"/>
      <c r="XBT1638" s="21"/>
      <c r="XBU1638" s="21"/>
      <c r="XBV1638" s="21"/>
      <c r="XBW1638" s="21"/>
      <c r="XBX1638" s="21"/>
      <c r="XBY1638" s="21"/>
      <c r="XBZ1638" s="21"/>
      <c r="XCA1638" s="21"/>
      <c r="XCB1638" s="21"/>
      <c r="XCC1638" s="21"/>
      <c r="XCD1638" s="21"/>
      <c r="XCE1638" s="21"/>
      <c r="XCF1638" s="21"/>
      <c r="XCG1638" s="21"/>
      <c r="XCH1638" s="21"/>
      <c r="XCI1638" s="21"/>
      <c r="XCJ1638" s="21"/>
      <c r="XCK1638" s="21"/>
      <c r="XCL1638" s="21"/>
      <c r="XCM1638" s="21"/>
      <c r="XCN1638" s="21"/>
      <c r="XCO1638" s="21"/>
      <c r="XCP1638" s="21"/>
      <c r="XCQ1638" s="21"/>
      <c r="XCR1638" s="21"/>
      <c r="XCS1638" s="21"/>
      <c r="XCT1638" s="21"/>
      <c r="XCU1638" s="21"/>
      <c r="XCV1638" s="21"/>
      <c r="XCW1638" s="21"/>
      <c r="XCX1638" s="21"/>
      <c r="XCY1638" s="21"/>
      <c r="XCZ1638" s="21"/>
      <c r="XDA1638" s="21"/>
      <c r="XDB1638" s="21"/>
      <c r="XDC1638" s="21"/>
      <c r="XDD1638" s="21"/>
      <c r="XDE1638" s="21"/>
      <c r="XDF1638" s="21"/>
      <c r="XDG1638" s="21"/>
      <c r="XDH1638" s="21"/>
      <c r="XDI1638" s="21"/>
      <c r="XDJ1638" s="21"/>
      <c r="XDK1638" s="21"/>
      <c r="XDL1638" s="21"/>
      <c r="XDM1638" s="21"/>
      <c r="XDN1638" s="21"/>
      <c r="XDO1638" s="21"/>
      <c r="XDP1638" s="21"/>
      <c r="XDQ1638" s="21"/>
      <c r="XDR1638" s="21"/>
      <c r="XDS1638" s="21"/>
      <c r="XDT1638" s="21"/>
      <c r="XDU1638" s="21"/>
      <c r="XDV1638" s="21"/>
      <c r="XDW1638" s="21"/>
      <c r="XDX1638" s="21"/>
      <c r="XDY1638" s="21"/>
      <c r="XDZ1638" s="21"/>
      <c r="XEA1638" s="21"/>
      <c r="XEB1638" s="21"/>
      <c r="XEC1638" s="21"/>
      <c r="XED1638" s="21"/>
      <c r="XEE1638" s="21"/>
      <c r="XEF1638" s="21"/>
      <c r="XEG1638" s="21"/>
      <c r="XEH1638" s="21"/>
      <c r="XEI1638" s="21"/>
      <c r="XEJ1638" s="21"/>
      <c r="XEK1638" s="21"/>
      <c r="XEL1638" s="21"/>
      <c r="XEM1638" s="21"/>
      <c r="XEN1638" s="21"/>
      <c r="XEO1638" s="21"/>
      <c r="XEP1638" s="21"/>
      <c r="XEQ1638" s="21"/>
      <c r="XER1638" s="21"/>
      <c r="XES1638" s="21"/>
      <c r="XET1638" s="21"/>
      <c r="XEU1638" s="21"/>
      <c r="XEV1638" s="21"/>
      <c r="XEW1638" s="21"/>
      <c r="XEX1638" s="21"/>
      <c r="XEY1638" s="21"/>
      <c r="XEZ1638" s="21"/>
      <c r="XFA1638" s="21"/>
      <c r="XFB1638" s="21"/>
      <c r="XFC1638" s="21"/>
    </row>
    <row r="1639" spans="1:16383" s="21" customFormat="1" ht="15.5">
      <c r="A1639" s="22"/>
      <c r="B1639" s="124">
        <v>72503.009999999995</v>
      </c>
      <c r="C1639" s="156" t="s">
        <v>1545</v>
      </c>
      <c r="D1639" s="25" t="s">
        <v>146</v>
      </c>
      <c r="E1639" s="234"/>
      <c r="F1639" s="67"/>
      <c r="G1639" s="81">
        <f t="shared" si="82"/>
        <v>0</v>
      </c>
    </row>
    <row r="1640" spans="1:16383" s="21" customFormat="1" ht="15.5">
      <c r="A1640" s="22"/>
      <c r="B1640" s="134">
        <v>72504.009999999995</v>
      </c>
      <c r="C1640" s="156" t="s">
        <v>1546</v>
      </c>
      <c r="D1640" s="25" t="s">
        <v>146</v>
      </c>
      <c r="E1640" s="234"/>
      <c r="F1640" s="67"/>
      <c r="G1640" s="81">
        <f t="shared" si="82"/>
        <v>0</v>
      </c>
    </row>
    <row r="1641" spans="1:16383" s="21" customFormat="1" ht="15.5">
      <c r="A1641" s="22"/>
      <c r="B1641" s="134">
        <v>72505.009999999995</v>
      </c>
      <c r="C1641" s="156" t="s">
        <v>1863</v>
      </c>
      <c r="D1641" s="25" t="s">
        <v>146</v>
      </c>
      <c r="E1641" s="234">
        <v>885</v>
      </c>
      <c r="F1641" s="67"/>
      <c r="G1641" s="81">
        <f t="shared" si="82"/>
        <v>0</v>
      </c>
    </row>
    <row r="1642" spans="1:16383" s="298" customFormat="1" ht="15.5">
      <c r="A1642" s="22"/>
      <c r="B1642" s="304">
        <v>72505.02</v>
      </c>
      <c r="C1642" s="305" t="s">
        <v>1863</v>
      </c>
      <c r="D1642" s="296" t="s">
        <v>146</v>
      </c>
      <c r="E1642" s="303"/>
      <c r="F1642" s="306"/>
      <c r="G1642" s="307">
        <f t="shared" si="82"/>
        <v>0</v>
      </c>
      <c r="H1642" s="21"/>
      <c r="I1642" s="21"/>
      <c r="J1642" s="21"/>
      <c r="K1642" s="21"/>
      <c r="L1642" s="21"/>
      <c r="M1642" s="21"/>
      <c r="N1642" s="21"/>
      <c r="O1642" s="21"/>
      <c r="P1642" s="21"/>
      <c r="Q1642" s="21"/>
      <c r="R1642" s="21"/>
      <c r="S1642" s="21"/>
      <c r="T1642" s="21"/>
      <c r="U1642" s="21"/>
      <c r="V1642" s="21"/>
      <c r="W1642" s="21"/>
      <c r="X1642" s="21"/>
      <c r="Y1642" s="21"/>
      <c r="Z1642" s="21"/>
      <c r="AA1642" s="21"/>
      <c r="AB1642" s="21"/>
      <c r="AC1642" s="21"/>
      <c r="AD1642" s="21"/>
      <c r="AE1642" s="21"/>
      <c r="AF1642" s="21"/>
      <c r="AG1642" s="21"/>
      <c r="AH1642" s="21"/>
      <c r="AI1642" s="21"/>
      <c r="AJ1642" s="21"/>
      <c r="AK1642" s="21"/>
      <c r="AL1642" s="21"/>
      <c r="AM1642" s="21"/>
      <c r="AN1642" s="21"/>
      <c r="AO1642" s="21"/>
      <c r="AP1642" s="21"/>
      <c r="AQ1642" s="21"/>
      <c r="AR1642" s="21"/>
      <c r="AS1642" s="21"/>
      <c r="AT1642" s="21"/>
      <c r="AU1642" s="21"/>
      <c r="AV1642" s="21"/>
      <c r="AW1642" s="21"/>
      <c r="AX1642" s="21"/>
      <c r="AY1642" s="21"/>
      <c r="AZ1642" s="21"/>
      <c r="BA1642" s="21"/>
      <c r="BB1642" s="21"/>
      <c r="BC1642" s="21"/>
      <c r="BD1642" s="21"/>
      <c r="BE1642" s="21"/>
      <c r="BF1642" s="21"/>
      <c r="BG1642" s="21"/>
      <c r="BH1642" s="21"/>
      <c r="BI1642" s="21"/>
      <c r="BJ1642" s="21"/>
      <c r="BK1642" s="21"/>
      <c r="BL1642" s="21"/>
      <c r="BM1642" s="21"/>
      <c r="BN1642" s="21"/>
      <c r="BO1642" s="21"/>
      <c r="BP1642" s="21"/>
      <c r="BQ1642" s="21"/>
      <c r="BR1642" s="21"/>
      <c r="BS1642" s="21"/>
      <c r="BT1642" s="21"/>
      <c r="BU1642" s="21"/>
      <c r="BV1642" s="21"/>
      <c r="BW1642" s="21"/>
      <c r="BX1642" s="21"/>
      <c r="BY1642" s="21"/>
      <c r="BZ1642" s="21"/>
      <c r="CA1642" s="21"/>
      <c r="CB1642" s="21"/>
      <c r="CC1642" s="21"/>
      <c r="CD1642" s="21"/>
      <c r="CE1642" s="21"/>
      <c r="CF1642" s="21"/>
      <c r="CG1642" s="21"/>
      <c r="CH1642" s="21"/>
      <c r="CI1642" s="21"/>
      <c r="CJ1642" s="21"/>
      <c r="CK1642" s="21"/>
      <c r="CL1642" s="21"/>
      <c r="CM1642" s="21"/>
      <c r="CN1642" s="21"/>
      <c r="CO1642" s="21"/>
      <c r="CP1642" s="21"/>
      <c r="CQ1642" s="21"/>
      <c r="CR1642" s="21"/>
      <c r="CS1642" s="21"/>
      <c r="CT1642" s="21"/>
      <c r="CU1642" s="21"/>
      <c r="CV1642" s="21"/>
      <c r="CW1642" s="21"/>
      <c r="CX1642" s="21"/>
      <c r="CY1642" s="21"/>
      <c r="CZ1642" s="21"/>
      <c r="DA1642" s="21"/>
      <c r="DB1642" s="21"/>
      <c r="DC1642" s="21"/>
      <c r="DD1642" s="21"/>
      <c r="DE1642" s="21"/>
      <c r="DF1642" s="21"/>
      <c r="DG1642" s="21"/>
      <c r="DH1642" s="21"/>
      <c r="DI1642" s="21"/>
      <c r="DJ1642" s="21"/>
      <c r="DK1642" s="21"/>
      <c r="DL1642" s="21"/>
      <c r="DM1642" s="21"/>
      <c r="DN1642" s="21"/>
      <c r="DO1642" s="21"/>
      <c r="DP1642" s="21"/>
      <c r="DQ1642" s="21"/>
      <c r="DR1642" s="21"/>
      <c r="DS1642" s="21"/>
      <c r="DT1642" s="21"/>
      <c r="DU1642" s="21"/>
      <c r="DV1642" s="21"/>
      <c r="DW1642" s="21"/>
      <c r="DX1642" s="21"/>
      <c r="DY1642" s="21"/>
      <c r="DZ1642" s="21"/>
      <c r="EA1642" s="21"/>
      <c r="EB1642" s="21"/>
      <c r="EC1642" s="21"/>
      <c r="ED1642" s="21"/>
      <c r="EE1642" s="21"/>
      <c r="EF1642" s="21"/>
      <c r="EG1642" s="21"/>
      <c r="EH1642" s="21"/>
      <c r="EI1642" s="21"/>
      <c r="EJ1642" s="21"/>
      <c r="EK1642" s="21"/>
      <c r="EL1642" s="21"/>
      <c r="EM1642" s="21"/>
      <c r="EN1642" s="21"/>
      <c r="EO1642" s="21"/>
      <c r="EP1642" s="21"/>
      <c r="EQ1642" s="21"/>
      <c r="ER1642" s="21"/>
      <c r="ES1642" s="21"/>
      <c r="ET1642" s="21"/>
      <c r="EU1642" s="21"/>
      <c r="EV1642" s="21"/>
      <c r="EW1642" s="21"/>
      <c r="EX1642" s="21"/>
      <c r="EY1642" s="21"/>
      <c r="EZ1642" s="21"/>
      <c r="FA1642" s="21"/>
      <c r="FB1642" s="21"/>
      <c r="FC1642" s="21"/>
      <c r="FD1642" s="21"/>
      <c r="FE1642" s="21"/>
      <c r="FF1642" s="21"/>
      <c r="FG1642" s="21"/>
      <c r="FH1642" s="21"/>
      <c r="FI1642" s="21"/>
      <c r="FJ1642" s="21"/>
      <c r="FK1642" s="21"/>
      <c r="FL1642" s="21"/>
      <c r="FM1642" s="21"/>
      <c r="FN1642" s="21"/>
      <c r="FO1642" s="21"/>
      <c r="FP1642" s="21"/>
      <c r="FQ1642" s="21"/>
      <c r="FR1642" s="21"/>
      <c r="FS1642" s="21"/>
      <c r="FT1642" s="21"/>
      <c r="FU1642" s="21"/>
      <c r="FV1642" s="21"/>
      <c r="FW1642" s="21"/>
      <c r="FX1642" s="21"/>
      <c r="FY1642" s="21"/>
      <c r="FZ1642" s="21"/>
      <c r="GA1642" s="21"/>
      <c r="GB1642" s="21"/>
      <c r="GC1642" s="21"/>
      <c r="GD1642" s="21"/>
      <c r="GE1642" s="21"/>
      <c r="GF1642" s="21"/>
      <c r="GG1642" s="21"/>
      <c r="GH1642" s="21"/>
      <c r="GI1642" s="21"/>
      <c r="GJ1642" s="21"/>
      <c r="GK1642" s="21"/>
      <c r="GL1642" s="21"/>
      <c r="GM1642" s="21"/>
      <c r="GN1642" s="21"/>
      <c r="GO1642" s="21"/>
      <c r="GP1642" s="21"/>
      <c r="GQ1642" s="21"/>
      <c r="GR1642" s="21"/>
      <c r="GS1642" s="21"/>
      <c r="GT1642" s="21"/>
      <c r="GU1642" s="21"/>
      <c r="GV1642" s="21"/>
      <c r="GW1642" s="21"/>
      <c r="GX1642" s="21"/>
      <c r="GY1642" s="21"/>
      <c r="GZ1642" s="21"/>
      <c r="HA1642" s="21"/>
      <c r="HB1642" s="21"/>
      <c r="HC1642" s="21"/>
      <c r="HD1642" s="21"/>
      <c r="HE1642" s="21"/>
      <c r="HF1642" s="21"/>
      <c r="HG1642" s="21"/>
      <c r="HH1642" s="21"/>
      <c r="HI1642" s="21"/>
      <c r="HJ1642" s="21"/>
      <c r="HK1642" s="21"/>
      <c r="HL1642" s="21"/>
      <c r="HM1642" s="21"/>
      <c r="HN1642" s="21"/>
      <c r="HO1642" s="21"/>
      <c r="HP1642" s="21"/>
      <c r="HQ1642" s="21"/>
      <c r="HR1642" s="21"/>
      <c r="HS1642" s="21"/>
      <c r="HT1642" s="21"/>
      <c r="HU1642" s="21"/>
      <c r="HV1642" s="21"/>
      <c r="HW1642" s="21"/>
      <c r="HX1642" s="21"/>
      <c r="HY1642" s="21"/>
      <c r="HZ1642" s="21"/>
      <c r="IA1642" s="21"/>
      <c r="IB1642" s="21"/>
      <c r="IC1642" s="21"/>
      <c r="ID1642" s="21"/>
      <c r="IE1642" s="21"/>
      <c r="IF1642" s="21"/>
      <c r="IG1642" s="21"/>
      <c r="IH1642" s="21"/>
      <c r="II1642" s="21"/>
      <c r="IJ1642" s="21"/>
      <c r="IK1642" s="21"/>
      <c r="IL1642" s="21"/>
      <c r="IM1642" s="21"/>
      <c r="IN1642" s="21"/>
      <c r="IO1642" s="21"/>
      <c r="IP1642" s="21"/>
      <c r="IQ1642" s="21"/>
      <c r="IR1642" s="21"/>
      <c r="IS1642" s="21"/>
      <c r="IT1642" s="21"/>
      <c r="IU1642" s="21"/>
      <c r="IV1642" s="21"/>
      <c r="IW1642" s="21"/>
      <c r="IX1642" s="21"/>
      <c r="IY1642" s="21"/>
      <c r="IZ1642" s="21"/>
      <c r="JA1642" s="21"/>
      <c r="JB1642" s="21"/>
      <c r="JC1642" s="21"/>
      <c r="JD1642" s="21"/>
      <c r="JE1642" s="21"/>
      <c r="JF1642" s="21"/>
      <c r="JG1642" s="21"/>
      <c r="JH1642" s="21"/>
      <c r="JI1642" s="21"/>
      <c r="JJ1642" s="21"/>
      <c r="JK1642" s="21"/>
      <c r="JL1642" s="21"/>
      <c r="JM1642" s="21"/>
      <c r="JN1642" s="21"/>
      <c r="JO1642" s="21"/>
      <c r="JP1642" s="21"/>
      <c r="JQ1642" s="21"/>
      <c r="JR1642" s="21"/>
      <c r="JS1642" s="21"/>
      <c r="JT1642" s="21"/>
      <c r="JU1642" s="21"/>
      <c r="JV1642" s="21"/>
      <c r="JW1642" s="21"/>
      <c r="JX1642" s="21"/>
      <c r="JY1642" s="21"/>
      <c r="JZ1642" s="21"/>
      <c r="KA1642" s="21"/>
      <c r="KB1642" s="21"/>
      <c r="KC1642" s="21"/>
      <c r="KD1642" s="21"/>
      <c r="KE1642" s="21"/>
      <c r="KF1642" s="21"/>
      <c r="KG1642" s="21"/>
      <c r="KH1642" s="21"/>
      <c r="KI1642" s="21"/>
      <c r="KJ1642" s="21"/>
      <c r="KK1642" s="21"/>
      <c r="KL1642" s="21"/>
      <c r="KM1642" s="21"/>
      <c r="KN1642" s="21"/>
      <c r="KO1642" s="21"/>
      <c r="KP1642" s="21"/>
      <c r="KQ1642" s="21"/>
      <c r="KR1642" s="21"/>
      <c r="KS1642" s="21"/>
      <c r="KT1642" s="21"/>
      <c r="KU1642" s="21"/>
      <c r="KV1642" s="21"/>
      <c r="KW1642" s="21"/>
      <c r="KX1642" s="21"/>
      <c r="KY1642" s="21"/>
      <c r="KZ1642" s="21"/>
      <c r="LA1642" s="21"/>
      <c r="LB1642" s="21"/>
      <c r="LC1642" s="21"/>
      <c r="LD1642" s="21"/>
      <c r="LE1642" s="21"/>
      <c r="LF1642" s="21"/>
      <c r="LG1642" s="21"/>
      <c r="LH1642" s="21"/>
      <c r="LI1642" s="21"/>
      <c r="LJ1642" s="21"/>
      <c r="LK1642" s="21"/>
      <c r="LL1642" s="21"/>
      <c r="LM1642" s="21"/>
      <c r="LN1642" s="21"/>
      <c r="LO1642" s="21"/>
      <c r="LP1642" s="21"/>
      <c r="LQ1642" s="21"/>
      <c r="LR1642" s="21"/>
      <c r="LS1642" s="21"/>
      <c r="LT1642" s="21"/>
      <c r="LU1642" s="21"/>
      <c r="LV1642" s="21"/>
      <c r="LW1642" s="21"/>
      <c r="LX1642" s="21"/>
      <c r="LY1642" s="21"/>
      <c r="LZ1642" s="21"/>
      <c r="MA1642" s="21"/>
      <c r="MB1642" s="21"/>
      <c r="MC1642" s="21"/>
      <c r="MD1642" s="21"/>
      <c r="ME1642" s="21"/>
      <c r="MF1642" s="21"/>
      <c r="MG1642" s="21"/>
      <c r="MH1642" s="21"/>
      <c r="MI1642" s="21"/>
      <c r="MJ1642" s="21"/>
      <c r="MK1642" s="21"/>
      <c r="ML1642" s="21"/>
      <c r="MM1642" s="21"/>
      <c r="MN1642" s="21"/>
      <c r="MO1642" s="21"/>
      <c r="MP1642" s="21"/>
      <c r="MQ1642" s="21"/>
      <c r="MR1642" s="21"/>
      <c r="MS1642" s="21"/>
      <c r="MT1642" s="21"/>
      <c r="MU1642" s="21"/>
      <c r="MV1642" s="21"/>
      <c r="MW1642" s="21"/>
      <c r="MX1642" s="21"/>
      <c r="MY1642" s="21"/>
      <c r="MZ1642" s="21"/>
      <c r="NA1642" s="21"/>
      <c r="NB1642" s="21"/>
      <c r="NC1642" s="21"/>
      <c r="ND1642" s="21"/>
      <c r="NE1642" s="21"/>
      <c r="NF1642" s="21"/>
      <c r="NG1642" s="21"/>
      <c r="NH1642" s="21"/>
      <c r="NI1642" s="21"/>
      <c r="NJ1642" s="21"/>
      <c r="NK1642" s="21"/>
      <c r="NL1642" s="21"/>
      <c r="NM1642" s="21"/>
      <c r="NN1642" s="21"/>
      <c r="NO1642" s="21"/>
      <c r="NP1642" s="21"/>
      <c r="NQ1642" s="21"/>
      <c r="NR1642" s="21"/>
      <c r="NS1642" s="21"/>
      <c r="NT1642" s="21"/>
      <c r="NU1642" s="21"/>
      <c r="NV1642" s="21"/>
      <c r="NW1642" s="21"/>
      <c r="NX1642" s="21"/>
      <c r="NY1642" s="21"/>
      <c r="NZ1642" s="21"/>
      <c r="OA1642" s="21"/>
      <c r="OB1642" s="21"/>
      <c r="OC1642" s="21"/>
      <c r="OD1642" s="21"/>
      <c r="OE1642" s="21"/>
      <c r="OF1642" s="21"/>
      <c r="OG1642" s="21"/>
      <c r="OH1642" s="21"/>
      <c r="OI1642" s="21"/>
      <c r="OJ1642" s="21"/>
      <c r="OK1642" s="21"/>
      <c r="OL1642" s="21"/>
      <c r="OM1642" s="21"/>
      <c r="ON1642" s="21"/>
      <c r="OO1642" s="21"/>
      <c r="OP1642" s="21"/>
      <c r="OQ1642" s="21"/>
      <c r="OR1642" s="21"/>
      <c r="OS1642" s="21"/>
      <c r="OT1642" s="21"/>
      <c r="OU1642" s="21"/>
      <c r="OV1642" s="21"/>
      <c r="OW1642" s="21"/>
      <c r="OX1642" s="21"/>
      <c r="OY1642" s="21"/>
      <c r="OZ1642" s="21"/>
      <c r="PA1642" s="21"/>
      <c r="PB1642" s="21"/>
      <c r="PC1642" s="21"/>
      <c r="PD1642" s="21"/>
      <c r="PE1642" s="21"/>
      <c r="PF1642" s="21"/>
      <c r="PG1642" s="21"/>
      <c r="PH1642" s="21"/>
      <c r="PI1642" s="21"/>
      <c r="PJ1642" s="21"/>
      <c r="PK1642" s="21"/>
      <c r="PL1642" s="21"/>
      <c r="PM1642" s="21"/>
      <c r="PN1642" s="21"/>
      <c r="PO1642" s="21"/>
      <c r="PP1642" s="21"/>
      <c r="PQ1642" s="21"/>
      <c r="PR1642" s="21"/>
      <c r="PS1642" s="21"/>
      <c r="PT1642" s="21"/>
      <c r="PU1642" s="21"/>
      <c r="PV1642" s="21"/>
      <c r="PW1642" s="21"/>
      <c r="PX1642" s="21"/>
      <c r="PY1642" s="21"/>
      <c r="PZ1642" s="21"/>
      <c r="QA1642" s="21"/>
      <c r="QB1642" s="21"/>
      <c r="QC1642" s="21"/>
      <c r="QD1642" s="21"/>
      <c r="QE1642" s="21"/>
      <c r="QF1642" s="21"/>
      <c r="QG1642" s="21"/>
      <c r="QH1642" s="21"/>
      <c r="QI1642" s="21"/>
      <c r="QJ1642" s="21"/>
      <c r="QK1642" s="21"/>
      <c r="QL1642" s="21"/>
      <c r="QM1642" s="21"/>
      <c r="QN1642" s="21"/>
      <c r="QO1642" s="21"/>
      <c r="QP1642" s="21"/>
      <c r="QQ1642" s="21"/>
      <c r="QR1642" s="21"/>
      <c r="QS1642" s="21"/>
      <c r="QT1642" s="21"/>
      <c r="QU1642" s="21"/>
      <c r="QV1642" s="21"/>
      <c r="QW1642" s="21"/>
      <c r="QX1642" s="21"/>
      <c r="QY1642" s="21"/>
      <c r="QZ1642" s="21"/>
      <c r="RA1642" s="21"/>
      <c r="RB1642" s="21"/>
      <c r="RC1642" s="21"/>
      <c r="RD1642" s="21"/>
      <c r="RE1642" s="21"/>
      <c r="RF1642" s="21"/>
      <c r="RG1642" s="21"/>
      <c r="RH1642" s="21"/>
      <c r="RI1642" s="21"/>
      <c r="RJ1642" s="21"/>
      <c r="RK1642" s="21"/>
      <c r="RL1642" s="21"/>
      <c r="RM1642" s="21"/>
      <c r="RN1642" s="21"/>
      <c r="RO1642" s="21"/>
      <c r="RP1642" s="21"/>
      <c r="RQ1642" s="21"/>
      <c r="RR1642" s="21"/>
      <c r="RS1642" s="21"/>
      <c r="RT1642" s="21"/>
      <c r="RU1642" s="21"/>
      <c r="RV1642" s="21"/>
      <c r="RW1642" s="21"/>
      <c r="RX1642" s="21"/>
      <c r="RY1642" s="21"/>
      <c r="RZ1642" s="21"/>
      <c r="SA1642" s="21"/>
      <c r="SB1642" s="21"/>
      <c r="SC1642" s="21"/>
      <c r="SD1642" s="21"/>
      <c r="SE1642" s="21"/>
      <c r="SF1642" s="21"/>
      <c r="SG1642" s="21"/>
      <c r="SH1642" s="21"/>
      <c r="SI1642" s="21"/>
      <c r="SJ1642" s="21"/>
      <c r="SK1642" s="21"/>
      <c r="SL1642" s="21"/>
      <c r="SM1642" s="21"/>
      <c r="SN1642" s="21"/>
      <c r="SO1642" s="21"/>
      <c r="SP1642" s="21"/>
      <c r="SQ1642" s="21"/>
      <c r="SR1642" s="21"/>
      <c r="SS1642" s="21"/>
      <c r="ST1642" s="21"/>
      <c r="SU1642" s="21"/>
      <c r="SV1642" s="21"/>
      <c r="SW1642" s="21"/>
      <c r="SX1642" s="21"/>
      <c r="SY1642" s="21"/>
      <c r="SZ1642" s="21"/>
      <c r="TA1642" s="21"/>
      <c r="TB1642" s="21"/>
      <c r="TC1642" s="21"/>
      <c r="TD1642" s="21"/>
      <c r="TE1642" s="21"/>
      <c r="TF1642" s="21"/>
      <c r="TG1642" s="21"/>
      <c r="TH1642" s="21"/>
      <c r="TI1642" s="21"/>
      <c r="TJ1642" s="21"/>
      <c r="TK1642" s="21"/>
      <c r="TL1642" s="21"/>
      <c r="TM1642" s="21"/>
      <c r="TN1642" s="21"/>
      <c r="TO1642" s="21"/>
      <c r="TP1642" s="21"/>
      <c r="TQ1642" s="21"/>
      <c r="TR1642" s="21"/>
      <c r="TS1642" s="21"/>
      <c r="TT1642" s="21"/>
      <c r="TU1642" s="21"/>
      <c r="TV1642" s="21"/>
      <c r="TW1642" s="21"/>
      <c r="TX1642" s="21"/>
      <c r="TY1642" s="21"/>
      <c r="TZ1642" s="21"/>
      <c r="UA1642" s="21"/>
      <c r="UB1642" s="21"/>
      <c r="UC1642" s="21"/>
      <c r="UD1642" s="21"/>
      <c r="UE1642" s="21"/>
      <c r="UF1642" s="21"/>
      <c r="UG1642" s="21"/>
      <c r="UH1642" s="21"/>
      <c r="UI1642" s="21"/>
      <c r="UJ1642" s="21"/>
      <c r="UK1642" s="21"/>
      <c r="UL1642" s="21"/>
      <c r="UM1642" s="21"/>
      <c r="UN1642" s="21"/>
      <c r="UO1642" s="21"/>
      <c r="UP1642" s="21"/>
      <c r="UQ1642" s="21"/>
      <c r="UR1642" s="21"/>
      <c r="US1642" s="21"/>
      <c r="UT1642" s="21"/>
      <c r="UU1642" s="21"/>
      <c r="UV1642" s="21"/>
      <c r="UW1642" s="21"/>
      <c r="UX1642" s="21"/>
      <c r="UY1642" s="21"/>
      <c r="UZ1642" s="21"/>
      <c r="VA1642" s="21"/>
      <c r="VB1642" s="21"/>
      <c r="VC1642" s="21"/>
      <c r="VD1642" s="21"/>
      <c r="VE1642" s="21"/>
      <c r="VF1642" s="21"/>
      <c r="VG1642" s="21"/>
      <c r="VH1642" s="21"/>
      <c r="VI1642" s="21"/>
      <c r="VJ1642" s="21"/>
      <c r="VK1642" s="21"/>
      <c r="VL1642" s="21"/>
      <c r="VM1642" s="21"/>
      <c r="VN1642" s="21"/>
      <c r="VO1642" s="21"/>
      <c r="VP1642" s="21"/>
      <c r="VQ1642" s="21"/>
      <c r="VR1642" s="21"/>
      <c r="VS1642" s="21"/>
      <c r="VT1642" s="21"/>
      <c r="VU1642" s="21"/>
      <c r="VV1642" s="21"/>
      <c r="VW1642" s="21"/>
      <c r="VX1642" s="21"/>
      <c r="VY1642" s="21"/>
      <c r="VZ1642" s="21"/>
      <c r="WA1642" s="21"/>
      <c r="WB1642" s="21"/>
      <c r="WC1642" s="21"/>
      <c r="WD1642" s="21"/>
      <c r="WE1642" s="21"/>
      <c r="WF1642" s="21"/>
      <c r="WG1642" s="21"/>
      <c r="WH1642" s="21"/>
      <c r="WI1642" s="21"/>
      <c r="WJ1642" s="21"/>
      <c r="WK1642" s="21"/>
      <c r="WL1642" s="21"/>
      <c r="WM1642" s="21"/>
      <c r="WN1642" s="21"/>
      <c r="WO1642" s="21"/>
      <c r="WP1642" s="21"/>
      <c r="WQ1642" s="21"/>
      <c r="WR1642" s="21"/>
      <c r="WS1642" s="21"/>
      <c r="WT1642" s="21"/>
      <c r="WU1642" s="21"/>
      <c r="WV1642" s="21"/>
      <c r="WW1642" s="21"/>
      <c r="WX1642" s="21"/>
      <c r="WY1642" s="21"/>
      <c r="WZ1642" s="21"/>
      <c r="XA1642" s="21"/>
      <c r="XB1642" s="21"/>
      <c r="XC1642" s="21"/>
      <c r="XD1642" s="21"/>
      <c r="XE1642" s="21"/>
      <c r="XF1642" s="21"/>
      <c r="XG1642" s="21"/>
      <c r="XH1642" s="21"/>
      <c r="XI1642" s="21"/>
      <c r="XJ1642" s="21"/>
      <c r="XK1642" s="21"/>
      <c r="XL1642" s="21"/>
      <c r="XM1642" s="21"/>
      <c r="XN1642" s="21"/>
      <c r="XO1642" s="21"/>
      <c r="XP1642" s="21"/>
      <c r="XQ1642" s="21"/>
      <c r="XR1642" s="21"/>
      <c r="XS1642" s="21"/>
      <c r="XT1642" s="21"/>
      <c r="XU1642" s="21"/>
      <c r="XV1642" s="21"/>
      <c r="XW1642" s="21"/>
      <c r="XX1642" s="21"/>
      <c r="XY1642" s="21"/>
      <c r="XZ1642" s="21"/>
      <c r="YA1642" s="21"/>
      <c r="YB1642" s="21"/>
      <c r="YC1642" s="21"/>
      <c r="YD1642" s="21"/>
      <c r="YE1642" s="21"/>
      <c r="YF1642" s="21"/>
      <c r="YG1642" s="21"/>
      <c r="YH1642" s="21"/>
      <c r="YI1642" s="21"/>
      <c r="YJ1642" s="21"/>
      <c r="YK1642" s="21"/>
      <c r="YL1642" s="21"/>
      <c r="YM1642" s="21"/>
      <c r="YN1642" s="21"/>
      <c r="YO1642" s="21"/>
      <c r="YP1642" s="21"/>
      <c r="YQ1642" s="21"/>
      <c r="YR1642" s="21"/>
      <c r="YS1642" s="21"/>
      <c r="YT1642" s="21"/>
      <c r="YU1642" s="21"/>
      <c r="YV1642" s="21"/>
      <c r="YW1642" s="21"/>
      <c r="YX1642" s="21"/>
      <c r="YY1642" s="21"/>
      <c r="YZ1642" s="21"/>
      <c r="ZA1642" s="21"/>
      <c r="ZB1642" s="21"/>
      <c r="ZC1642" s="21"/>
      <c r="ZD1642" s="21"/>
      <c r="ZE1642" s="21"/>
      <c r="ZF1642" s="21"/>
      <c r="ZG1642" s="21"/>
      <c r="ZH1642" s="21"/>
      <c r="ZI1642" s="21"/>
      <c r="ZJ1642" s="21"/>
      <c r="ZK1642" s="21"/>
      <c r="ZL1642" s="21"/>
      <c r="ZM1642" s="21"/>
      <c r="ZN1642" s="21"/>
      <c r="ZO1642" s="21"/>
      <c r="ZP1642" s="21"/>
      <c r="ZQ1642" s="21"/>
      <c r="ZR1642" s="21"/>
      <c r="ZS1642" s="21"/>
      <c r="ZT1642" s="21"/>
      <c r="ZU1642" s="21"/>
      <c r="ZV1642" s="21"/>
      <c r="ZW1642" s="21"/>
      <c r="ZX1642" s="21"/>
      <c r="ZY1642" s="21"/>
      <c r="ZZ1642" s="21"/>
      <c r="AAA1642" s="21"/>
      <c r="AAB1642" s="21"/>
      <c r="AAC1642" s="21"/>
      <c r="AAD1642" s="21"/>
      <c r="AAE1642" s="21"/>
      <c r="AAF1642" s="21"/>
      <c r="AAG1642" s="21"/>
      <c r="AAH1642" s="21"/>
      <c r="AAI1642" s="21"/>
      <c r="AAJ1642" s="21"/>
      <c r="AAK1642" s="21"/>
      <c r="AAL1642" s="21"/>
      <c r="AAM1642" s="21"/>
      <c r="AAN1642" s="21"/>
      <c r="AAO1642" s="21"/>
      <c r="AAP1642" s="21"/>
      <c r="AAQ1642" s="21"/>
      <c r="AAR1642" s="21"/>
      <c r="AAS1642" s="21"/>
      <c r="AAT1642" s="21"/>
      <c r="AAU1642" s="21"/>
      <c r="AAV1642" s="21"/>
      <c r="AAW1642" s="21"/>
      <c r="AAX1642" s="21"/>
      <c r="AAY1642" s="21"/>
      <c r="AAZ1642" s="21"/>
      <c r="ABA1642" s="21"/>
      <c r="ABB1642" s="21"/>
      <c r="ABC1642" s="21"/>
      <c r="ABD1642" s="21"/>
      <c r="ABE1642" s="21"/>
      <c r="ABF1642" s="21"/>
      <c r="ABG1642" s="21"/>
      <c r="ABH1642" s="21"/>
      <c r="ABI1642" s="21"/>
      <c r="ABJ1642" s="21"/>
      <c r="ABK1642" s="21"/>
      <c r="ABL1642" s="21"/>
      <c r="ABM1642" s="21"/>
      <c r="ABN1642" s="21"/>
      <c r="ABO1642" s="21"/>
      <c r="ABP1642" s="21"/>
      <c r="ABQ1642" s="21"/>
      <c r="ABR1642" s="21"/>
      <c r="ABS1642" s="21"/>
      <c r="ABT1642" s="21"/>
      <c r="ABU1642" s="21"/>
      <c r="ABV1642" s="21"/>
      <c r="ABW1642" s="21"/>
      <c r="ABX1642" s="21"/>
      <c r="ABY1642" s="21"/>
      <c r="ABZ1642" s="21"/>
      <c r="ACA1642" s="21"/>
      <c r="ACB1642" s="21"/>
      <c r="ACC1642" s="21"/>
      <c r="ACD1642" s="21"/>
      <c r="ACE1642" s="21"/>
      <c r="ACF1642" s="21"/>
      <c r="ACG1642" s="21"/>
      <c r="ACH1642" s="21"/>
      <c r="ACI1642" s="21"/>
      <c r="ACJ1642" s="21"/>
      <c r="ACK1642" s="21"/>
      <c r="ACL1642" s="21"/>
      <c r="ACM1642" s="21"/>
      <c r="ACN1642" s="21"/>
      <c r="ACO1642" s="21"/>
      <c r="ACP1642" s="21"/>
      <c r="ACQ1642" s="21"/>
      <c r="ACR1642" s="21"/>
      <c r="ACS1642" s="21"/>
      <c r="ACT1642" s="21"/>
      <c r="ACU1642" s="21"/>
      <c r="ACV1642" s="21"/>
      <c r="ACW1642" s="21"/>
      <c r="ACX1642" s="21"/>
      <c r="ACY1642" s="21"/>
      <c r="ACZ1642" s="21"/>
      <c r="ADA1642" s="21"/>
      <c r="ADB1642" s="21"/>
      <c r="ADC1642" s="21"/>
      <c r="ADD1642" s="21"/>
      <c r="ADE1642" s="21"/>
      <c r="ADF1642" s="21"/>
      <c r="ADG1642" s="21"/>
      <c r="ADH1642" s="21"/>
      <c r="ADI1642" s="21"/>
      <c r="ADJ1642" s="21"/>
      <c r="ADK1642" s="21"/>
      <c r="ADL1642" s="21"/>
      <c r="ADM1642" s="21"/>
      <c r="ADN1642" s="21"/>
      <c r="ADO1642" s="21"/>
      <c r="ADP1642" s="21"/>
      <c r="ADQ1642" s="21"/>
      <c r="ADR1642" s="21"/>
      <c r="ADS1642" s="21"/>
      <c r="ADT1642" s="21"/>
      <c r="ADU1642" s="21"/>
      <c r="ADV1642" s="21"/>
      <c r="ADW1642" s="21"/>
      <c r="ADX1642" s="21"/>
      <c r="ADY1642" s="21"/>
      <c r="ADZ1642" s="21"/>
      <c r="AEA1642" s="21"/>
      <c r="AEB1642" s="21"/>
      <c r="AEC1642" s="21"/>
      <c r="AED1642" s="21"/>
      <c r="AEE1642" s="21"/>
      <c r="AEF1642" s="21"/>
      <c r="AEG1642" s="21"/>
      <c r="AEH1642" s="21"/>
      <c r="AEI1642" s="21"/>
      <c r="AEJ1642" s="21"/>
      <c r="AEK1642" s="21"/>
      <c r="AEL1642" s="21"/>
      <c r="AEM1642" s="21"/>
      <c r="AEN1642" s="21"/>
      <c r="AEO1642" s="21"/>
      <c r="AEP1642" s="21"/>
      <c r="AEQ1642" s="21"/>
      <c r="AER1642" s="21"/>
      <c r="AES1642" s="21"/>
      <c r="AET1642" s="21"/>
      <c r="AEU1642" s="21"/>
      <c r="AEV1642" s="21"/>
      <c r="AEW1642" s="21"/>
      <c r="AEX1642" s="21"/>
      <c r="AEY1642" s="21"/>
      <c r="AEZ1642" s="21"/>
      <c r="AFA1642" s="21"/>
      <c r="AFB1642" s="21"/>
      <c r="AFC1642" s="21"/>
      <c r="AFD1642" s="21"/>
      <c r="AFE1642" s="21"/>
      <c r="AFF1642" s="21"/>
      <c r="AFG1642" s="21"/>
      <c r="AFH1642" s="21"/>
      <c r="AFI1642" s="21"/>
      <c r="AFJ1642" s="21"/>
      <c r="AFK1642" s="21"/>
      <c r="AFL1642" s="21"/>
      <c r="AFM1642" s="21"/>
      <c r="AFN1642" s="21"/>
      <c r="AFO1642" s="21"/>
      <c r="AFP1642" s="21"/>
      <c r="AFQ1642" s="21"/>
      <c r="AFR1642" s="21"/>
      <c r="AFS1642" s="21"/>
      <c r="AFT1642" s="21"/>
      <c r="AFU1642" s="21"/>
      <c r="AFV1642" s="21"/>
      <c r="AFW1642" s="21"/>
      <c r="AFX1642" s="21"/>
      <c r="AFY1642" s="21"/>
      <c r="AFZ1642" s="21"/>
      <c r="AGA1642" s="21"/>
      <c r="AGB1642" s="21"/>
      <c r="AGC1642" s="21"/>
      <c r="AGD1642" s="21"/>
      <c r="AGE1642" s="21"/>
      <c r="AGF1642" s="21"/>
      <c r="AGG1642" s="21"/>
      <c r="AGH1642" s="21"/>
      <c r="AGI1642" s="21"/>
      <c r="AGJ1642" s="21"/>
      <c r="AGK1642" s="21"/>
      <c r="AGL1642" s="21"/>
      <c r="AGM1642" s="21"/>
      <c r="AGN1642" s="21"/>
      <c r="AGO1642" s="21"/>
      <c r="AGP1642" s="21"/>
      <c r="AGQ1642" s="21"/>
      <c r="AGR1642" s="21"/>
      <c r="AGS1642" s="21"/>
      <c r="AGT1642" s="21"/>
      <c r="AGU1642" s="21"/>
      <c r="AGV1642" s="21"/>
      <c r="AGW1642" s="21"/>
      <c r="AGX1642" s="21"/>
      <c r="AGY1642" s="21"/>
      <c r="AGZ1642" s="21"/>
      <c r="AHA1642" s="21"/>
      <c r="AHB1642" s="21"/>
      <c r="AHC1642" s="21"/>
      <c r="AHD1642" s="21"/>
      <c r="AHE1642" s="21"/>
      <c r="AHF1642" s="21"/>
      <c r="AHG1642" s="21"/>
      <c r="AHH1642" s="21"/>
      <c r="AHI1642" s="21"/>
      <c r="AHJ1642" s="21"/>
      <c r="AHK1642" s="21"/>
      <c r="AHL1642" s="21"/>
      <c r="AHM1642" s="21"/>
      <c r="AHN1642" s="21"/>
      <c r="AHO1642" s="21"/>
      <c r="AHP1642" s="21"/>
      <c r="AHQ1642" s="21"/>
      <c r="AHR1642" s="21"/>
      <c r="AHS1642" s="21"/>
      <c r="AHT1642" s="21"/>
      <c r="AHU1642" s="21"/>
      <c r="AHV1642" s="21"/>
      <c r="AHW1642" s="21"/>
      <c r="AHX1642" s="21"/>
      <c r="AHY1642" s="21"/>
      <c r="AHZ1642" s="21"/>
      <c r="AIA1642" s="21"/>
      <c r="AIB1642" s="21"/>
      <c r="AIC1642" s="21"/>
      <c r="AID1642" s="21"/>
      <c r="AIE1642" s="21"/>
      <c r="AIF1642" s="21"/>
      <c r="AIG1642" s="21"/>
      <c r="AIH1642" s="21"/>
      <c r="AII1642" s="21"/>
      <c r="AIJ1642" s="21"/>
      <c r="AIK1642" s="21"/>
      <c r="AIL1642" s="21"/>
      <c r="AIM1642" s="21"/>
      <c r="AIN1642" s="21"/>
      <c r="AIO1642" s="21"/>
      <c r="AIP1642" s="21"/>
      <c r="AIQ1642" s="21"/>
      <c r="AIR1642" s="21"/>
      <c r="AIS1642" s="21"/>
      <c r="AIT1642" s="21"/>
      <c r="AIU1642" s="21"/>
      <c r="AIV1642" s="21"/>
      <c r="AIW1642" s="21"/>
      <c r="AIX1642" s="21"/>
      <c r="AIY1642" s="21"/>
      <c r="AIZ1642" s="21"/>
      <c r="AJA1642" s="21"/>
      <c r="AJB1642" s="21"/>
      <c r="AJC1642" s="21"/>
      <c r="AJD1642" s="21"/>
      <c r="AJE1642" s="21"/>
      <c r="AJF1642" s="21"/>
      <c r="AJG1642" s="21"/>
      <c r="AJH1642" s="21"/>
      <c r="AJI1642" s="21"/>
      <c r="AJJ1642" s="21"/>
      <c r="AJK1642" s="21"/>
      <c r="AJL1642" s="21"/>
      <c r="AJM1642" s="21"/>
      <c r="AJN1642" s="21"/>
      <c r="AJO1642" s="21"/>
      <c r="AJP1642" s="21"/>
      <c r="AJQ1642" s="21"/>
      <c r="AJR1642" s="21"/>
      <c r="AJS1642" s="21"/>
      <c r="AJT1642" s="21"/>
      <c r="AJU1642" s="21"/>
      <c r="AJV1642" s="21"/>
      <c r="AJW1642" s="21"/>
      <c r="AJX1642" s="21"/>
      <c r="AJY1642" s="21"/>
      <c r="AJZ1642" s="21"/>
      <c r="AKA1642" s="21"/>
      <c r="AKB1642" s="21"/>
      <c r="AKC1642" s="21"/>
      <c r="AKD1642" s="21"/>
      <c r="AKE1642" s="21"/>
      <c r="AKF1642" s="21"/>
      <c r="AKG1642" s="21"/>
      <c r="AKH1642" s="21"/>
      <c r="AKI1642" s="21"/>
      <c r="AKJ1642" s="21"/>
      <c r="AKK1642" s="21"/>
      <c r="AKL1642" s="21"/>
      <c r="AKM1642" s="21"/>
      <c r="AKN1642" s="21"/>
      <c r="AKO1642" s="21"/>
      <c r="AKP1642" s="21"/>
      <c r="AKQ1642" s="21"/>
      <c r="AKR1642" s="21"/>
      <c r="AKS1642" s="21"/>
      <c r="AKT1642" s="21"/>
      <c r="AKU1642" s="21"/>
      <c r="AKV1642" s="21"/>
      <c r="AKW1642" s="21"/>
      <c r="AKX1642" s="21"/>
      <c r="AKY1642" s="21"/>
      <c r="AKZ1642" s="21"/>
      <c r="ALA1642" s="21"/>
      <c r="ALB1642" s="21"/>
      <c r="ALC1642" s="21"/>
      <c r="ALD1642" s="21"/>
      <c r="ALE1642" s="21"/>
      <c r="ALF1642" s="21"/>
      <c r="ALG1642" s="21"/>
      <c r="ALH1642" s="21"/>
      <c r="ALI1642" s="21"/>
      <c r="ALJ1642" s="21"/>
      <c r="ALK1642" s="21"/>
      <c r="ALL1642" s="21"/>
      <c r="ALM1642" s="21"/>
      <c r="ALN1642" s="21"/>
      <c r="ALO1642" s="21"/>
      <c r="ALP1642" s="21"/>
      <c r="ALQ1642" s="21"/>
      <c r="ALR1642" s="21"/>
      <c r="ALS1642" s="21"/>
      <c r="ALT1642" s="21"/>
      <c r="ALU1642" s="21"/>
      <c r="ALV1642" s="21"/>
      <c r="ALW1642" s="21"/>
      <c r="ALX1642" s="21"/>
      <c r="ALY1642" s="21"/>
      <c r="ALZ1642" s="21"/>
      <c r="AMA1642" s="21"/>
      <c r="AMB1642" s="21"/>
      <c r="AMC1642" s="21"/>
      <c r="AMD1642" s="21"/>
      <c r="AME1642" s="21"/>
      <c r="AMF1642" s="21"/>
      <c r="AMG1642" s="21"/>
      <c r="AMH1642" s="21"/>
      <c r="AMI1642" s="21"/>
      <c r="AMJ1642" s="21"/>
      <c r="AMK1642" s="21"/>
      <c r="AML1642" s="21"/>
      <c r="AMM1642" s="21"/>
      <c r="AMN1642" s="21"/>
      <c r="AMO1642" s="21"/>
      <c r="AMP1642" s="21"/>
      <c r="AMQ1642" s="21"/>
      <c r="AMR1642" s="21"/>
      <c r="AMS1642" s="21"/>
      <c r="AMT1642" s="21"/>
      <c r="AMU1642" s="21"/>
      <c r="AMV1642" s="21"/>
      <c r="AMW1642" s="21"/>
      <c r="AMX1642" s="21"/>
      <c r="AMY1642" s="21"/>
      <c r="AMZ1642" s="21"/>
      <c r="ANA1642" s="21"/>
      <c r="ANB1642" s="21"/>
      <c r="ANC1642" s="21"/>
      <c r="AND1642" s="21"/>
      <c r="ANE1642" s="21"/>
      <c r="ANF1642" s="21"/>
      <c r="ANG1642" s="21"/>
      <c r="ANH1642" s="21"/>
      <c r="ANI1642" s="21"/>
      <c r="ANJ1642" s="21"/>
      <c r="ANK1642" s="21"/>
      <c r="ANL1642" s="21"/>
      <c r="ANM1642" s="21"/>
      <c r="ANN1642" s="21"/>
      <c r="ANO1642" s="21"/>
      <c r="ANP1642" s="21"/>
      <c r="ANQ1642" s="21"/>
      <c r="ANR1642" s="21"/>
      <c r="ANS1642" s="21"/>
      <c r="ANT1642" s="21"/>
      <c r="ANU1642" s="21"/>
      <c r="ANV1642" s="21"/>
      <c r="ANW1642" s="21"/>
      <c r="ANX1642" s="21"/>
      <c r="ANY1642" s="21"/>
      <c r="ANZ1642" s="21"/>
      <c r="AOA1642" s="21"/>
      <c r="AOB1642" s="21"/>
      <c r="AOC1642" s="21"/>
      <c r="AOD1642" s="21"/>
      <c r="AOE1642" s="21"/>
      <c r="AOF1642" s="21"/>
      <c r="AOG1642" s="21"/>
      <c r="AOH1642" s="21"/>
      <c r="AOI1642" s="21"/>
      <c r="AOJ1642" s="21"/>
      <c r="AOK1642" s="21"/>
      <c r="AOL1642" s="21"/>
      <c r="AOM1642" s="21"/>
      <c r="AON1642" s="21"/>
      <c r="AOO1642" s="21"/>
      <c r="AOP1642" s="21"/>
      <c r="AOQ1642" s="21"/>
      <c r="AOR1642" s="21"/>
      <c r="AOS1642" s="21"/>
      <c r="AOT1642" s="21"/>
      <c r="AOU1642" s="21"/>
      <c r="AOV1642" s="21"/>
      <c r="AOW1642" s="21"/>
      <c r="AOX1642" s="21"/>
      <c r="AOY1642" s="21"/>
      <c r="AOZ1642" s="21"/>
      <c r="APA1642" s="21"/>
      <c r="APB1642" s="21"/>
      <c r="APC1642" s="21"/>
      <c r="APD1642" s="21"/>
      <c r="APE1642" s="21"/>
      <c r="APF1642" s="21"/>
      <c r="APG1642" s="21"/>
      <c r="APH1642" s="21"/>
      <c r="API1642" s="21"/>
      <c r="APJ1642" s="21"/>
      <c r="APK1642" s="21"/>
      <c r="APL1642" s="21"/>
      <c r="APM1642" s="21"/>
      <c r="APN1642" s="21"/>
      <c r="APO1642" s="21"/>
      <c r="APP1642" s="21"/>
      <c r="APQ1642" s="21"/>
      <c r="APR1642" s="21"/>
      <c r="APS1642" s="21"/>
      <c r="APT1642" s="21"/>
      <c r="APU1642" s="21"/>
      <c r="APV1642" s="21"/>
      <c r="APW1642" s="21"/>
      <c r="APX1642" s="21"/>
      <c r="APY1642" s="21"/>
      <c r="APZ1642" s="21"/>
      <c r="AQA1642" s="21"/>
      <c r="AQB1642" s="21"/>
      <c r="AQC1642" s="21"/>
      <c r="AQD1642" s="21"/>
      <c r="AQE1642" s="21"/>
      <c r="AQF1642" s="21"/>
      <c r="AQG1642" s="21"/>
      <c r="AQH1642" s="21"/>
      <c r="AQI1642" s="21"/>
      <c r="AQJ1642" s="21"/>
      <c r="AQK1642" s="21"/>
      <c r="AQL1642" s="21"/>
      <c r="AQM1642" s="21"/>
      <c r="AQN1642" s="21"/>
      <c r="AQO1642" s="21"/>
      <c r="AQP1642" s="21"/>
      <c r="AQQ1642" s="21"/>
      <c r="AQR1642" s="21"/>
      <c r="AQS1642" s="21"/>
      <c r="AQT1642" s="21"/>
      <c r="AQU1642" s="21"/>
      <c r="AQV1642" s="21"/>
      <c r="AQW1642" s="21"/>
      <c r="AQX1642" s="21"/>
      <c r="AQY1642" s="21"/>
      <c r="AQZ1642" s="21"/>
      <c r="ARA1642" s="21"/>
      <c r="ARB1642" s="21"/>
      <c r="ARC1642" s="21"/>
      <c r="ARD1642" s="21"/>
      <c r="ARE1642" s="21"/>
      <c r="ARF1642" s="21"/>
      <c r="ARG1642" s="21"/>
      <c r="ARH1642" s="21"/>
      <c r="ARI1642" s="21"/>
      <c r="ARJ1642" s="21"/>
      <c r="ARK1642" s="21"/>
      <c r="ARL1642" s="21"/>
      <c r="ARM1642" s="21"/>
      <c r="ARN1642" s="21"/>
      <c r="ARO1642" s="21"/>
      <c r="ARP1642" s="21"/>
      <c r="ARQ1642" s="21"/>
      <c r="ARR1642" s="21"/>
      <c r="ARS1642" s="21"/>
      <c r="ART1642" s="21"/>
      <c r="ARU1642" s="21"/>
      <c r="ARV1642" s="21"/>
      <c r="ARW1642" s="21"/>
      <c r="ARX1642" s="21"/>
      <c r="ARY1642" s="21"/>
      <c r="ARZ1642" s="21"/>
      <c r="ASA1642" s="21"/>
      <c r="ASB1642" s="21"/>
      <c r="ASC1642" s="21"/>
      <c r="ASD1642" s="21"/>
      <c r="ASE1642" s="21"/>
      <c r="ASF1642" s="21"/>
      <c r="ASG1642" s="21"/>
      <c r="ASH1642" s="21"/>
      <c r="ASI1642" s="21"/>
      <c r="ASJ1642" s="21"/>
      <c r="ASK1642" s="21"/>
      <c r="ASL1642" s="21"/>
      <c r="ASM1642" s="21"/>
      <c r="ASN1642" s="21"/>
      <c r="ASO1642" s="21"/>
      <c r="ASP1642" s="21"/>
      <c r="ASQ1642" s="21"/>
      <c r="ASR1642" s="21"/>
      <c r="ASS1642" s="21"/>
      <c r="AST1642" s="21"/>
      <c r="ASU1642" s="21"/>
      <c r="ASV1642" s="21"/>
      <c r="ASW1642" s="21"/>
      <c r="ASX1642" s="21"/>
      <c r="ASY1642" s="21"/>
      <c r="ASZ1642" s="21"/>
      <c r="ATA1642" s="21"/>
      <c r="ATB1642" s="21"/>
      <c r="ATC1642" s="21"/>
      <c r="ATD1642" s="21"/>
      <c r="ATE1642" s="21"/>
      <c r="ATF1642" s="21"/>
      <c r="ATG1642" s="21"/>
      <c r="ATH1642" s="21"/>
      <c r="ATI1642" s="21"/>
      <c r="ATJ1642" s="21"/>
      <c r="ATK1642" s="21"/>
      <c r="ATL1642" s="21"/>
      <c r="ATM1642" s="21"/>
      <c r="ATN1642" s="21"/>
      <c r="ATO1642" s="21"/>
      <c r="ATP1642" s="21"/>
      <c r="ATQ1642" s="21"/>
      <c r="ATR1642" s="21"/>
      <c r="ATS1642" s="21"/>
      <c r="ATT1642" s="21"/>
      <c r="ATU1642" s="21"/>
      <c r="ATV1642" s="21"/>
      <c r="ATW1642" s="21"/>
      <c r="ATX1642" s="21"/>
      <c r="ATY1642" s="21"/>
      <c r="ATZ1642" s="21"/>
      <c r="AUA1642" s="21"/>
      <c r="AUB1642" s="21"/>
      <c r="AUC1642" s="21"/>
      <c r="AUD1642" s="21"/>
      <c r="AUE1642" s="21"/>
      <c r="AUF1642" s="21"/>
      <c r="AUG1642" s="21"/>
      <c r="AUH1642" s="21"/>
      <c r="AUI1642" s="21"/>
      <c r="AUJ1642" s="21"/>
      <c r="AUK1642" s="21"/>
      <c r="AUL1642" s="21"/>
      <c r="AUM1642" s="21"/>
      <c r="AUN1642" s="21"/>
      <c r="AUO1642" s="21"/>
      <c r="AUP1642" s="21"/>
      <c r="AUQ1642" s="21"/>
      <c r="AUR1642" s="21"/>
      <c r="AUS1642" s="21"/>
      <c r="AUT1642" s="21"/>
      <c r="AUU1642" s="21"/>
      <c r="AUV1642" s="21"/>
      <c r="AUW1642" s="21"/>
      <c r="AUX1642" s="21"/>
      <c r="AUY1642" s="21"/>
      <c r="AUZ1642" s="21"/>
      <c r="AVA1642" s="21"/>
      <c r="AVB1642" s="21"/>
      <c r="AVC1642" s="21"/>
      <c r="AVD1642" s="21"/>
      <c r="AVE1642" s="21"/>
      <c r="AVF1642" s="21"/>
      <c r="AVG1642" s="21"/>
      <c r="AVH1642" s="21"/>
      <c r="AVI1642" s="21"/>
      <c r="AVJ1642" s="21"/>
      <c r="AVK1642" s="21"/>
      <c r="AVL1642" s="21"/>
      <c r="AVM1642" s="21"/>
      <c r="AVN1642" s="21"/>
      <c r="AVO1642" s="21"/>
      <c r="AVP1642" s="21"/>
      <c r="AVQ1642" s="21"/>
      <c r="AVR1642" s="21"/>
      <c r="AVS1642" s="21"/>
      <c r="AVT1642" s="21"/>
      <c r="AVU1642" s="21"/>
      <c r="AVV1642" s="21"/>
      <c r="AVW1642" s="21"/>
      <c r="AVX1642" s="21"/>
      <c r="AVY1642" s="21"/>
      <c r="AVZ1642" s="21"/>
      <c r="AWA1642" s="21"/>
      <c r="AWB1642" s="21"/>
      <c r="AWC1642" s="21"/>
      <c r="AWD1642" s="21"/>
      <c r="AWE1642" s="21"/>
      <c r="AWF1642" s="21"/>
      <c r="AWG1642" s="21"/>
      <c r="AWH1642" s="21"/>
      <c r="AWI1642" s="21"/>
      <c r="AWJ1642" s="21"/>
      <c r="AWK1642" s="21"/>
      <c r="AWL1642" s="21"/>
      <c r="AWM1642" s="21"/>
      <c r="AWN1642" s="21"/>
      <c r="AWO1642" s="21"/>
      <c r="AWP1642" s="21"/>
      <c r="AWQ1642" s="21"/>
      <c r="AWR1642" s="21"/>
      <c r="AWS1642" s="21"/>
      <c r="AWT1642" s="21"/>
      <c r="AWU1642" s="21"/>
      <c r="AWV1642" s="21"/>
      <c r="AWW1642" s="21"/>
      <c r="AWX1642" s="21"/>
      <c r="AWY1642" s="21"/>
      <c r="AWZ1642" s="21"/>
      <c r="AXA1642" s="21"/>
      <c r="AXB1642" s="21"/>
      <c r="AXC1642" s="21"/>
      <c r="AXD1642" s="21"/>
      <c r="AXE1642" s="21"/>
      <c r="AXF1642" s="21"/>
      <c r="AXG1642" s="21"/>
      <c r="AXH1642" s="21"/>
      <c r="AXI1642" s="21"/>
      <c r="AXJ1642" s="21"/>
      <c r="AXK1642" s="21"/>
      <c r="AXL1642" s="21"/>
      <c r="AXM1642" s="21"/>
      <c r="AXN1642" s="21"/>
      <c r="AXO1642" s="21"/>
      <c r="AXP1642" s="21"/>
      <c r="AXQ1642" s="21"/>
      <c r="AXR1642" s="21"/>
      <c r="AXS1642" s="21"/>
      <c r="AXT1642" s="21"/>
      <c r="AXU1642" s="21"/>
      <c r="AXV1642" s="21"/>
      <c r="AXW1642" s="21"/>
      <c r="AXX1642" s="21"/>
      <c r="AXY1642" s="21"/>
      <c r="AXZ1642" s="21"/>
      <c r="AYA1642" s="21"/>
      <c r="AYB1642" s="21"/>
      <c r="AYC1642" s="21"/>
      <c r="AYD1642" s="21"/>
      <c r="AYE1642" s="21"/>
      <c r="AYF1642" s="21"/>
      <c r="AYG1642" s="21"/>
      <c r="AYH1642" s="21"/>
      <c r="AYI1642" s="21"/>
      <c r="AYJ1642" s="21"/>
      <c r="AYK1642" s="21"/>
      <c r="AYL1642" s="21"/>
      <c r="AYM1642" s="21"/>
      <c r="AYN1642" s="21"/>
      <c r="AYO1642" s="21"/>
      <c r="AYP1642" s="21"/>
      <c r="AYQ1642" s="21"/>
      <c r="AYR1642" s="21"/>
      <c r="AYS1642" s="21"/>
      <c r="AYT1642" s="21"/>
      <c r="AYU1642" s="21"/>
      <c r="AYV1642" s="21"/>
      <c r="AYW1642" s="21"/>
      <c r="AYX1642" s="21"/>
      <c r="AYY1642" s="21"/>
      <c r="AYZ1642" s="21"/>
      <c r="AZA1642" s="21"/>
      <c r="AZB1642" s="21"/>
      <c r="AZC1642" s="21"/>
      <c r="AZD1642" s="21"/>
      <c r="AZE1642" s="21"/>
      <c r="AZF1642" s="21"/>
      <c r="AZG1642" s="21"/>
      <c r="AZH1642" s="21"/>
      <c r="AZI1642" s="21"/>
      <c r="AZJ1642" s="21"/>
      <c r="AZK1642" s="21"/>
      <c r="AZL1642" s="21"/>
      <c r="AZM1642" s="21"/>
      <c r="AZN1642" s="21"/>
      <c r="AZO1642" s="21"/>
      <c r="AZP1642" s="21"/>
      <c r="AZQ1642" s="21"/>
      <c r="AZR1642" s="21"/>
      <c r="AZS1642" s="21"/>
      <c r="AZT1642" s="21"/>
      <c r="AZU1642" s="21"/>
      <c r="AZV1642" s="21"/>
      <c r="AZW1642" s="21"/>
      <c r="AZX1642" s="21"/>
      <c r="AZY1642" s="21"/>
      <c r="AZZ1642" s="21"/>
      <c r="BAA1642" s="21"/>
      <c r="BAB1642" s="21"/>
      <c r="BAC1642" s="21"/>
      <c r="BAD1642" s="21"/>
      <c r="BAE1642" s="21"/>
      <c r="BAF1642" s="21"/>
      <c r="BAG1642" s="21"/>
      <c r="BAH1642" s="21"/>
      <c r="BAI1642" s="21"/>
      <c r="BAJ1642" s="21"/>
      <c r="BAK1642" s="21"/>
      <c r="BAL1642" s="21"/>
      <c r="BAM1642" s="21"/>
      <c r="BAN1642" s="21"/>
      <c r="BAO1642" s="21"/>
      <c r="BAP1642" s="21"/>
      <c r="BAQ1642" s="21"/>
      <c r="BAR1642" s="21"/>
      <c r="BAS1642" s="21"/>
      <c r="BAT1642" s="21"/>
      <c r="BAU1642" s="21"/>
      <c r="BAV1642" s="21"/>
      <c r="BAW1642" s="21"/>
      <c r="BAX1642" s="21"/>
      <c r="BAY1642" s="21"/>
      <c r="BAZ1642" s="21"/>
      <c r="BBA1642" s="21"/>
      <c r="BBB1642" s="21"/>
      <c r="BBC1642" s="21"/>
      <c r="BBD1642" s="21"/>
      <c r="BBE1642" s="21"/>
      <c r="BBF1642" s="21"/>
      <c r="BBG1642" s="21"/>
      <c r="BBH1642" s="21"/>
      <c r="BBI1642" s="21"/>
      <c r="BBJ1642" s="21"/>
      <c r="BBK1642" s="21"/>
      <c r="BBL1642" s="21"/>
      <c r="BBM1642" s="21"/>
      <c r="BBN1642" s="21"/>
      <c r="BBO1642" s="21"/>
      <c r="BBP1642" s="21"/>
      <c r="BBQ1642" s="21"/>
      <c r="BBR1642" s="21"/>
      <c r="BBS1642" s="21"/>
      <c r="BBT1642" s="21"/>
      <c r="BBU1642" s="21"/>
      <c r="BBV1642" s="21"/>
      <c r="BBW1642" s="21"/>
      <c r="BBX1642" s="21"/>
      <c r="BBY1642" s="21"/>
      <c r="BBZ1642" s="21"/>
      <c r="BCA1642" s="21"/>
      <c r="BCB1642" s="21"/>
      <c r="BCC1642" s="21"/>
      <c r="BCD1642" s="21"/>
      <c r="BCE1642" s="21"/>
      <c r="BCF1642" s="21"/>
      <c r="BCG1642" s="21"/>
      <c r="BCH1642" s="21"/>
      <c r="BCI1642" s="21"/>
      <c r="BCJ1642" s="21"/>
      <c r="BCK1642" s="21"/>
      <c r="BCL1642" s="21"/>
      <c r="BCM1642" s="21"/>
      <c r="BCN1642" s="21"/>
      <c r="BCO1642" s="21"/>
      <c r="BCP1642" s="21"/>
      <c r="BCQ1642" s="21"/>
      <c r="BCR1642" s="21"/>
      <c r="BCS1642" s="21"/>
      <c r="BCT1642" s="21"/>
      <c r="BCU1642" s="21"/>
      <c r="BCV1642" s="21"/>
      <c r="BCW1642" s="21"/>
      <c r="BCX1642" s="21"/>
      <c r="BCY1642" s="21"/>
      <c r="BCZ1642" s="21"/>
      <c r="BDA1642" s="21"/>
      <c r="BDB1642" s="21"/>
      <c r="BDC1642" s="21"/>
      <c r="BDD1642" s="21"/>
      <c r="BDE1642" s="21"/>
      <c r="BDF1642" s="21"/>
      <c r="BDG1642" s="21"/>
      <c r="BDH1642" s="21"/>
      <c r="BDI1642" s="21"/>
      <c r="BDJ1642" s="21"/>
      <c r="BDK1642" s="21"/>
      <c r="BDL1642" s="21"/>
      <c r="BDM1642" s="21"/>
      <c r="BDN1642" s="21"/>
      <c r="BDO1642" s="21"/>
      <c r="BDP1642" s="21"/>
      <c r="BDQ1642" s="21"/>
      <c r="BDR1642" s="21"/>
      <c r="BDS1642" s="21"/>
      <c r="BDT1642" s="21"/>
      <c r="BDU1642" s="21"/>
      <c r="BDV1642" s="21"/>
      <c r="BDW1642" s="21"/>
      <c r="BDX1642" s="21"/>
      <c r="BDY1642" s="21"/>
      <c r="BDZ1642" s="21"/>
      <c r="BEA1642" s="21"/>
      <c r="BEB1642" s="21"/>
      <c r="BEC1642" s="21"/>
      <c r="BED1642" s="21"/>
      <c r="BEE1642" s="21"/>
      <c r="BEF1642" s="21"/>
      <c r="BEG1642" s="21"/>
      <c r="BEH1642" s="21"/>
      <c r="BEI1642" s="21"/>
      <c r="BEJ1642" s="21"/>
      <c r="BEK1642" s="21"/>
      <c r="BEL1642" s="21"/>
      <c r="BEM1642" s="21"/>
      <c r="BEN1642" s="21"/>
      <c r="BEO1642" s="21"/>
      <c r="BEP1642" s="21"/>
      <c r="BEQ1642" s="21"/>
      <c r="BER1642" s="21"/>
      <c r="BES1642" s="21"/>
      <c r="BET1642" s="21"/>
      <c r="BEU1642" s="21"/>
      <c r="BEV1642" s="21"/>
      <c r="BEW1642" s="21"/>
      <c r="BEX1642" s="21"/>
      <c r="BEY1642" s="21"/>
      <c r="BEZ1642" s="21"/>
      <c r="BFA1642" s="21"/>
      <c r="BFB1642" s="21"/>
      <c r="BFC1642" s="21"/>
      <c r="BFD1642" s="21"/>
      <c r="BFE1642" s="21"/>
      <c r="BFF1642" s="21"/>
      <c r="BFG1642" s="21"/>
      <c r="BFH1642" s="21"/>
      <c r="BFI1642" s="21"/>
      <c r="BFJ1642" s="21"/>
      <c r="BFK1642" s="21"/>
      <c r="BFL1642" s="21"/>
      <c r="BFM1642" s="21"/>
      <c r="BFN1642" s="21"/>
      <c r="BFO1642" s="21"/>
      <c r="BFP1642" s="21"/>
      <c r="BFQ1642" s="21"/>
      <c r="BFR1642" s="21"/>
      <c r="BFS1642" s="21"/>
      <c r="BFT1642" s="21"/>
      <c r="BFU1642" s="21"/>
      <c r="BFV1642" s="21"/>
      <c r="BFW1642" s="21"/>
      <c r="BFX1642" s="21"/>
      <c r="BFY1642" s="21"/>
      <c r="BFZ1642" s="21"/>
      <c r="BGA1642" s="21"/>
      <c r="BGB1642" s="21"/>
      <c r="BGC1642" s="21"/>
      <c r="BGD1642" s="21"/>
      <c r="BGE1642" s="21"/>
      <c r="BGF1642" s="21"/>
      <c r="BGG1642" s="21"/>
      <c r="BGH1642" s="21"/>
      <c r="BGI1642" s="21"/>
      <c r="BGJ1642" s="21"/>
      <c r="BGK1642" s="21"/>
      <c r="BGL1642" s="21"/>
      <c r="BGM1642" s="21"/>
      <c r="BGN1642" s="21"/>
      <c r="BGO1642" s="21"/>
      <c r="BGP1642" s="21"/>
      <c r="BGQ1642" s="21"/>
      <c r="BGR1642" s="21"/>
      <c r="BGS1642" s="21"/>
      <c r="BGT1642" s="21"/>
      <c r="BGU1642" s="21"/>
      <c r="BGV1642" s="21"/>
      <c r="BGW1642" s="21"/>
      <c r="BGX1642" s="21"/>
      <c r="BGY1642" s="21"/>
      <c r="BGZ1642" s="21"/>
      <c r="BHA1642" s="21"/>
      <c r="BHB1642" s="21"/>
      <c r="BHC1642" s="21"/>
      <c r="BHD1642" s="21"/>
      <c r="BHE1642" s="21"/>
      <c r="BHF1642" s="21"/>
      <c r="BHG1642" s="21"/>
      <c r="BHH1642" s="21"/>
      <c r="BHI1642" s="21"/>
      <c r="BHJ1642" s="21"/>
      <c r="BHK1642" s="21"/>
      <c r="BHL1642" s="21"/>
      <c r="BHM1642" s="21"/>
      <c r="BHN1642" s="21"/>
      <c r="BHO1642" s="21"/>
      <c r="BHP1642" s="21"/>
      <c r="BHQ1642" s="21"/>
      <c r="BHR1642" s="21"/>
      <c r="BHS1642" s="21"/>
      <c r="BHT1642" s="21"/>
      <c r="BHU1642" s="21"/>
      <c r="BHV1642" s="21"/>
      <c r="BHW1642" s="21"/>
      <c r="BHX1642" s="21"/>
      <c r="BHY1642" s="21"/>
      <c r="BHZ1642" s="21"/>
      <c r="BIA1642" s="21"/>
      <c r="BIB1642" s="21"/>
      <c r="BIC1642" s="21"/>
      <c r="BID1642" s="21"/>
      <c r="BIE1642" s="21"/>
      <c r="BIF1642" s="21"/>
      <c r="BIG1642" s="21"/>
      <c r="BIH1642" s="21"/>
      <c r="BII1642" s="21"/>
      <c r="BIJ1642" s="21"/>
      <c r="BIK1642" s="21"/>
      <c r="BIL1642" s="21"/>
      <c r="BIM1642" s="21"/>
      <c r="BIN1642" s="21"/>
      <c r="BIO1642" s="21"/>
      <c r="BIP1642" s="21"/>
      <c r="BIQ1642" s="21"/>
      <c r="BIR1642" s="21"/>
      <c r="BIS1642" s="21"/>
      <c r="BIT1642" s="21"/>
      <c r="BIU1642" s="21"/>
      <c r="BIV1642" s="21"/>
      <c r="BIW1642" s="21"/>
      <c r="BIX1642" s="21"/>
      <c r="BIY1642" s="21"/>
      <c r="BIZ1642" s="21"/>
      <c r="BJA1642" s="21"/>
      <c r="BJB1642" s="21"/>
      <c r="BJC1642" s="21"/>
      <c r="BJD1642" s="21"/>
      <c r="BJE1642" s="21"/>
      <c r="BJF1642" s="21"/>
      <c r="BJG1642" s="21"/>
      <c r="BJH1642" s="21"/>
      <c r="BJI1642" s="21"/>
      <c r="BJJ1642" s="21"/>
      <c r="BJK1642" s="21"/>
      <c r="BJL1642" s="21"/>
      <c r="BJM1642" s="21"/>
      <c r="BJN1642" s="21"/>
      <c r="BJO1642" s="21"/>
      <c r="BJP1642" s="21"/>
      <c r="BJQ1642" s="21"/>
      <c r="BJR1642" s="21"/>
      <c r="BJS1642" s="21"/>
      <c r="BJT1642" s="21"/>
      <c r="BJU1642" s="21"/>
      <c r="BJV1642" s="21"/>
      <c r="BJW1642" s="21"/>
      <c r="BJX1642" s="21"/>
      <c r="BJY1642" s="21"/>
      <c r="BJZ1642" s="21"/>
      <c r="BKA1642" s="21"/>
      <c r="BKB1642" s="21"/>
      <c r="BKC1642" s="21"/>
      <c r="BKD1642" s="21"/>
      <c r="BKE1642" s="21"/>
      <c r="BKF1642" s="21"/>
      <c r="BKG1642" s="21"/>
      <c r="BKH1642" s="21"/>
      <c r="BKI1642" s="21"/>
      <c r="BKJ1642" s="21"/>
      <c r="BKK1642" s="21"/>
      <c r="BKL1642" s="21"/>
      <c r="BKM1642" s="21"/>
      <c r="BKN1642" s="21"/>
      <c r="BKO1642" s="21"/>
      <c r="BKP1642" s="21"/>
      <c r="BKQ1642" s="21"/>
      <c r="BKR1642" s="21"/>
      <c r="BKS1642" s="21"/>
      <c r="BKT1642" s="21"/>
      <c r="BKU1642" s="21"/>
      <c r="BKV1642" s="21"/>
      <c r="BKW1642" s="21"/>
      <c r="BKX1642" s="21"/>
      <c r="BKY1642" s="21"/>
      <c r="BKZ1642" s="21"/>
      <c r="BLA1642" s="21"/>
      <c r="BLB1642" s="21"/>
      <c r="BLC1642" s="21"/>
      <c r="BLD1642" s="21"/>
      <c r="BLE1642" s="21"/>
      <c r="BLF1642" s="21"/>
      <c r="BLG1642" s="21"/>
      <c r="BLH1642" s="21"/>
      <c r="BLI1642" s="21"/>
      <c r="BLJ1642" s="21"/>
      <c r="BLK1642" s="21"/>
      <c r="BLL1642" s="21"/>
      <c r="BLM1642" s="21"/>
      <c r="BLN1642" s="21"/>
      <c r="BLO1642" s="21"/>
      <c r="BLP1642" s="21"/>
      <c r="BLQ1642" s="21"/>
      <c r="BLR1642" s="21"/>
      <c r="BLS1642" s="21"/>
      <c r="BLT1642" s="21"/>
      <c r="BLU1642" s="21"/>
      <c r="BLV1642" s="21"/>
      <c r="BLW1642" s="21"/>
      <c r="BLX1642" s="21"/>
      <c r="BLY1642" s="21"/>
      <c r="BLZ1642" s="21"/>
      <c r="BMA1642" s="21"/>
      <c r="BMB1642" s="21"/>
      <c r="BMC1642" s="21"/>
      <c r="BMD1642" s="21"/>
      <c r="BME1642" s="21"/>
      <c r="BMF1642" s="21"/>
      <c r="BMG1642" s="21"/>
      <c r="BMH1642" s="21"/>
      <c r="BMI1642" s="21"/>
      <c r="BMJ1642" s="21"/>
      <c r="BMK1642" s="21"/>
      <c r="BML1642" s="21"/>
      <c r="BMM1642" s="21"/>
      <c r="BMN1642" s="21"/>
      <c r="BMO1642" s="21"/>
      <c r="BMP1642" s="21"/>
      <c r="BMQ1642" s="21"/>
      <c r="BMR1642" s="21"/>
      <c r="BMS1642" s="21"/>
      <c r="BMT1642" s="21"/>
      <c r="BMU1642" s="21"/>
      <c r="BMV1642" s="21"/>
      <c r="BMW1642" s="21"/>
      <c r="BMX1642" s="21"/>
      <c r="BMY1642" s="21"/>
      <c r="BMZ1642" s="21"/>
      <c r="BNA1642" s="21"/>
      <c r="BNB1642" s="21"/>
      <c r="BNC1642" s="21"/>
      <c r="BND1642" s="21"/>
      <c r="BNE1642" s="21"/>
      <c r="BNF1642" s="21"/>
      <c r="BNG1642" s="21"/>
      <c r="BNH1642" s="21"/>
      <c r="BNI1642" s="21"/>
      <c r="BNJ1642" s="21"/>
      <c r="BNK1642" s="21"/>
      <c r="BNL1642" s="21"/>
      <c r="BNM1642" s="21"/>
      <c r="BNN1642" s="21"/>
      <c r="BNO1642" s="21"/>
      <c r="BNP1642" s="21"/>
      <c r="BNQ1642" s="21"/>
      <c r="BNR1642" s="21"/>
      <c r="BNS1642" s="21"/>
      <c r="BNT1642" s="21"/>
      <c r="BNU1642" s="21"/>
      <c r="BNV1642" s="21"/>
      <c r="BNW1642" s="21"/>
      <c r="BNX1642" s="21"/>
      <c r="BNY1642" s="21"/>
      <c r="BNZ1642" s="21"/>
      <c r="BOA1642" s="21"/>
      <c r="BOB1642" s="21"/>
      <c r="BOC1642" s="21"/>
      <c r="BOD1642" s="21"/>
      <c r="BOE1642" s="21"/>
      <c r="BOF1642" s="21"/>
      <c r="BOG1642" s="21"/>
      <c r="BOH1642" s="21"/>
      <c r="BOI1642" s="21"/>
      <c r="BOJ1642" s="21"/>
      <c r="BOK1642" s="21"/>
      <c r="BOL1642" s="21"/>
      <c r="BOM1642" s="21"/>
      <c r="BON1642" s="21"/>
      <c r="BOO1642" s="21"/>
      <c r="BOP1642" s="21"/>
      <c r="BOQ1642" s="21"/>
      <c r="BOR1642" s="21"/>
      <c r="BOS1642" s="21"/>
      <c r="BOT1642" s="21"/>
      <c r="BOU1642" s="21"/>
      <c r="BOV1642" s="21"/>
      <c r="BOW1642" s="21"/>
      <c r="BOX1642" s="21"/>
      <c r="BOY1642" s="21"/>
      <c r="BOZ1642" s="21"/>
      <c r="BPA1642" s="21"/>
      <c r="BPB1642" s="21"/>
      <c r="BPC1642" s="21"/>
      <c r="BPD1642" s="21"/>
      <c r="BPE1642" s="21"/>
      <c r="BPF1642" s="21"/>
      <c r="BPG1642" s="21"/>
      <c r="BPH1642" s="21"/>
      <c r="BPI1642" s="21"/>
      <c r="BPJ1642" s="21"/>
      <c r="BPK1642" s="21"/>
      <c r="BPL1642" s="21"/>
      <c r="BPM1642" s="21"/>
      <c r="BPN1642" s="21"/>
      <c r="BPO1642" s="21"/>
      <c r="BPP1642" s="21"/>
      <c r="BPQ1642" s="21"/>
      <c r="BPR1642" s="21"/>
      <c r="BPS1642" s="21"/>
      <c r="BPT1642" s="21"/>
      <c r="BPU1642" s="21"/>
      <c r="BPV1642" s="21"/>
      <c r="BPW1642" s="21"/>
      <c r="BPX1642" s="21"/>
      <c r="BPY1642" s="21"/>
      <c r="BPZ1642" s="21"/>
      <c r="BQA1642" s="21"/>
      <c r="BQB1642" s="21"/>
      <c r="BQC1642" s="21"/>
      <c r="BQD1642" s="21"/>
      <c r="BQE1642" s="21"/>
      <c r="BQF1642" s="21"/>
      <c r="BQG1642" s="21"/>
      <c r="BQH1642" s="21"/>
      <c r="BQI1642" s="21"/>
      <c r="BQJ1642" s="21"/>
      <c r="BQK1642" s="21"/>
      <c r="BQL1642" s="21"/>
      <c r="BQM1642" s="21"/>
      <c r="BQN1642" s="21"/>
      <c r="BQO1642" s="21"/>
      <c r="BQP1642" s="21"/>
      <c r="BQQ1642" s="21"/>
      <c r="BQR1642" s="21"/>
      <c r="BQS1642" s="21"/>
      <c r="BQT1642" s="21"/>
      <c r="BQU1642" s="21"/>
      <c r="BQV1642" s="21"/>
      <c r="BQW1642" s="21"/>
      <c r="BQX1642" s="21"/>
      <c r="BQY1642" s="21"/>
      <c r="BQZ1642" s="21"/>
      <c r="BRA1642" s="21"/>
      <c r="BRB1642" s="21"/>
      <c r="BRC1642" s="21"/>
      <c r="BRD1642" s="21"/>
      <c r="BRE1642" s="21"/>
      <c r="BRF1642" s="21"/>
      <c r="BRG1642" s="21"/>
      <c r="BRH1642" s="21"/>
      <c r="BRI1642" s="21"/>
      <c r="BRJ1642" s="21"/>
      <c r="BRK1642" s="21"/>
      <c r="BRL1642" s="21"/>
      <c r="BRM1642" s="21"/>
      <c r="BRN1642" s="21"/>
      <c r="BRO1642" s="21"/>
      <c r="BRP1642" s="21"/>
      <c r="BRQ1642" s="21"/>
      <c r="BRR1642" s="21"/>
      <c r="BRS1642" s="21"/>
      <c r="BRT1642" s="21"/>
      <c r="BRU1642" s="21"/>
      <c r="BRV1642" s="21"/>
      <c r="BRW1642" s="21"/>
      <c r="BRX1642" s="21"/>
      <c r="BRY1642" s="21"/>
      <c r="BRZ1642" s="21"/>
      <c r="BSA1642" s="21"/>
      <c r="BSB1642" s="21"/>
      <c r="BSC1642" s="21"/>
      <c r="BSD1642" s="21"/>
      <c r="BSE1642" s="21"/>
      <c r="BSF1642" s="21"/>
      <c r="BSG1642" s="21"/>
      <c r="BSH1642" s="21"/>
      <c r="BSI1642" s="21"/>
      <c r="BSJ1642" s="21"/>
      <c r="BSK1642" s="21"/>
      <c r="BSL1642" s="21"/>
      <c r="BSM1642" s="21"/>
      <c r="BSN1642" s="21"/>
      <c r="BSO1642" s="21"/>
      <c r="BSP1642" s="21"/>
      <c r="BSQ1642" s="21"/>
      <c r="BSR1642" s="21"/>
      <c r="BSS1642" s="21"/>
      <c r="BST1642" s="21"/>
      <c r="BSU1642" s="21"/>
      <c r="BSV1642" s="21"/>
      <c r="BSW1642" s="21"/>
      <c r="BSX1642" s="21"/>
      <c r="BSY1642" s="21"/>
      <c r="BSZ1642" s="21"/>
      <c r="BTA1642" s="21"/>
      <c r="BTB1642" s="21"/>
      <c r="BTC1642" s="21"/>
      <c r="BTD1642" s="21"/>
      <c r="BTE1642" s="21"/>
      <c r="BTF1642" s="21"/>
      <c r="BTG1642" s="21"/>
      <c r="BTH1642" s="21"/>
      <c r="BTI1642" s="21"/>
      <c r="BTJ1642" s="21"/>
      <c r="BTK1642" s="21"/>
      <c r="BTL1642" s="21"/>
      <c r="BTM1642" s="21"/>
      <c r="BTN1642" s="21"/>
      <c r="BTO1642" s="21"/>
      <c r="BTP1642" s="21"/>
      <c r="BTQ1642" s="21"/>
      <c r="BTR1642" s="21"/>
      <c r="BTS1642" s="21"/>
      <c r="BTT1642" s="21"/>
      <c r="BTU1642" s="21"/>
      <c r="BTV1642" s="21"/>
      <c r="BTW1642" s="21"/>
      <c r="BTX1642" s="21"/>
      <c r="BTY1642" s="21"/>
      <c r="BTZ1642" s="21"/>
      <c r="BUA1642" s="21"/>
      <c r="BUB1642" s="21"/>
      <c r="BUC1642" s="21"/>
      <c r="BUD1642" s="21"/>
      <c r="BUE1642" s="21"/>
      <c r="BUF1642" s="21"/>
      <c r="BUG1642" s="21"/>
      <c r="BUH1642" s="21"/>
      <c r="BUI1642" s="21"/>
      <c r="BUJ1642" s="21"/>
      <c r="BUK1642" s="21"/>
      <c r="BUL1642" s="21"/>
      <c r="BUM1642" s="21"/>
      <c r="BUN1642" s="21"/>
      <c r="BUO1642" s="21"/>
      <c r="BUP1642" s="21"/>
      <c r="BUQ1642" s="21"/>
      <c r="BUR1642" s="21"/>
      <c r="BUS1642" s="21"/>
      <c r="BUT1642" s="21"/>
      <c r="BUU1642" s="21"/>
      <c r="BUV1642" s="21"/>
      <c r="BUW1642" s="21"/>
      <c r="BUX1642" s="21"/>
      <c r="BUY1642" s="21"/>
      <c r="BUZ1642" s="21"/>
      <c r="BVA1642" s="21"/>
      <c r="BVB1642" s="21"/>
      <c r="BVC1642" s="21"/>
      <c r="BVD1642" s="21"/>
      <c r="BVE1642" s="21"/>
      <c r="BVF1642" s="21"/>
      <c r="BVG1642" s="21"/>
      <c r="BVH1642" s="21"/>
      <c r="BVI1642" s="21"/>
      <c r="BVJ1642" s="21"/>
      <c r="BVK1642" s="21"/>
      <c r="BVL1642" s="21"/>
      <c r="BVM1642" s="21"/>
      <c r="BVN1642" s="21"/>
      <c r="BVO1642" s="21"/>
      <c r="BVP1642" s="21"/>
      <c r="BVQ1642" s="21"/>
      <c r="BVR1642" s="21"/>
      <c r="BVS1642" s="21"/>
      <c r="BVT1642" s="21"/>
      <c r="BVU1642" s="21"/>
      <c r="BVV1642" s="21"/>
      <c r="BVW1642" s="21"/>
      <c r="BVX1642" s="21"/>
      <c r="BVY1642" s="21"/>
      <c r="BVZ1642" s="21"/>
      <c r="BWA1642" s="21"/>
      <c r="BWB1642" s="21"/>
      <c r="BWC1642" s="21"/>
      <c r="BWD1642" s="21"/>
      <c r="BWE1642" s="21"/>
      <c r="BWF1642" s="21"/>
      <c r="BWG1642" s="21"/>
      <c r="BWH1642" s="21"/>
      <c r="BWI1642" s="21"/>
      <c r="BWJ1642" s="21"/>
      <c r="BWK1642" s="21"/>
      <c r="BWL1642" s="21"/>
      <c r="BWM1642" s="21"/>
      <c r="BWN1642" s="21"/>
      <c r="BWO1642" s="21"/>
      <c r="BWP1642" s="21"/>
      <c r="BWQ1642" s="21"/>
      <c r="BWR1642" s="21"/>
      <c r="BWS1642" s="21"/>
      <c r="BWT1642" s="21"/>
      <c r="BWU1642" s="21"/>
      <c r="BWV1642" s="21"/>
      <c r="BWW1642" s="21"/>
      <c r="BWX1642" s="21"/>
      <c r="BWY1642" s="21"/>
      <c r="BWZ1642" s="21"/>
      <c r="BXA1642" s="21"/>
      <c r="BXB1642" s="21"/>
      <c r="BXC1642" s="21"/>
      <c r="BXD1642" s="21"/>
      <c r="BXE1642" s="21"/>
      <c r="BXF1642" s="21"/>
      <c r="BXG1642" s="21"/>
      <c r="BXH1642" s="21"/>
      <c r="BXI1642" s="21"/>
      <c r="BXJ1642" s="21"/>
      <c r="BXK1642" s="21"/>
      <c r="BXL1642" s="21"/>
      <c r="BXM1642" s="21"/>
      <c r="BXN1642" s="21"/>
      <c r="BXO1642" s="21"/>
      <c r="BXP1642" s="21"/>
      <c r="BXQ1642" s="21"/>
      <c r="BXR1642" s="21"/>
      <c r="BXS1642" s="21"/>
      <c r="BXT1642" s="21"/>
      <c r="BXU1642" s="21"/>
      <c r="BXV1642" s="21"/>
      <c r="BXW1642" s="21"/>
      <c r="BXX1642" s="21"/>
      <c r="BXY1642" s="21"/>
      <c r="BXZ1642" s="21"/>
      <c r="BYA1642" s="21"/>
      <c r="BYB1642" s="21"/>
      <c r="BYC1642" s="21"/>
      <c r="BYD1642" s="21"/>
      <c r="BYE1642" s="21"/>
      <c r="BYF1642" s="21"/>
      <c r="BYG1642" s="21"/>
      <c r="BYH1642" s="21"/>
      <c r="BYI1642" s="21"/>
      <c r="BYJ1642" s="21"/>
      <c r="BYK1642" s="21"/>
      <c r="BYL1642" s="21"/>
      <c r="BYM1642" s="21"/>
      <c r="BYN1642" s="21"/>
      <c r="BYO1642" s="21"/>
      <c r="BYP1642" s="21"/>
      <c r="BYQ1642" s="21"/>
      <c r="BYR1642" s="21"/>
      <c r="BYS1642" s="21"/>
      <c r="BYT1642" s="21"/>
      <c r="BYU1642" s="21"/>
      <c r="BYV1642" s="21"/>
      <c r="BYW1642" s="21"/>
      <c r="BYX1642" s="21"/>
      <c r="BYY1642" s="21"/>
      <c r="BYZ1642" s="21"/>
      <c r="BZA1642" s="21"/>
      <c r="BZB1642" s="21"/>
      <c r="BZC1642" s="21"/>
      <c r="BZD1642" s="21"/>
      <c r="BZE1642" s="21"/>
      <c r="BZF1642" s="21"/>
      <c r="BZG1642" s="21"/>
      <c r="BZH1642" s="21"/>
      <c r="BZI1642" s="21"/>
      <c r="BZJ1642" s="21"/>
      <c r="BZK1642" s="21"/>
      <c r="BZL1642" s="21"/>
      <c r="BZM1642" s="21"/>
      <c r="BZN1642" s="21"/>
      <c r="BZO1642" s="21"/>
      <c r="BZP1642" s="21"/>
      <c r="BZQ1642" s="21"/>
      <c r="BZR1642" s="21"/>
      <c r="BZS1642" s="21"/>
      <c r="BZT1642" s="21"/>
      <c r="BZU1642" s="21"/>
      <c r="BZV1642" s="21"/>
      <c r="BZW1642" s="21"/>
      <c r="BZX1642" s="21"/>
      <c r="BZY1642" s="21"/>
      <c r="BZZ1642" s="21"/>
      <c r="CAA1642" s="21"/>
      <c r="CAB1642" s="21"/>
      <c r="CAC1642" s="21"/>
      <c r="CAD1642" s="21"/>
      <c r="CAE1642" s="21"/>
      <c r="CAF1642" s="21"/>
      <c r="CAG1642" s="21"/>
      <c r="CAH1642" s="21"/>
      <c r="CAI1642" s="21"/>
      <c r="CAJ1642" s="21"/>
      <c r="CAK1642" s="21"/>
      <c r="CAL1642" s="21"/>
      <c r="CAM1642" s="21"/>
      <c r="CAN1642" s="21"/>
      <c r="CAO1642" s="21"/>
      <c r="CAP1642" s="21"/>
      <c r="CAQ1642" s="21"/>
      <c r="CAR1642" s="21"/>
      <c r="CAS1642" s="21"/>
      <c r="CAT1642" s="21"/>
      <c r="CAU1642" s="21"/>
      <c r="CAV1642" s="21"/>
      <c r="CAW1642" s="21"/>
      <c r="CAX1642" s="21"/>
      <c r="CAY1642" s="21"/>
      <c r="CAZ1642" s="21"/>
      <c r="CBA1642" s="21"/>
      <c r="CBB1642" s="21"/>
      <c r="CBC1642" s="21"/>
      <c r="CBD1642" s="21"/>
      <c r="CBE1642" s="21"/>
      <c r="CBF1642" s="21"/>
      <c r="CBG1642" s="21"/>
      <c r="CBH1642" s="21"/>
      <c r="CBI1642" s="21"/>
      <c r="CBJ1642" s="21"/>
      <c r="CBK1642" s="21"/>
      <c r="CBL1642" s="21"/>
      <c r="CBM1642" s="21"/>
      <c r="CBN1642" s="21"/>
      <c r="CBO1642" s="21"/>
      <c r="CBP1642" s="21"/>
      <c r="CBQ1642" s="21"/>
      <c r="CBR1642" s="21"/>
      <c r="CBS1642" s="21"/>
      <c r="CBT1642" s="21"/>
      <c r="CBU1642" s="21"/>
      <c r="CBV1642" s="21"/>
      <c r="CBW1642" s="21"/>
      <c r="CBX1642" s="21"/>
      <c r="CBY1642" s="21"/>
      <c r="CBZ1642" s="21"/>
      <c r="CCA1642" s="21"/>
      <c r="CCB1642" s="21"/>
      <c r="CCC1642" s="21"/>
      <c r="CCD1642" s="21"/>
      <c r="CCE1642" s="21"/>
      <c r="CCF1642" s="21"/>
      <c r="CCG1642" s="21"/>
      <c r="CCH1642" s="21"/>
      <c r="CCI1642" s="21"/>
      <c r="CCJ1642" s="21"/>
      <c r="CCK1642" s="21"/>
      <c r="CCL1642" s="21"/>
      <c r="CCM1642" s="21"/>
      <c r="CCN1642" s="21"/>
      <c r="CCO1642" s="21"/>
      <c r="CCP1642" s="21"/>
      <c r="CCQ1642" s="21"/>
      <c r="CCR1642" s="21"/>
      <c r="CCS1642" s="21"/>
      <c r="CCT1642" s="21"/>
      <c r="CCU1642" s="21"/>
      <c r="CCV1642" s="21"/>
      <c r="CCW1642" s="21"/>
      <c r="CCX1642" s="21"/>
      <c r="CCY1642" s="21"/>
      <c r="CCZ1642" s="21"/>
      <c r="CDA1642" s="21"/>
      <c r="CDB1642" s="21"/>
      <c r="CDC1642" s="21"/>
      <c r="CDD1642" s="21"/>
      <c r="CDE1642" s="21"/>
      <c r="CDF1642" s="21"/>
      <c r="CDG1642" s="21"/>
      <c r="CDH1642" s="21"/>
      <c r="CDI1642" s="21"/>
      <c r="CDJ1642" s="21"/>
      <c r="CDK1642" s="21"/>
      <c r="CDL1642" s="21"/>
      <c r="CDM1642" s="21"/>
      <c r="CDN1642" s="21"/>
      <c r="CDO1642" s="21"/>
      <c r="CDP1642" s="21"/>
      <c r="CDQ1642" s="21"/>
      <c r="CDR1642" s="21"/>
      <c r="CDS1642" s="21"/>
      <c r="CDT1642" s="21"/>
      <c r="CDU1642" s="21"/>
      <c r="CDV1642" s="21"/>
      <c r="CDW1642" s="21"/>
      <c r="CDX1642" s="21"/>
      <c r="CDY1642" s="21"/>
      <c r="CDZ1642" s="21"/>
      <c r="CEA1642" s="21"/>
      <c r="CEB1642" s="21"/>
      <c r="CEC1642" s="21"/>
      <c r="CED1642" s="21"/>
      <c r="CEE1642" s="21"/>
      <c r="CEF1642" s="21"/>
      <c r="CEG1642" s="21"/>
      <c r="CEH1642" s="21"/>
      <c r="CEI1642" s="21"/>
      <c r="CEJ1642" s="21"/>
      <c r="CEK1642" s="21"/>
      <c r="CEL1642" s="21"/>
      <c r="CEM1642" s="21"/>
      <c r="CEN1642" s="21"/>
      <c r="CEO1642" s="21"/>
      <c r="CEP1642" s="21"/>
      <c r="CEQ1642" s="21"/>
      <c r="CER1642" s="21"/>
      <c r="CES1642" s="21"/>
      <c r="CET1642" s="21"/>
      <c r="CEU1642" s="21"/>
      <c r="CEV1642" s="21"/>
      <c r="CEW1642" s="21"/>
      <c r="CEX1642" s="21"/>
      <c r="CEY1642" s="21"/>
      <c r="CEZ1642" s="21"/>
      <c r="CFA1642" s="21"/>
      <c r="CFB1642" s="21"/>
      <c r="CFC1642" s="21"/>
      <c r="CFD1642" s="21"/>
      <c r="CFE1642" s="21"/>
      <c r="CFF1642" s="21"/>
      <c r="CFG1642" s="21"/>
      <c r="CFH1642" s="21"/>
      <c r="CFI1642" s="21"/>
      <c r="CFJ1642" s="21"/>
      <c r="CFK1642" s="21"/>
      <c r="CFL1642" s="21"/>
      <c r="CFM1642" s="21"/>
      <c r="CFN1642" s="21"/>
      <c r="CFO1642" s="21"/>
      <c r="CFP1642" s="21"/>
      <c r="CFQ1642" s="21"/>
      <c r="CFR1642" s="21"/>
      <c r="CFS1642" s="21"/>
      <c r="CFT1642" s="21"/>
      <c r="CFU1642" s="21"/>
      <c r="CFV1642" s="21"/>
      <c r="CFW1642" s="21"/>
      <c r="CFX1642" s="21"/>
      <c r="CFY1642" s="21"/>
      <c r="CFZ1642" s="21"/>
      <c r="CGA1642" s="21"/>
      <c r="CGB1642" s="21"/>
      <c r="CGC1642" s="21"/>
      <c r="CGD1642" s="21"/>
      <c r="CGE1642" s="21"/>
      <c r="CGF1642" s="21"/>
      <c r="CGG1642" s="21"/>
      <c r="CGH1642" s="21"/>
      <c r="CGI1642" s="21"/>
      <c r="CGJ1642" s="21"/>
      <c r="CGK1642" s="21"/>
      <c r="CGL1642" s="21"/>
      <c r="CGM1642" s="21"/>
      <c r="CGN1642" s="21"/>
      <c r="CGO1642" s="21"/>
      <c r="CGP1642" s="21"/>
      <c r="CGQ1642" s="21"/>
      <c r="CGR1642" s="21"/>
      <c r="CGS1642" s="21"/>
      <c r="CGT1642" s="21"/>
      <c r="CGU1642" s="21"/>
      <c r="CGV1642" s="21"/>
      <c r="CGW1642" s="21"/>
      <c r="CGX1642" s="21"/>
      <c r="CGY1642" s="21"/>
      <c r="CGZ1642" s="21"/>
      <c r="CHA1642" s="21"/>
      <c r="CHB1642" s="21"/>
      <c r="CHC1642" s="21"/>
      <c r="CHD1642" s="21"/>
      <c r="CHE1642" s="21"/>
      <c r="CHF1642" s="21"/>
      <c r="CHG1642" s="21"/>
      <c r="CHH1642" s="21"/>
      <c r="CHI1642" s="21"/>
      <c r="CHJ1642" s="21"/>
      <c r="CHK1642" s="21"/>
      <c r="CHL1642" s="21"/>
      <c r="CHM1642" s="21"/>
      <c r="CHN1642" s="21"/>
      <c r="CHO1642" s="21"/>
      <c r="CHP1642" s="21"/>
      <c r="CHQ1642" s="21"/>
      <c r="CHR1642" s="21"/>
      <c r="CHS1642" s="21"/>
      <c r="CHT1642" s="21"/>
      <c r="CHU1642" s="21"/>
      <c r="CHV1642" s="21"/>
      <c r="CHW1642" s="21"/>
      <c r="CHX1642" s="21"/>
      <c r="CHY1642" s="21"/>
      <c r="CHZ1642" s="21"/>
      <c r="CIA1642" s="21"/>
      <c r="CIB1642" s="21"/>
      <c r="CIC1642" s="21"/>
      <c r="CID1642" s="21"/>
      <c r="CIE1642" s="21"/>
      <c r="CIF1642" s="21"/>
      <c r="CIG1642" s="21"/>
      <c r="CIH1642" s="21"/>
      <c r="CII1642" s="21"/>
      <c r="CIJ1642" s="21"/>
      <c r="CIK1642" s="21"/>
      <c r="CIL1642" s="21"/>
      <c r="CIM1642" s="21"/>
      <c r="CIN1642" s="21"/>
      <c r="CIO1642" s="21"/>
      <c r="CIP1642" s="21"/>
      <c r="CIQ1642" s="21"/>
      <c r="CIR1642" s="21"/>
      <c r="CIS1642" s="21"/>
      <c r="CIT1642" s="21"/>
      <c r="CIU1642" s="21"/>
      <c r="CIV1642" s="21"/>
      <c r="CIW1642" s="21"/>
      <c r="CIX1642" s="21"/>
      <c r="CIY1642" s="21"/>
      <c r="CIZ1642" s="21"/>
      <c r="CJA1642" s="21"/>
      <c r="CJB1642" s="21"/>
      <c r="CJC1642" s="21"/>
      <c r="CJD1642" s="21"/>
      <c r="CJE1642" s="21"/>
      <c r="CJF1642" s="21"/>
      <c r="CJG1642" s="21"/>
      <c r="CJH1642" s="21"/>
      <c r="CJI1642" s="21"/>
      <c r="CJJ1642" s="21"/>
      <c r="CJK1642" s="21"/>
      <c r="CJL1642" s="21"/>
      <c r="CJM1642" s="21"/>
      <c r="CJN1642" s="21"/>
      <c r="CJO1642" s="21"/>
      <c r="CJP1642" s="21"/>
      <c r="CJQ1642" s="21"/>
      <c r="CJR1642" s="21"/>
      <c r="CJS1642" s="21"/>
      <c r="CJT1642" s="21"/>
      <c r="CJU1642" s="21"/>
      <c r="CJV1642" s="21"/>
      <c r="CJW1642" s="21"/>
      <c r="CJX1642" s="21"/>
      <c r="CJY1642" s="21"/>
      <c r="CJZ1642" s="21"/>
      <c r="CKA1642" s="21"/>
      <c r="CKB1642" s="21"/>
      <c r="CKC1642" s="21"/>
      <c r="CKD1642" s="21"/>
      <c r="CKE1642" s="21"/>
      <c r="CKF1642" s="21"/>
      <c r="CKG1642" s="21"/>
      <c r="CKH1642" s="21"/>
      <c r="CKI1642" s="21"/>
      <c r="CKJ1642" s="21"/>
      <c r="CKK1642" s="21"/>
      <c r="CKL1642" s="21"/>
      <c r="CKM1642" s="21"/>
      <c r="CKN1642" s="21"/>
      <c r="CKO1642" s="21"/>
      <c r="CKP1642" s="21"/>
      <c r="CKQ1642" s="21"/>
      <c r="CKR1642" s="21"/>
      <c r="CKS1642" s="21"/>
      <c r="CKT1642" s="21"/>
      <c r="CKU1642" s="21"/>
      <c r="CKV1642" s="21"/>
      <c r="CKW1642" s="21"/>
      <c r="CKX1642" s="21"/>
      <c r="CKY1642" s="21"/>
      <c r="CKZ1642" s="21"/>
      <c r="CLA1642" s="21"/>
      <c r="CLB1642" s="21"/>
      <c r="CLC1642" s="21"/>
      <c r="CLD1642" s="21"/>
      <c r="CLE1642" s="21"/>
      <c r="CLF1642" s="21"/>
      <c r="CLG1642" s="21"/>
      <c r="CLH1642" s="21"/>
      <c r="CLI1642" s="21"/>
      <c r="CLJ1642" s="21"/>
      <c r="CLK1642" s="21"/>
      <c r="CLL1642" s="21"/>
      <c r="CLM1642" s="21"/>
      <c r="CLN1642" s="21"/>
      <c r="CLO1642" s="21"/>
      <c r="CLP1642" s="21"/>
      <c r="CLQ1642" s="21"/>
      <c r="CLR1642" s="21"/>
      <c r="CLS1642" s="21"/>
      <c r="CLT1642" s="21"/>
      <c r="CLU1642" s="21"/>
      <c r="CLV1642" s="21"/>
      <c r="CLW1642" s="21"/>
      <c r="CLX1642" s="21"/>
      <c r="CLY1642" s="21"/>
      <c r="CLZ1642" s="21"/>
      <c r="CMA1642" s="21"/>
      <c r="CMB1642" s="21"/>
      <c r="CMC1642" s="21"/>
      <c r="CMD1642" s="21"/>
      <c r="CME1642" s="21"/>
      <c r="CMF1642" s="21"/>
      <c r="CMG1642" s="21"/>
      <c r="CMH1642" s="21"/>
      <c r="CMI1642" s="21"/>
      <c r="CMJ1642" s="21"/>
      <c r="CMK1642" s="21"/>
      <c r="CML1642" s="21"/>
      <c r="CMM1642" s="21"/>
      <c r="CMN1642" s="21"/>
      <c r="CMO1642" s="21"/>
      <c r="CMP1642" s="21"/>
      <c r="CMQ1642" s="21"/>
      <c r="CMR1642" s="21"/>
      <c r="CMS1642" s="21"/>
      <c r="CMT1642" s="21"/>
      <c r="CMU1642" s="21"/>
      <c r="CMV1642" s="21"/>
      <c r="CMW1642" s="21"/>
      <c r="CMX1642" s="21"/>
      <c r="CMY1642" s="21"/>
      <c r="CMZ1642" s="21"/>
      <c r="CNA1642" s="21"/>
      <c r="CNB1642" s="21"/>
      <c r="CNC1642" s="21"/>
      <c r="CND1642" s="21"/>
      <c r="CNE1642" s="21"/>
      <c r="CNF1642" s="21"/>
      <c r="CNG1642" s="21"/>
      <c r="CNH1642" s="21"/>
      <c r="CNI1642" s="21"/>
      <c r="CNJ1642" s="21"/>
      <c r="CNK1642" s="21"/>
      <c r="CNL1642" s="21"/>
      <c r="CNM1642" s="21"/>
      <c r="CNN1642" s="21"/>
      <c r="CNO1642" s="21"/>
      <c r="CNP1642" s="21"/>
      <c r="CNQ1642" s="21"/>
      <c r="CNR1642" s="21"/>
      <c r="CNS1642" s="21"/>
      <c r="CNT1642" s="21"/>
      <c r="CNU1642" s="21"/>
      <c r="CNV1642" s="21"/>
      <c r="CNW1642" s="21"/>
      <c r="CNX1642" s="21"/>
      <c r="CNY1642" s="21"/>
      <c r="CNZ1642" s="21"/>
      <c r="COA1642" s="21"/>
      <c r="COB1642" s="21"/>
      <c r="COC1642" s="21"/>
      <c r="COD1642" s="21"/>
      <c r="COE1642" s="21"/>
      <c r="COF1642" s="21"/>
      <c r="COG1642" s="21"/>
      <c r="COH1642" s="21"/>
      <c r="COI1642" s="21"/>
      <c r="COJ1642" s="21"/>
      <c r="COK1642" s="21"/>
      <c r="COL1642" s="21"/>
      <c r="COM1642" s="21"/>
      <c r="CON1642" s="21"/>
      <c r="COO1642" s="21"/>
      <c r="COP1642" s="21"/>
      <c r="COQ1642" s="21"/>
      <c r="COR1642" s="21"/>
      <c r="COS1642" s="21"/>
      <c r="COT1642" s="21"/>
      <c r="COU1642" s="21"/>
      <c r="COV1642" s="21"/>
      <c r="COW1642" s="21"/>
      <c r="COX1642" s="21"/>
      <c r="COY1642" s="21"/>
      <c r="COZ1642" s="21"/>
      <c r="CPA1642" s="21"/>
      <c r="CPB1642" s="21"/>
      <c r="CPC1642" s="21"/>
      <c r="CPD1642" s="21"/>
      <c r="CPE1642" s="21"/>
      <c r="CPF1642" s="21"/>
      <c r="CPG1642" s="21"/>
      <c r="CPH1642" s="21"/>
      <c r="CPI1642" s="21"/>
      <c r="CPJ1642" s="21"/>
      <c r="CPK1642" s="21"/>
      <c r="CPL1642" s="21"/>
      <c r="CPM1642" s="21"/>
      <c r="CPN1642" s="21"/>
      <c r="CPO1642" s="21"/>
      <c r="CPP1642" s="21"/>
      <c r="CPQ1642" s="21"/>
      <c r="CPR1642" s="21"/>
      <c r="CPS1642" s="21"/>
      <c r="CPT1642" s="21"/>
      <c r="CPU1642" s="21"/>
      <c r="CPV1642" s="21"/>
      <c r="CPW1642" s="21"/>
      <c r="CPX1642" s="21"/>
      <c r="CPY1642" s="21"/>
      <c r="CPZ1642" s="21"/>
      <c r="CQA1642" s="21"/>
      <c r="CQB1642" s="21"/>
      <c r="CQC1642" s="21"/>
      <c r="CQD1642" s="21"/>
      <c r="CQE1642" s="21"/>
      <c r="CQF1642" s="21"/>
      <c r="CQG1642" s="21"/>
      <c r="CQH1642" s="21"/>
      <c r="CQI1642" s="21"/>
      <c r="CQJ1642" s="21"/>
      <c r="CQK1642" s="21"/>
      <c r="CQL1642" s="21"/>
      <c r="CQM1642" s="21"/>
      <c r="CQN1642" s="21"/>
      <c r="CQO1642" s="21"/>
      <c r="CQP1642" s="21"/>
      <c r="CQQ1642" s="21"/>
      <c r="CQR1642" s="21"/>
      <c r="CQS1642" s="21"/>
      <c r="CQT1642" s="21"/>
      <c r="CQU1642" s="21"/>
      <c r="CQV1642" s="21"/>
      <c r="CQW1642" s="21"/>
      <c r="CQX1642" s="21"/>
      <c r="CQY1642" s="21"/>
      <c r="CQZ1642" s="21"/>
      <c r="CRA1642" s="21"/>
      <c r="CRB1642" s="21"/>
      <c r="CRC1642" s="21"/>
      <c r="CRD1642" s="21"/>
      <c r="CRE1642" s="21"/>
      <c r="CRF1642" s="21"/>
      <c r="CRG1642" s="21"/>
      <c r="CRH1642" s="21"/>
      <c r="CRI1642" s="21"/>
      <c r="CRJ1642" s="21"/>
      <c r="CRK1642" s="21"/>
      <c r="CRL1642" s="21"/>
      <c r="CRM1642" s="21"/>
      <c r="CRN1642" s="21"/>
      <c r="CRO1642" s="21"/>
      <c r="CRP1642" s="21"/>
      <c r="CRQ1642" s="21"/>
      <c r="CRR1642" s="21"/>
      <c r="CRS1642" s="21"/>
      <c r="CRT1642" s="21"/>
      <c r="CRU1642" s="21"/>
      <c r="CRV1642" s="21"/>
      <c r="CRW1642" s="21"/>
      <c r="CRX1642" s="21"/>
      <c r="CRY1642" s="21"/>
      <c r="CRZ1642" s="21"/>
      <c r="CSA1642" s="21"/>
      <c r="CSB1642" s="21"/>
      <c r="CSC1642" s="21"/>
      <c r="CSD1642" s="21"/>
      <c r="CSE1642" s="21"/>
      <c r="CSF1642" s="21"/>
      <c r="CSG1642" s="21"/>
      <c r="CSH1642" s="21"/>
      <c r="CSI1642" s="21"/>
      <c r="CSJ1642" s="21"/>
      <c r="CSK1642" s="21"/>
      <c r="CSL1642" s="21"/>
      <c r="CSM1642" s="21"/>
      <c r="CSN1642" s="21"/>
      <c r="CSO1642" s="21"/>
      <c r="CSP1642" s="21"/>
      <c r="CSQ1642" s="21"/>
      <c r="CSR1642" s="21"/>
      <c r="CSS1642" s="21"/>
      <c r="CST1642" s="21"/>
      <c r="CSU1642" s="21"/>
      <c r="CSV1642" s="21"/>
      <c r="CSW1642" s="21"/>
      <c r="CSX1642" s="21"/>
      <c r="CSY1642" s="21"/>
      <c r="CSZ1642" s="21"/>
      <c r="CTA1642" s="21"/>
      <c r="CTB1642" s="21"/>
      <c r="CTC1642" s="21"/>
      <c r="CTD1642" s="21"/>
      <c r="CTE1642" s="21"/>
      <c r="CTF1642" s="21"/>
      <c r="CTG1642" s="21"/>
      <c r="CTH1642" s="21"/>
      <c r="CTI1642" s="21"/>
      <c r="CTJ1642" s="21"/>
      <c r="CTK1642" s="21"/>
      <c r="CTL1642" s="21"/>
      <c r="CTM1642" s="21"/>
      <c r="CTN1642" s="21"/>
      <c r="CTO1642" s="21"/>
      <c r="CTP1642" s="21"/>
      <c r="CTQ1642" s="21"/>
      <c r="CTR1642" s="21"/>
      <c r="CTS1642" s="21"/>
      <c r="CTT1642" s="21"/>
      <c r="CTU1642" s="21"/>
      <c r="CTV1642" s="21"/>
      <c r="CTW1642" s="21"/>
      <c r="CTX1642" s="21"/>
      <c r="CTY1642" s="21"/>
      <c r="CTZ1642" s="21"/>
      <c r="CUA1642" s="21"/>
      <c r="CUB1642" s="21"/>
      <c r="CUC1642" s="21"/>
      <c r="CUD1642" s="21"/>
      <c r="CUE1642" s="21"/>
      <c r="CUF1642" s="21"/>
      <c r="CUG1642" s="21"/>
      <c r="CUH1642" s="21"/>
      <c r="CUI1642" s="21"/>
      <c r="CUJ1642" s="21"/>
      <c r="CUK1642" s="21"/>
      <c r="CUL1642" s="21"/>
      <c r="CUM1642" s="21"/>
      <c r="CUN1642" s="21"/>
      <c r="CUO1642" s="21"/>
      <c r="CUP1642" s="21"/>
      <c r="CUQ1642" s="21"/>
      <c r="CUR1642" s="21"/>
      <c r="CUS1642" s="21"/>
      <c r="CUT1642" s="21"/>
      <c r="CUU1642" s="21"/>
      <c r="CUV1642" s="21"/>
      <c r="CUW1642" s="21"/>
      <c r="CUX1642" s="21"/>
      <c r="CUY1642" s="21"/>
      <c r="CUZ1642" s="21"/>
      <c r="CVA1642" s="21"/>
      <c r="CVB1642" s="21"/>
      <c r="CVC1642" s="21"/>
      <c r="CVD1642" s="21"/>
      <c r="CVE1642" s="21"/>
      <c r="CVF1642" s="21"/>
      <c r="CVG1642" s="21"/>
      <c r="CVH1642" s="21"/>
      <c r="CVI1642" s="21"/>
      <c r="CVJ1642" s="21"/>
      <c r="CVK1642" s="21"/>
      <c r="CVL1642" s="21"/>
      <c r="CVM1642" s="21"/>
      <c r="CVN1642" s="21"/>
      <c r="CVO1642" s="21"/>
      <c r="CVP1642" s="21"/>
      <c r="CVQ1642" s="21"/>
      <c r="CVR1642" s="21"/>
      <c r="CVS1642" s="21"/>
      <c r="CVT1642" s="21"/>
      <c r="CVU1642" s="21"/>
      <c r="CVV1642" s="21"/>
      <c r="CVW1642" s="21"/>
      <c r="CVX1642" s="21"/>
      <c r="CVY1642" s="21"/>
      <c r="CVZ1642" s="21"/>
      <c r="CWA1642" s="21"/>
      <c r="CWB1642" s="21"/>
      <c r="CWC1642" s="21"/>
      <c r="CWD1642" s="21"/>
      <c r="CWE1642" s="21"/>
      <c r="CWF1642" s="21"/>
      <c r="CWG1642" s="21"/>
      <c r="CWH1642" s="21"/>
      <c r="CWI1642" s="21"/>
      <c r="CWJ1642" s="21"/>
      <c r="CWK1642" s="21"/>
      <c r="CWL1642" s="21"/>
      <c r="CWM1642" s="21"/>
      <c r="CWN1642" s="21"/>
      <c r="CWO1642" s="21"/>
      <c r="CWP1642" s="21"/>
      <c r="CWQ1642" s="21"/>
      <c r="CWR1642" s="21"/>
      <c r="CWS1642" s="21"/>
      <c r="CWT1642" s="21"/>
      <c r="CWU1642" s="21"/>
      <c r="CWV1642" s="21"/>
      <c r="CWW1642" s="21"/>
      <c r="CWX1642" s="21"/>
      <c r="CWY1642" s="21"/>
      <c r="CWZ1642" s="21"/>
      <c r="CXA1642" s="21"/>
      <c r="CXB1642" s="21"/>
      <c r="CXC1642" s="21"/>
      <c r="CXD1642" s="21"/>
      <c r="CXE1642" s="21"/>
      <c r="CXF1642" s="21"/>
      <c r="CXG1642" s="21"/>
      <c r="CXH1642" s="21"/>
      <c r="CXI1642" s="21"/>
      <c r="CXJ1642" s="21"/>
      <c r="CXK1642" s="21"/>
      <c r="CXL1642" s="21"/>
      <c r="CXM1642" s="21"/>
      <c r="CXN1642" s="21"/>
      <c r="CXO1642" s="21"/>
      <c r="CXP1642" s="21"/>
      <c r="CXQ1642" s="21"/>
      <c r="CXR1642" s="21"/>
      <c r="CXS1642" s="21"/>
      <c r="CXT1642" s="21"/>
      <c r="CXU1642" s="21"/>
      <c r="CXV1642" s="21"/>
      <c r="CXW1642" s="21"/>
      <c r="CXX1642" s="21"/>
      <c r="CXY1642" s="21"/>
      <c r="CXZ1642" s="21"/>
      <c r="CYA1642" s="21"/>
      <c r="CYB1642" s="21"/>
      <c r="CYC1642" s="21"/>
      <c r="CYD1642" s="21"/>
      <c r="CYE1642" s="21"/>
      <c r="CYF1642" s="21"/>
      <c r="CYG1642" s="21"/>
      <c r="CYH1642" s="21"/>
      <c r="CYI1642" s="21"/>
      <c r="CYJ1642" s="21"/>
      <c r="CYK1642" s="21"/>
      <c r="CYL1642" s="21"/>
      <c r="CYM1642" s="21"/>
      <c r="CYN1642" s="21"/>
      <c r="CYO1642" s="21"/>
      <c r="CYP1642" s="21"/>
      <c r="CYQ1642" s="21"/>
      <c r="CYR1642" s="21"/>
      <c r="CYS1642" s="21"/>
      <c r="CYT1642" s="21"/>
      <c r="CYU1642" s="21"/>
      <c r="CYV1642" s="21"/>
      <c r="CYW1642" s="21"/>
      <c r="CYX1642" s="21"/>
      <c r="CYY1642" s="21"/>
      <c r="CYZ1642" s="21"/>
      <c r="CZA1642" s="21"/>
      <c r="CZB1642" s="21"/>
      <c r="CZC1642" s="21"/>
      <c r="CZD1642" s="21"/>
      <c r="CZE1642" s="21"/>
      <c r="CZF1642" s="21"/>
      <c r="CZG1642" s="21"/>
      <c r="CZH1642" s="21"/>
      <c r="CZI1642" s="21"/>
      <c r="CZJ1642" s="21"/>
      <c r="CZK1642" s="21"/>
      <c r="CZL1642" s="21"/>
      <c r="CZM1642" s="21"/>
      <c r="CZN1642" s="21"/>
      <c r="CZO1642" s="21"/>
      <c r="CZP1642" s="21"/>
      <c r="CZQ1642" s="21"/>
      <c r="CZR1642" s="21"/>
      <c r="CZS1642" s="21"/>
      <c r="CZT1642" s="21"/>
      <c r="CZU1642" s="21"/>
      <c r="CZV1642" s="21"/>
      <c r="CZW1642" s="21"/>
      <c r="CZX1642" s="21"/>
      <c r="CZY1642" s="21"/>
      <c r="CZZ1642" s="21"/>
      <c r="DAA1642" s="21"/>
      <c r="DAB1642" s="21"/>
      <c r="DAC1642" s="21"/>
      <c r="DAD1642" s="21"/>
      <c r="DAE1642" s="21"/>
      <c r="DAF1642" s="21"/>
      <c r="DAG1642" s="21"/>
      <c r="DAH1642" s="21"/>
      <c r="DAI1642" s="21"/>
      <c r="DAJ1642" s="21"/>
      <c r="DAK1642" s="21"/>
      <c r="DAL1642" s="21"/>
      <c r="DAM1642" s="21"/>
      <c r="DAN1642" s="21"/>
      <c r="DAO1642" s="21"/>
      <c r="DAP1642" s="21"/>
      <c r="DAQ1642" s="21"/>
      <c r="DAR1642" s="21"/>
      <c r="DAS1642" s="21"/>
      <c r="DAT1642" s="21"/>
      <c r="DAU1642" s="21"/>
      <c r="DAV1642" s="21"/>
      <c r="DAW1642" s="21"/>
      <c r="DAX1642" s="21"/>
      <c r="DAY1642" s="21"/>
      <c r="DAZ1642" s="21"/>
      <c r="DBA1642" s="21"/>
      <c r="DBB1642" s="21"/>
      <c r="DBC1642" s="21"/>
      <c r="DBD1642" s="21"/>
      <c r="DBE1642" s="21"/>
      <c r="DBF1642" s="21"/>
      <c r="DBG1642" s="21"/>
      <c r="DBH1642" s="21"/>
      <c r="DBI1642" s="21"/>
      <c r="DBJ1642" s="21"/>
      <c r="DBK1642" s="21"/>
      <c r="DBL1642" s="21"/>
      <c r="DBM1642" s="21"/>
      <c r="DBN1642" s="21"/>
      <c r="DBO1642" s="21"/>
      <c r="DBP1642" s="21"/>
      <c r="DBQ1642" s="21"/>
      <c r="DBR1642" s="21"/>
      <c r="DBS1642" s="21"/>
      <c r="DBT1642" s="21"/>
      <c r="DBU1642" s="21"/>
      <c r="DBV1642" s="21"/>
      <c r="DBW1642" s="21"/>
      <c r="DBX1642" s="21"/>
      <c r="DBY1642" s="21"/>
      <c r="DBZ1642" s="21"/>
      <c r="DCA1642" s="21"/>
      <c r="DCB1642" s="21"/>
      <c r="DCC1642" s="21"/>
      <c r="DCD1642" s="21"/>
      <c r="DCE1642" s="21"/>
      <c r="DCF1642" s="21"/>
      <c r="DCG1642" s="21"/>
      <c r="DCH1642" s="21"/>
      <c r="DCI1642" s="21"/>
      <c r="DCJ1642" s="21"/>
      <c r="DCK1642" s="21"/>
      <c r="DCL1642" s="21"/>
      <c r="DCM1642" s="21"/>
      <c r="DCN1642" s="21"/>
      <c r="DCO1642" s="21"/>
      <c r="DCP1642" s="21"/>
      <c r="DCQ1642" s="21"/>
      <c r="DCR1642" s="21"/>
      <c r="DCS1642" s="21"/>
      <c r="DCT1642" s="21"/>
      <c r="DCU1642" s="21"/>
      <c r="DCV1642" s="21"/>
      <c r="DCW1642" s="21"/>
      <c r="DCX1642" s="21"/>
      <c r="DCY1642" s="21"/>
      <c r="DCZ1642" s="21"/>
      <c r="DDA1642" s="21"/>
      <c r="DDB1642" s="21"/>
      <c r="DDC1642" s="21"/>
      <c r="DDD1642" s="21"/>
      <c r="DDE1642" s="21"/>
      <c r="DDF1642" s="21"/>
      <c r="DDG1642" s="21"/>
      <c r="DDH1642" s="21"/>
      <c r="DDI1642" s="21"/>
      <c r="DDJ1642" s="21"/>
      <c r="DDK1642" s="21"/>
      <c r="DDL1642" s="21"/>
      <c r="DDM1642" s="21"/>
      <c r="DDN1642" s="21"/>
      <c r="DDO1642" s="21"/>
      <c r="DDP1642" s="21"/>
      <c r="DDQ1642" s="21"/>
      <c r="DDR1642" s="21"/>
      <c r="DDS1642" s="21"/>
      <c r="DDT1642" s="21"/>
      <c r="DDU1642" s="21"/>
      <c r="DDV1642" s="21"/>
      <c r="DDW1642" s="21"/>
      <c r="DDX1642" s="21"/>
      <c r="DDY1642" s="21"/>
      <c r="DDZ1642" s="21"/>
      <c r="DEA1642" s="21"/>
      <c r="DEB1642" s="21"/>
      <c r="DEC1642" s="21"/>
      <c r="DED1642" s="21"/>
      <c r="DEE1642" s="21"/>
      <c r="DEF1642" s="21"/>
      <c r="DEG1642" s="21"/>
      <c r="DEH1642" s="21"/>
      <c r="DEI1642" s="21"/>
      <c r="DEJ1642" s="21"/>
      <c r="DEK1642" s="21"/>
      <c r="DEL1642" s="21"/>
      <c r="DEM1642" s="21"/>
      <c r="DEN1642" s="21"/>
      <c r="DEO1642" s="21"/>
      <c r="DEP1642" s="21"/>
      <c r="DEQ1642" s="21"/>
      <c r="DER1642" s="21"/>
      <c r="DES1642" s="21"/>
      <c r="DET1642" s="21"/>
      <c r="DEU1642" s="21"/>
      <c r="DEV1642" s="21"/>
      <c r="DEW1642" s="21"/>
      <c r="DEX1642" s="21"/>
      <c r="DEY1642" s="21"/>
      <c r="DEZ1642" s="21"/>
      <c r="DFA1642" s="21"/>
      <c r="DFB1642" s="21"/>
      <c r="DFC1642" s="21"/>
      <c r="DFD1642" s="21"/>
      <c r="DFE1642" s="21"/>
      <c r="DFF1642" s="21"/>
      <c r="DFG1642" s="21"/>
      <c r="DFH1642" s="21"/>
      <c r="DFI1642" s="21"/>
      <c r="DFJ1642" s="21"/>
      <c r="DFK1642" s="21"/>
      <c r="DFL1642" s="21"/>
      <c r="DFM1642" s="21"/>
      <c r="DFN1642" s="21"/>
      <c r="DFO1642" s="21"/>
      <c r="DFP1642" s="21"/>
      <c r="DFQ1642" s="21"/>
      <c r="DFR1642" s="21"/>
      <c r="DFS1642" s="21"/>
      <c r="DFT1642" s="21"/>
      <c r="DFU1642" s="21"/>
      <c r="DFV1642" s="21"/>
      <c r="DFW1642" s="21"/>
      <c r="DFX1642" s="21"/>
      <c r="DFY1642" s="21"/>
      <c r="DFZ1642" s="21"/>
      <c r="DGA1642" s="21"/>
      <c r="DGB1642" s="21"/>
      <c r="DGC1642" s="21"/>
      <c r="DGD1642" s="21"/>
      <c r="DGE1642" s="21"/>
      <c r="DGF1642" s="21"/>
      <c r="DGG1642" s="21"/>
      <c r="DGH1642" s="21"/>
      <c r="DGI1642" s="21"/>
      <c r="DGJ1642" s="21"/>
      <c r="DGK1642" s="21"/>
      <c r="DGL1642" s="21"/>
      <c r="DGM1642" s="21"/>
      <c r="DGN1642" s="21"/>
      <c r="DGO1642" s="21"/>
      <c r="DGP1642" s="21"/>
      <c r="DGQ1642" s="21"/>
      <c r="DGR1642" s="21"/>
      <c r="DGS1642" s="21"/>
      <c r="DGT1642" s="21"/>
      <c r="DGU1642" s="21"/>
      <c r="DGV1642" s="21"/>
      <c r="DGW1642" s="21"/>
      <c r="DGX1642" s="21"/>
      <c r="DGY1642" s="21"/>
      <c r="DGZ1642" s="21"/>
      <c r="DHA1642" s="21"/>
      <c r="DHB1642" s="21"/>
      <c r="DHC1642" s="21"/>
      <c r="DHD1642" s="21"/>
      <c r="DHE1642" s="21"/>
      <c r="DHF1642" s="21"/>
      <c r="DHG1642" s="21"/>
      <c r="DHH1642" s="21"/>
      <c r="DHI1642" s="21"/>
      <c r="DHJ1642" s="21"/>
      <c r="DHK1642" s="21"/>
      <c r="DHL1642" s="21"/>
      <c r="DHM1642" s="21"/>
      <c r="DHN1642" s="21"/>
      <c r="DHO1642" s="21"/>
      <c r="DHP1642" s="21"/>
      <c r="DHQ1642" s="21"/>
      <c r="DHR1642" s="21"/>
      <c r="DHS1642" s="21"/>
      <c r="DHT1642" s="21"/>
      <c r="DHU1642" s="21"/>
      <c r="DHV1642" s="21"/>
      <c r="DHW1642" s="21"/>
      <c r="DHX1642" s="21"/>
      <c r="DHY1642" s="21"/>
      <c r="DHZ1642" s="21"/>
      <c r="DIA1642" s="21"/>
      <c r="DIB1642" s="21"/>
      <c r="DIC1642" s="21"/>
      <c r="DID1642" s="21"/>
      <c r="DIE1642" s="21"/>
      <c r="DIF1642" s="21"/>
      <c r="DIG1642" s="21"/>
      <c r="DIH1642" s="21"/>
      <c r="DII1642" s="21"/>
      <c r="DIJ1642" s="21"/>
      <c r="DIK1642" s="21"/>
      <c r="DIL1642" s="21"/>
      <c r="DIM1642" s="21"/>
      <c r="DIN1642" s="21"/>
      <c r="DIO1642" s="21"/>
      <c r="DIP1642" s="21"/>
      <c r="DIQ1642" s="21"/>
      <c r="DIR1642" s="21"/>
      <c r="DIS1642" s="21"/>
      <c r="DIT1642" s="21"/>
      <c r="DIU1642" s="21"/>
      <c r="DIV1642" s="21"/>
      <c r="DIW1642" s="21"/>
      <c r="DIX1642" s="21"/>
      <c r="DIY1642" s="21"/>
      <c r="DIZ1642" s="21"/>
      <c r="DJA1642" s="21"/>
      <c r="DJB1642" s="21"/>
      <c r="DJC1642" s="21"/>
      <c r="DJD1642" s="21"/>
      <c r="DJE1642" s="21"/>
      <c r="DJF1642" s="21"/>
      <c r="DJG1642" s="21"/>
      <c r="DJH1642" s="21"/>
      <c r="DJI1642" s="21"/>
      <c r="DJJ1642" s="21"/>
      <c r="DJK1642" s="21"/>
      <c r="DJL1642" s="21"/>
      <c r="DJM1642" s="21"/>
      <c r="DJN1642" s="21"/>
      <c r="DJO1642" s="21"/>
      <c r="DJP1642" s="21"/>
      <c r="DJQ1642" s="21"/>
      <c r="DJR1642" s="21"/>
      <c r="DJS1642" s="21"/>
      <c r="DJT1642" s="21"/>
      <c r="DJU1642" s="21"/>
      <c r="DJV1642" s="21"/>
      <c r="DJW1642" s="21"/>
      <c r="DJX1642" s="21"/>
      <c r="DJY1642" s="21"/>
      <c r="DJZ1642" s="21"/>
      <c r="DKA1642" s="21"/>
      <c r="DKB1642" s="21"/>
      <c r="DKC1642" s="21"/>
      <c r="DKD1642" s="21"/>
      <c r="DKE1642" s="21"/>
      <c r="DKF1642" s="21"/>
      <c r="DKG1642" s="21"/>
      <c r="DKH1642" s="21"/>
      <c r="DKI1642" s="21"/>
      <c r="DKJ1642" s="21"/>
      <c r="DKK1642" s="21"/>
      <c r="DKL1642" s="21"/>
      <c r="DKM1642" s="21"/>
      <c r="DKN1642" s="21"/>
      <c r="DKO1642" s="21"/>
      <c r="DKP1642" s="21"/>
      <c r="DKQ1642" s="21"/>
      <c r="DKR1642" s="21"/>
      <c r="DKS1642" s="21"/>
      <c r="DKT1642" s="21"/>
      <c r="DKU1642" s="21"/>
      <c r="DKV1642" s="21"/>
      <c r="DKW1642" s="21"/>
      <c r="DKX1642" s="21"/>
      <c r="DKY1642" s="21"/>
      <c r="DKZ1642" s="21"/>
      <c r="DLA1642" s="21"/>
      <c r="DLB1642" s="21"/>
      <c r="DLC1642" s="21"/>
      <c r="DLD1642" s="21"/>
      <c r="DLE1642" s="21"/>
      <c r="DLF1642" s="21"/>
      <c r="DLG1642" s="21"/>
      <c r="DLH1642" s="21"/>
      <c r="DLI1642" s="21"/>
      <c r="DLJ1642" s="21"/>
      <c r="DLK1642" s="21"/>
      <c r="DLL1642" s="21"/>
      <c r="DLM1642" s="21"/>
      <c r="DLN1642" s="21"/>
      <c r="DLO1642" s="21"/>
      <c r="DLP1642" s="21"/>
      <c r="DLQ1642" s="21"/>
      <c r="DLR1642" s="21"/>
      <c r="DLS1642" s="21"/>
      <c r="DLT1642" s="21"/>
      <c r="DLU1642" s="21"/>
      <c r="DLV1642" s="21"/>
      <c r="DLW1642" s="21"/>
      <c r="DLX1642" s="21"/>
      <c r="DLY1642" s="21"/>
      <c r="DLZ1642" s="21"/>
      <c r="DMA1642" s="21"/>
      <c r="DMB1642" s="21"/>
      <c r="DMC1642" s="21"/>
      <c r="DMD1642" s="21"/>
      <c r="DME1642" s="21"/>
      <c r="DMF1642" s="21"/>
      <c r="DMG1642" s="21"/>
      <c r="DMH1642" s="21"/>
      <c r="DMI1642" s="21"/>
      <c r="DMJ1642" s="21"/>
      <c r="DMK1642" s="21"/>
      <c r="DML1642" s="21"/>
      <c r="DMM1642" s="21"/>
      <c r="DMN1642" s="21"/>
      <c r="DMO1642" s="21"/>
      <c r="DMP1642" s="21"/>
      <c r="DMQ1642" s="21"/>
      <c r="DMR1642" s="21"/>
      <c r="DMS1642" s="21"/>
      <c r="DMT1642" s="21"/>
      <c r="DMU1642" s="21"/>
      <c r="DMV1642" s="21"/>
      <c r="DMW1642" s="21"/>
      <c r="DMX1642" s="21"/>
      <c r="DMY1642" s="21"/>
      <c r="DMZ1642" s="21"/>
      <c r="DNA1642" s="21"/>
      <c r="DNB1642" s="21"/>
      <c r="DNC1642" s="21"/>
      <c r="DND1642" s="21"/>
      <c r="DNE1642" s="21"/>
      <c r="DNF1642" s="21"/>
      <c r="DNG1642" s="21"/>
      <c r="DNH1642" s="21"/>
      <c r="DNI1642" s="21"/>
      <c r="DNJ1642" s="21"/>
      <c r="DNK1642" s="21"/>
      <c r="DNL1642" s="21"/>
      <c r="DNM1642" s="21"/>
      <c r="DNN1642" s="21"/>
      <c r="DNO1642" s="21"/>
      <c r="DNP1642" s="21"/>
      <c r="DNQ1642" s="21"/>
      <c r="DNR1642" s="21"/>
      <c r="DNS1642" s="21"/>
      <c r="DNT1642" s="21"/>
      <c r="DNU1642" s="21"/>
      <c r="DNV1642" s="21"/>
      <c r="DNW1642" s="21"/>
      <c r="DNX1642" s="21"/>
      <c r="DNY1642" s="21"/>
      <c r="DNZ1642" s="21"/>
      <c r="DOA1642" s="21"/>
      <c r="DOB1642" s="21"/>
      <c r="DOC1642" s="21"/>
      <c r="DOD1642" s="21"/>
      <c r="DOE1642" s="21"/>
      <c r="DOF1642" s="21"/>
      <c r="DOG1642" s="21"/>
      <c r="DOH1642" s="21"/>
      <c r="DOI1642" s="21"/>
      <c r="DOJ1642" s="21"/>
      <c r="DOK1642" s="21"/>
      <c r="DOL1642" s="21"/>
      <c r="DOM1642" s="21"/>
      <c r="DON1642" s="21"/>
      <c r="DOO1642" s="21"/>
      <c r="DOP1642" s="21"/>
      <c r="DOQ1642" s="21"/>
      <c r="DOR1642" s="21"/>
      <c r="DOS1642" s="21"/>
      <c r="DOT1642" s="21"/>
      <c r="DOU1642" s="21"/>
      <c r="DOV1642" s="21"/>
      <c r="DOW1642" s="21"/>
      <c r="DOX1642" s="21"/>
      <c r="DOY1642" s="21"/>
      <c r="DOZ1642" s="21"/>
      <c r="DPA1642" s="21"/>
      <c r="DPB1642" s="21"/>
      <c r="DPC1642" s="21"/>
      <c r="DPD1642" s="21"/>
      <c r="DPE1642" s="21"/>
      <c r="DPF1642" s="21"/>
      <c r="DPG1642" s="21"/>
      <c r="DPH1642" s="21"/>
      <c r="DPI1642" s="21"/>
      <c r="DPJ1642" s="21"/>
      <c r="DPK1642" s="21"/>
      <c r="DPL1642" s="21"/>
      <c r="DPM1642" s="21"/>
      <c r="DPN1642" s="21"/>
      <c r="DPO1642" s="21"/>
      <c r="DPP1642" s="21"/>
      <c r="DPQ1642" s="21"/>
      <c r="DPR1642" s="21"/>
      <c r="DPS1642" s="21"/>
      <c r="DPT1642" s="21"/>
      <c r="DPU1642" s="21"/>
      <c r="DPV1642" s="21"/>
      <c r="DPW1642" s="21"/>
      <c r="DPX1642" s="21"/>
      <c r="DPY1642" s="21"/>
      <c r="DPZ1642" s="21"/>
      <c r="DQA1642" s="21"/>
      <c r="DQB1642" s="21"/>
      <c r="DQC1642" s="21"/>
      <c r="DQD1642" s="21"/>
      <c r="DQE1642" s="21"/>
      <c r="DQF1642" s="21"/>
      <c r="DQG1642" s="21"/>
      <c r="DQH1642" s="21"/>
      <c r="DQI1642" s="21"/>
      <c r="DQJ1642" s="21"/>
      <c r="DQK1642" s="21"/>
      <c r="DQL1642" s="21"/>
      <c r="DQM1642" s="21"/>
      <c r="DQN1642" s="21"/>
      <c r="DQO1642" s="21"/>
      <c r="DQP1642" s="21"/>
      <c r="DQQ1642" s="21"/>
      <c r="DQR1642" s="21"/>
      <c r="DQS1642" s="21"/>
      <c r="DQT1642" s="21"/>
      <c r="DQU1642" s="21"/>
      <c r="DQV1642" s="21"/>
      <c r="DQW1642" s="21"/>
      <c r="DQX1642" s="21"/>
      <c r="DQY1642" s="21"/>
      <c r="DQZ1642" s="21"/>
      <c r="DRA1642" s="21"/>
      <c r="DRB1642" s="21"/>
      <c r="DRC1642" s="21"/>
      <c r="DRD1642" s="21"/>
      <c r="DRE1642" s="21"/>
      <c r="DRF1642" s="21"/>
      <c r="DRG1642" s="21"/>
      <c r="DRH1642" s="21"/>
      <c r="DRI1642" s="21"/>
      <c r="DRJ1642" s="21"/>
      <c r="DRK1642" s="21"/>
      <c r="DRL1642" s="21"/>
      <c r="DRM1642" s="21"/>
      <c r="DRN1642" s="21"/>
      <c r="DRO1642" s="21"/>
      <c r="DRP1642" s="21"/>
      <c r="DRQ1642" s="21"/>
      <c r="DRR1642" s="21"/>
      <c r="DRS1642" s="21"/>
      <c r="DRT1642" s="21"/>
      <c r="DRU1642" s="21"/>
      <c r="DRV1642" s="21"/>
      <c r="DRW1642" s="21"/>
      <c r="DRX1642" s="21"/>
      <c r="DRY1642" s="21"/>
      <c r="DRZ1642" s="21"/>
      <c r="DSA1642" s="21"/>
      <c r="DSB1642" s="21"/>
      <c r="DSC1642" s="21"/>
      <c r="DSD1642" s="21"/>
      <c r="DSE1642" s="21"/>
      <c r="DSF1642" s="21"/>
      <c r="DSG1642" s="21"/>
      <c r="DSH1642" s="21"/>
      <c r="DSI1642" s="21"/>
      <c r="DSJ1642" s="21"/>
      <c r="DSK1642" s="21"/>
      <c r="DSL1642" s="21"/>
      <c r="DSM1642" s="21"/>
      <c r="DSN1642" s="21"/>
      <c r="DSO1642" s="21"/>
      <c r="DSP1642" s="21"/>
      <c r="DSQ1642" s="21"/>
      <c r="DSR1642" s="21"/>
      <c r="DSS1642" s="21"/>
      <c r="DST1642" s="21"/>
      <c r="DSU1642" s="21"/>
      <c r="DSV1642" s="21"/>
      <c r="DSW1642" s="21"/>
      <c r="DSX1642" s="21"/>
      <c r="DSY1642" s="21"/>
      <c r="DSZ1642" s="21"/>
      <c r="DTA1642" s="21"/>
      <c r="DTB1642" s="21"/>
      <c r="DTC1642" s="21"/>
      <c r="DTD1642" s="21"/>
      <c r="DTE1642" s="21"/>
      <c r="DTF1642" s="21"/>
      <c r="DTG1642" s="21"/>
      <c r="DTH1642" s="21"/>
      <c r="DTI1642" s="21"/>
      <c r="DTJ1642" s="21"/>
      <c r="DTK1642" s="21"/>
      <c r="DTL1642" s="21"/>
      <c r="DTM1642" s="21"/>
      <c r="DTN1642" s="21"/>
      <c r="DTO1642" s="21"/>
      <c r="DTP1642" s="21"/>
      <c r="DTQ1642" s="21"/>
      <c r="DTR1642" s="21"/>
      <c r="DTS1642" s="21"/>
      <c r="DTT1642" s="21"/>
      <c r="DTU1642" s="21"/>
      <c r="DTV1642" s="21"/>
      <c r="DTW1642" s="21"/>
      <c r="DTX1642" s="21"/>
      <c r="DTY1642" s="21"/>
      <c r="DTZ1642" s="21"/>
      <c r="DUA1642" s="21"/>
      <c r="DUB1642" s="21"/>
      <c r="DUC1642" s="21"/>
      <c r="DUD1642" s="21"/>
      <c r="DUE1642" s="21"/>
      <c r="DUF1642" s="21"/>
      <c r="DUG1642" s="21"/>
      <c r="DUH1642" s="21"/>
      <c r="DUI1642" s="21"/>
      <c r="DUJ1642" s="21"/>
      <c r="DUK1642" s="21"/>
      <c r="DUL1642" s="21"/>
      <c r="DUM1642" s="21"/>
      <c r="DUN1642" s="21"/>
      <c r="DUO1642" s="21"/>
      <c r="DUP1642" s="21"/>
      <c r="DUQ1642" s="21"/>
      <c r="DUR1642" s="21"/>
      <c r="DUS1642" s="21"/>
      <c r="DUT1642" s="21"/>
      <c r="DUU1642" s="21"/>
      <c r="DUV1642" s="21"/>
      <c r="DUW1642" s="21"/>
      <c r="DUX1642" s="21"/>
      <c r="DUY1642" s="21"/>
      <c r="DUZ1642" s="21"/>
      <c r="DVA1642" s="21"/>
      <c r="DVB1642" s="21"/>
      <c r="DVC1642" s="21"/>
      <c r="DVD1642" s="21"/>
      <c r="DVE1642" s="21"/>
      <c r="DVF1642" s="21"/>
      <c r="DVG1642" s="21"/>
      <c r="DVH1642" s="21"/>
      <c r="DVI1642" s="21"/>
      <c r="DVJ1642" s="21"/>
      <c r="DVK1642" s="21"/>
      <c r="DVL1642" s="21"/>
      <c r="DVM1642" s="21"/>
      <c r="DVN1642" s="21"/>
      <c r="DVO1642" s="21"/>
      <c r="DVP1642" s="21"/>
      <c r="DVQ1642" s="21"/>
      <c r="DVR1642" s="21"/>
      <c r="DVS1642" s="21"/>
      <c r="DVT1642" s="21"/>
      <c r="DVU1642" s="21"/>
      <c r="DVV1642" s="21"/>
      <c r="DVW1642" s="21"/>
      <c r="DVX1642" s="21"/>
      <c r="DVY1642" s="21"/>
      <c r="DVZ1642" s="21"/>
      <c r="DWA1642" s="21"/>
      <c r="DWB1642" s="21"/>
      <c r="DWC1642" s="21"/>
      <c r="DWD1642" s="21"/>
      <c r="DWE1642" s="21"/>
      <c r="DWF1642" s="21"/>
      <c r="DWG1642" s="21"/>
      <c r="DWH1642" s="21"/>
      <c r="DWI1642" s="21"/>
      <c r="DWJ1642" s="21"/>
      <c r="DWK1642" s="21"/>
      <c r="DWL1642" s="21"/>
      <c r="DWM1642" s="21"/>
      <c r="DWN1642" s="21"/>
      <c r="DWO1642" s="21"/>
      <c r="DWP1642" s="21"/>
      <c r="DWQ1642" s="21"/>
      <c r="DWR1642" s="21"/>
      <c r="DWS1642" s="21"/>
      <c r="DWT1642" s="21"/>
      <c r="DWU1642" s="21"/>
      <c r="DWV1642" s="21"/>
      <c r="DWW1642" s="21"/>
      <c r="DWX1642" s="21"/>
      <c r="DWY1642" s="21"/>
      <c r="DWZ1642" s="21"/>
      <c r="DXA1642" s="21"/>
      <c r="DXB1642" s="21"/>
      <c r="DXC1642" s="21"/>
      <c r="DXD1642" s="21"/>
      <c r="DXE1642" s="21"/>
      <c r="DXF1642" s="21"/>
      <c r="DXG1642" s="21"/>
      <c r="DXH1642" s="21"/>
      <c r="DXI1642" s="21"/>
      <c r="DXJ1642" s="21"/>
      <c r="DXK1642" s="21"/>
      <c r="DXL1642" s="21"/>
      <c r="DXM1642" s="21"/>
      <c r="DXN1642" s="21"/>
      <c r="DXO1642" s="21"/>
      <c r="DXP1642" s="21"/>
      <c r="DXQ1642" s="21"/>
      <c r="DXR1642" s="21"/>
      <c r="DXS1642" s="21"/>
      <c r="DXT1642" s="21"/>
      <c r="DXU1642" s="21"/>
      <c r="DXV1642" s="21"/>
      <c r="DXW1642" s="21"/>
      <c r="DXX1642" s="21"/>
      <c r="DXY1642" s="21"/>
      <c r="DXZ1642" s="21"/>
      <c r="DYA1642" s="21"/>
      <c r="DYB1642" s="21"/>
      <c r="DYC1642" s="21"/>
      <c r="DYD1642" s="21"/>
      <c r="DYE1642" s="21"/>
      <c r="DYF1642" s="21"/>
      <c r="DYG1642" s="21"/>
      <c r="DYH1642" s="21"/>
      <c r="DYI1642" s="21"/>
      <c r="DYJ1642" s="21"/>
      <c r="DYK1642" s="21"/>
      <c r="DYL1642" s="21"/>
      <c r="DYM1642" s="21"/>
      <c r="DYN1642" s="21"/>
      <c r="DYO1642" s="21"/>
      <c r="DYP1642" s="21"/>
      <c r="DYQ1642" s="21"/>
      <c r="DYR1642" s="21"/>
      <c r="DYS1642" s="21"/>
      <c r="DYT1642" s="21"/>
      <c r="DYU1642" s="21"/>
      <c r="DYV1642" s="21"/>
      <c r="DYW1642" s="21"/>
      <c r="DYX1642" s="21"/>
      <c r="DYY1642" s="21"/>
      <c r="DYZ1642" s="21"/>
      <c r="DZA1642" s="21"/>
      <c r="DZB1642" s="21"/>
      <c r="DZC1642" s="21"/>
      <c r="DZD1642" s="21"/>
      <c r="DZE1642" s="21"/>
      <c r="DZF1642" s="21"/>
      <c r="DZG1642" s="21"/>
      <c r="DZH1642" s="21"/>
      <c r="DZI1642" s="21"/>
      <c r="DZJ1642" s="21"/>
      <c r="DZK1642" s="21"/>
      <c r="DZL1642" s="21"/>
      <c r="DZM1642" s="21"/>
      <c r="DZN1642" s="21"/>
      <c r="DZO1642" s="21"/>
      <c r="DZP1642" s="21"/>
      <c r="DZQ1642" s="21"/>
      <c r="DZR1642" s="21"/>
      <c r="DZS1642" s="21"/>
      <c r="DZT1642" s="21"/>
      <c r="DZU1642" s="21"/>
      <c r="DZV1642" s="21"/>
      <c r="DZW1642" s="21"/>
      <c r="DZX1642" s="21"/>
      <c r="DZY1642" s="21"/>
      <c r="DZZ1642" s="21"/>
      <c r="EAA1642" s="21"/>
      <c r="EAB1642" s="21"/>
      <c r="EAC1642" s="21"/>
      <c r="EAD1642" s="21"/>
      <c r="EAE1642" s="21"/>
      <c r="EAF1642" s="21"/>
      <c r="EAG1642" s="21"/>
      <c r="EAH1642" s="21"/>
      <c r="EAI1642" s="21"/>
      <c r="EAJ1642" s="21"/>
      <c r="EAK1642" s="21"/>
      <c r="EAL1642" s="21"/>
      <c r="EAM1642" s="21"/>
      <c r="EAN1642" s="21"/>
      <c r="EAO1642" s="21"/>
      <c r="EAP1642" s="21"/>
      <c r="EAQ1642" s="21"/>
      <c r="EAR1642" s="21"/>
      <c r="EAS1642" s="21"/>
      <c r="EAT1642" s="21"/>
      <c r="EAU1642" s="21"/>
      <c r="EAV1642" s="21"/>
      <c r="EAW1642" s="21"/>
      <c r="EAX1642" s="21"/>
      <c r="EAY1642" s="21"/>
      <c r="EAZ1642" s="21"/>
      <c r="EBA1642" s="21"/>
      <c r="EBB1642" s="21"/>
      <c r="EBC1642" s="21"/>
      <c r="EBD1642" s="21"/>
      <c r="EBE1642" s="21"/>
      <c r="EBF1642" s="21"/>
      <c r="EBG1642" s="21"/>
      <c r="EBH1642" s="21"/>
      <c r="EBI1642" s="21"/>
      <c r="EBJ1642" s="21"/>
      <c r="EBK1642" s="21"/>
      <c r="EBL1642" s="21"/>
      <c r="EBM1642" s="21"/>
      <c r="EBN1642" s="21"/>
      <c r="EBO1642" s="21"/>
      <c r="EBP1642" s="21"/>
      <c r="EBQ1642" s="21"/>
      <c r="EBR1642" s="21"/>
      <c r="EBS1642" s="21"/>
      <c r="EBT1642" s="21"/>
      <c r="EBU1642" s="21"/>
      <c r="EBV1642" s="21"/>
      <c r="EBW1642" s="21"/>
      <c r="EBX1642" s="21"/>
      <c r="EBY1642" s="21"/>
      <c r="EBZ1642" s="21"/>
      <c r="ECA1642" s="21"/>
      <c r="ECB1642" s="21"/>
      <c r="ECC1642" s="21"/>
      <c r="ECD1642" s="21"/>
      <c r="ECE1642" s="21"/>
      <c r="ECF1642" s="21"/>
      <c r="ECG1642" s="21"/>
      <c r="ECH1642" s="21"/>
      <c r="ECI1642" s="21"/>
      <c r="ECJ1642" s="21"/>
      <c r="ECK1642" s="21"/>
      <c r="ECL1642" s="21"/>
      <c r="ECM1642" s="21"/>
      <c r="ECN1642" s="21"/>
      <c r="ECO1642" s="21"/>
      <c r="ECP1642" s="21"/>
      <c r="ECQ1642" s="21"/>
      <c r="ECR1642" s="21"/>
      <c r="ECS1642" s="21"/>
      <c r="ECT1642" s="21"/>
      <c r="ECU1642" s="21"/>
      <c r="ECV1642" s="21"/>
      <c r="ECW1642" s="21"/>
      <c r="ECX1642" s="21"/>
      <c r="ECY1642" s="21"/>
      <c r="ECZ1642" s="21"/>
      <c r="EDA1642" s="21"/>
      <c r="EDB1642" s="21"/>
      <c r="EDC1642" s="21"/>
      <c r="EDD1642" s="21"/>
      <c r="EDE1642" s="21"/>
      <c r="EDF1642" s="21"/>
      <c r="EDG1642" s="21"/>
      <c r="EDH1642" s="21"/>
      <c r="EDI1642" s="21"/>
      <c r="EDJ1642" s="21"/>
      <c r="EDK1642" s="21"/>
      <c r="EDL1642" s="21"/>
      <c r="EDM1642" s="21"/>
      <c r="EDN1642" s="21"/>
      <c r="EDO1642" s="21"/>
      <c r="EDP1642" s="21"/>
      <c r="EDQ1642" s="21"/>
      <c r="EDR1642" s="21"/>
      <c r="EDS1642" s="21"/>
      <c r="EDT1642" s="21"/>
      <c r="EDU1642" s="21"/>
      <c r="EDV1642" s="21"/>
      <c r="EDW1642" s="21"/>
      <c r="EDX1642" s="21"/>
      <c r="EDY1642" s="21"/>
      <c r="EDZ1642" s="21"/>
      <c r="EEA1642" s="21"/>
      <c r="EEB1642" s="21"/>
      <c r="EEC1642" s="21"/>
      <c r="EED1642" s="21"/>
      <c r="EEE1642" s="21"/>
      <c r="EEF1642" s="21"/>
      <c r="EEG1642" s="21"/>
      <c r="EEH1642" s="21"/>
      <c r="EEI1642" s="21"/>
      <c r="EEJ1642" s="21"/>
      <c r="EEK1642" s="21"/>
      <c r="EEL1642" s="21"/>
      <c r="EEM1642" s="21"/>
      <c r="EEN1642" s="21"/>
      <c r="EEO1642" s="21"/>
      <c r="EEP1642" s="21"/>
      <c r="EEQ1642" s="21"/>
      <c r="EER1642" s="21"/>
      <c r="EES1642" s="21"/>
      <c r="EET1642" s="21"/>
      <c r="EEU1642" s="21"/>
      <c r="EEV1642" s="21"/>
      <c r="EEW1642" s="21"/>
      <c r="EEX1642" s="21"/>
      <c r="EEY1642" s="21"/>
      <c r="EEZ1642" s="21"/>
      <c r="EFA1642" s="21"/>
      <c r="EFB1642" s="21"/>
      <c r="EFC1642" s="21"/>
      <c r="EFD1642" s="21"/>
      <c r="EFE1642" s="21"/>
      <c r="EFF1642" s="21"/>
      <c r="EFG1642" s="21"/>
      <c r="EFH1642" s="21"/>
      <c r="EFI1642" s="21"/>
      <c r="EFJ1642" s="21"/>
      <c r="EFK1642" s="21"/>
      <c r="EFL1642" s="21"/>
      <c r="EFM1642" s="21"/>
      <c r="EFN1642" s="21"/>
      <c r="EFO1642" s="21"/>
      <c r="EFP1642" s="21"/>
      <c r="EFQ1642" s="21"/>
      <c r="EFR1642" s="21"/>
      <c r="EFS1642" s="21"/>
      <c r="EFT1642" s="21"/>
      <c r="EFU1642" s="21"/>
      <c r="EFV1642" s="21"/>
      <c r="EFW1642" s="21"/>
      <c r="EFX1642" s="21"/>
      <c r="EFY1642" s="21"/>
      <c r="EFZ1642" s="21"/>
      <c r="EGA1642" s="21"/>
      <c r="EGB1642" s="21"/>
      <c r="EGC1642" s="21"/>
      <c r="EGD1642" s="21"/>
      <c r="EGE1642" s="21"/>
      <c r="EGF1642" s="21"/>
      <c r="EGG1642" s="21"/>
      <c r="EGH1642" s="21"/>
      <c r="EGI1642" s="21"/>
      <c r="EGJ1642" s="21"/>
      <c r="EGK1642" s="21"/>
      <c r="EGL1642" s="21"/>
      <c r="EGM1642" s="21"/>
      <c r="EGN1642" s="21"/>
      <c r="EGO1642" s="21"/>
      <c r="EGP1642" s="21"/>
      <c r="EGQ1642" s="21"/>
      <c r="EGR1642" s="21"/>
      <c r="EGS1642" s="21"/>
      <c r="EGT1642" s="21"/>
      <c r="EGU1642" s="21"/>
      <c r="EGV1642" s="21"/>
      <c r="EGW1642" s="21"/>
      <c r="EGX1642" s="21"/>
      <c r="EGY1642" s="21"/>
      <c r="EGZ1642" s="21"/>
      <c r="EHA1642" s="21"/>
      <c r="EHB1642" s="21"/>
      <c r="EHC1642" s="21"/>
      <c r="EHD1642" s="21"/>
      <c r="EHE1642" s="21"/>
      <c r="EHF1642" s="21"/>
      <c r="EHG1642" s="21"/>
      <c r="EHH1642" s="21"/>
      <c r="EHI1642" s="21"/>
      <c r="EHJ1642" s="21"/>
      <c r="EHK1642" s="21"/>
      <c r="EHL1642" s="21"/>
      <c r="EHM1642" s="21"/>
      <c r="EHN1642" s="21"/>
      <c r="EHO1642" s="21"/>
      <c r="EHP1642" s="21"/>
      <c r="EHQ1642" s="21"/>
      <c r="EHR1642" s="21"/>
      <c r="EHS1642" s="21"/>
      <c r="EHT1642" s="21"/>
      <c r="EHU1642" s="21"/>
      <c r="EHV1642" s="21"/>
      <c r="EHW1642" s="21"/>
      <c r="EHX1642" s="21"/>
      <c r="EHY1642" s="21"/>
      <c r="EHZ1642" s="21"/>
      <c r="EIA1642" s="21"/>
      <c r="EIB1642" s="21"/>
      <c r="EIC1642" s="21"/>
      <c r="EID1642" s="21"/>
      <c r="EIE1642" s="21"/>
      <c r="EIF1642" s="21"/>
      <c r="EIG1642" s="21"/>
      <c r="EIH1642" s="21"/>
      <c r="EII1642" s="21"/>
      <c r="EIJ1642" s="21"/>
      <c r="EIK1642" s="21"/>
      <c r="EIL1642" s="21"/>
      <c r="EIM1642" s="21"/>
      <c r="EIN1642" s="21"/>
      <c r="EIO1642" s="21"/>
      <c r="EIP1642" s="21"/>
      <c r="EIQ1642" s="21"/>
      <c r="EIR1642" s="21"/>
      <c r="EIS1642" s="21"/>
      <c r="EIT1642" s="21"/>
      <c r="EIU1642" s="21"/>
      <c r="EIV1642" s="21"/>
      <c r="EIW1642" s="21"/>
      <c r="EIX1642" s="21"/>
      <c r="EIY1642" s="21"/>
      <c r="EIZ1642" s="21"/>
      <c r="EJA1642" s="21"/>
      <c r="EJB1642" s="21"/>
      <c r="EJC1642" s="21"/>
      <c r="EJD1642" s="21"/>
      <c r="EJE1642" s="21"/>
      <c r="EJF1642" s="21"/>
      <c r="EJG1642" s="21"/>
      <c r="EJH1642" s="21"/>
      <c r="EJI1642" s="21"/>
      <c r="EJJ1642" s="21"/>
      <c r="EJK1642" s="21"/>
      <c r="EJL1642" s="21"/>
      <c r="EJM1642" s="21"/>
      <c r="EJN1642" s="21"/>
      <c r="EJO1642" s="21"/>
      <c r="EJP1642" s="21"/>
      <c r="EJQ1642" s="21"/>
      <c r="EJR1642" s="21"/>
      <c r="EJS1642" s="21"/>
      <c r="EJT1642" s="21"/>
      <c r="EJU1642" s="21"/>
      <c r="EJV1642" s="21"/>
      <c r="EJW1642" s="21"/>
      <c r="EJX1642" s="21"/>
      <c r="EJY1642" s="21"/>
      <c r="EJZ1642" s="21"/>
      <c r="EKA1642" s="21"/>
      <c r="EKB1642" s="21"/>
      <c r="EKC1642" s="21"/>
      <c r="EKD1642" s="21"/>
      <c r="EKE1642" s="21"/>
      <c r="EKF1642" s="21"/>
      <c r="EKG1642" s="21"/>
      <c r="EKH1642" s="21"/>
      <c r="EKI1642" s="21"/>
      <c r="EKJ1642" s="21"/>
      <c r="EKK1642" s="21"/>
      <c r="EKL1642" s="21"/>
      <c r="EKM1642" s="21"/>
      <c r="EKN1642" s="21"/>
      <c r="EKO1642" s="21"/>
      <c r="EKP1642" s="21"/>
      <c r="EKQ1642" s="21"/>
      <c r="EKR1642" s="21"/>
      <c r="EKS1642" s="21"/>
      <c r="EKT1642" s="21"/>
      <c r="EKU1642" s="21"/>
      <c r="EKV1642" s="21"/>
      <c r="EKW1642" s="21"/>
      <c r="EKX1642" s="21"/>
      <c r="EKY1642" s="21"/>
      <c r="EKZ1642" s="21"/>
      <c r="ELA1642" s="21"/>
      <c r="ELB1642" s="21"/>
      <c r="ELC1642" s="21"/>
      <c r="ELD1642" s="21"/>
      <c r="ELE1642" s="21"/>
      <c r="ELF1642" s="21"/>
      <c r="ELG1642" s="21"/>
      <c r="ELH1642" s="21"/>
      <c r="ELI1642" s="21"/>
      <c r="ELJ1642" s="21"/>
      <c r="ELK1642" s="21"/>
      <c r="ELL1642" s="21"/>
      <c r="ELM1642" s="21"/>
      <c r="ELN1642" s="21"/>
      <c r="ELO1642" s="21"/>
      <c r="ELP1642" s="21"/>
      <c r="ELQ1642" s="21"/>
      <c r="ELR1642" s="21"/>
      <c r="ELS1642" s="21"/>
      <c r="ELT1642" s="21"/>
      <c r="ELU1642" s="21"/>
      <c r="ELV1642" s="21"/>
      <c r="ELW1642" s="21"/>
      <c r="ELX1642" s="21"/>
      <c r="ELY1642" s="21"/>
      <c r="ELZ1642" s="21"/>
      <c r="EMA1642" s="21"/>
      <c r="EMB1642" s="21"/>
      <c r="EMC1642" s="21"/>
      <c r="EMD1642" s="21"/>
      <c r="EME1642" s="21"/>
      <c r="EMF1642" s="21"/>
      <c r="EMG1642" s="21"/>
      <c r="EMH1642" s="21"/>
      <c r="EMI1642" s="21"/>
      <c r="EMJ1642" s="21"/>
      <c r="EMK1642" s="21"/>
      <c r="EML1642" s="21"/>
      <c r="EMM1642" s="21"/>
      <c r="EMN1642" s="21"/>
      <c r="EMO1642" s="21"/>
      <c r="EMP1642" s="21"/>
      <c r="EMQ1642" s="21"/>
      <c r="EMR1642" s="21"/>
      <c r="EMS1642" s="21"/>
      <c r="EMT1642" s="21"/>
      <c r="EMU1642" s="21"/>
      <c r="EMV1642" s="21"/>
      <c r="EMW1642" s="21"/>
      <c r="EMX1642" s="21"/>
      <c r="EMY1642" s="21"/>
      <c r="EMZ1642" s="21"/>
      <c r="ENA1642" s="21"/>
      <c r="ENB1642" s="21"/>
      <c r="ENC1642" s="21"/>
      <c r="END1642" s="21"/>
      <c r="ENE1642" s="21"/>
      <c r="ENF1642" s="21"/>
      <c r="ENG1642" s="21"/>
      <c r="ENH1642" s="21"/>
      <c r="ENI1642" s="21"/>
      <c r="ENJ1642" s="21"/>
      <c r="ENK1642" s="21"/>
      <c r="ENL1642" s="21"/>
      <c r="ENM1642" s="21"/>
      <c r="ENN1642" s="21"/>
      <c r="ENO1642" s="21"/>
      <c r="ENP1642" s="21"/>
      <c r="ENQ1642" s="21"/>
      <c r="ENR1642" s="21"/>
      <c r="ENS1642" s="21"/>
      <c r="ENT1642" s="21"/>
      <c r="ENU1642" s="21"/>
      <c r="ENV1642" s="21"/>
      <c r="ENW1642" s="21"/>
      <c r="ENX1642" s="21"/>
      <c r="ENY1642" s="21"/>
      <c r="ENZ1642" s="21"/>
      <c r="EOA1642" s="21"/>
      <c r="EOB1642" s="21"/>
      <c r="EOC1642" s="21"/>
      <c r="EOD1642" s="21"/>
      <c r="EOE1642" s="21"/>
      <c r="EOF1642" s="21"/>
      <c r="EOG1642" s="21"/>
      <c r="EOH1642" s="21"/>
      <c r="EOI1642" s="21"/>
      <c r="EOJ1642" s="21"/>
      <c r="EOK1642" s="21"/>
      <c r="EOL1642" s="21"/>
      <c r="EOM1642" s="21"/>
      <c r="EON1642" s="21"/>
      <c r="EOO1642" s="21"/>
      <c r="EOP1642" s="21"/>
      <c r="EOQ1642" s="21"/>
      <c r="EOR1642" s="21"/>
      <c r="EOS1642" s="21"/>
      <c r="EOT1642" s="21"/>
      <c r="EOU1642" s="21"/>
      <c r="EOV1642" s="21"/>
      <c r="EOW1642" s="21"/>
      <c r="EOX1642" s="21"/>
      <c r="EOY1642" s="21"/>
      <c r="EOZ1642" s="21"/>
      <c r="EPA1642" s="21"/>
      <c r="EPB1642" s="21"/>
      <c r="EPC1642" s="21"/>
      <c r="EPD1642" s="21"/>
      <c r="EPE1642" s="21"/>
      <c r="EPF1642" s="21"/>
      <c r="EPG1642" s="21"/>
      <c r="EPH1642" s="21"/>
      <c r="EPI1642" s="21"/>
      <c r="EPJ1642" s="21"/>
      <c r="EPK1642" s="21"/>
      <c r="EPL1642" s="21"/>
      <c r="EPM1642" s="21"/>
      <c r="EPN1642" s="21"/>
      <c r="EPO1642" s="21"/>
      <c r="EPP1642" s="21"/>
      <c r="EPQ1642" s="21"/>
      <c r="EPR1642" s="21"/>
      <c r="EPS1642" s="21"/>
      <c r="EPT1642" s="21"/>
      <c r="EPU1642" s="21"/>
      <c r="EPV1642" s="21"/>
      <c r="EPW1642" s="21"/>
      <c r="EPX1642" s="21"/>
      <c r="EPY1642" s="21"/>
      <c r="EPZ1642" s="21"/>
      <c r="EQA1642" s="21"/>
      <c r="EQB1642" s="21"/>
      <c r="EQC1642" s="21"/>
      <c r="EQD1642" s="21"/>
      <c r="EQE1642" s="21"/>
      <c r="EQF1642" s="21"/>
      <c r="EQG1642" s="21"/>
      <c r="EQH1642" s="21"/>
      <c r="EQI1642" s="21"/>
      <c r="EQJ1642" s="21"/>
      <c r="EQK1642" s="21"/>
      <c r="EQL1642" s="21"/>
      <c r="EQM1642" s="21"/>
      <c r="EQN1642" s="21"/>
      <c r="EQO1642" s="21"/>
      <c r="EQP1642" s="21"/>
      <c r="EQQ1642" s="21"/>
      <c r="EQR1642" s="21"/>
      <c r="EQS1642" s="21"/>
      <c r="EQT1642" s="21"/>
      <c r="EQU1642" s="21"/>
      <c r="EQV1642" s="21"/>
      <c r="EQW1642" s="21"/>
      <c r="EQX1642" s="21"/>
      <c r="EQY1642" s="21"/>
      <c r="EQZ1642" s="21"/>
      <c r="ERA1642" s="21"/>
      <c r="ERB1642" s="21"/>
      <c r="ERC1642" s="21"/>
      <c r="ERD1642" s="21"/>
      <c r="ERE1642" s="21"/>
      <c r="ERF1642" s="21"/>
      <c r="ERG1642" s="21"/>
      <c r="ERH1642" s="21"/>
      <c r="ERI1642" s="21"/>
      <c r="ERJ1642" s="21"/>
      <c r="ERK1642" s="21"/>
      <c r="ERL1642" s="21"/>
      <c r="ERM1642" s="21"/>
      <c r="ERN1642" s="21"/>
      <c r="ERO1642" s="21"/>
      <c r="ERP1642" s="21"/>
      <c r="ERQ1642" s="21"/>
      <c r="ERR1642" s="21"/>
      <c r="ERS1642" s="21"/>
      <c r="ERT1642" s="21"/>
      <c r="ERU1642" s="21"/>
      <c r="ERV1642" s="21"/>
      <c r="ERW1642" s="21"/>
      <c r="ERX1642" s="21"/>
      <c r="ERY1642" s="21"/>
      <c r="ERZ1642" s="21"/>
      <c r="ESA1642" s="21"/>
      <c r="ESB1642" s="21"/>
      <c r="ESC1642" s="21"/>
      <c r="ESD1642" s="21"/>
      <c r="ESE1642" s="21"/>
      <c r="ESF1642" s="21"/>
      <c r="ESG1642" s="21"/>
      <c r="ESH1642" s="21"/>
      <c r="ESI1642" s="21"/>
      <c r="ESJ1642" s="21"/>
      <c r="ESK1642" s="21"/>
      <c r="ESL1642" s="21"/>
      <c r="ESM1642" s="21"/>
      <c r="ESN1642" s="21"/>
      <c r="ESO1642" s="21"/>
      <c r="ESP1642" s="21"/>
      <c r="ESQ1642" s="21"/>
      <c r="ESR1642" s="21"/>
      <c r="ESS1642" s="21"/>
      <c r="EST1642" s="21"/>
      <c r="ESU1642" s="21"/>
      <c r="ESV1642" s="21"/>
      <c r="ESW1642" s="21"/>
      <c r="ESX1642" s="21"/>
      <c r="ESY1642" s="21"/>
      <c r="ESZ1642" s="21"/>
      <c r="ETA1642" s="21"/>
      <c r="ETB1642" s="21"/>
      <c r="ETC1642" s="21"/>
      <c r="ETD1642" s="21"/>
      <c r="ETE1642" s="21"/>
      <c r="ETF1642" s="21"/>
      <c r="ETG1642" s="21"/>
      <c r="ETH1642" s="21"/>
      <c r="ETI1642" s="21"/>
      <c r="ETJ1642" s="21"/>
      <c r="ETK1642" s="21"/>
      <c r="ETL1642" s="21"/>
      <c r="ETM1642" s="21"/>
      <c r="ETN1642" s="21"/>
      <c r="ETO1642" s="21"/>
      <c r="ETP1642" s="21"/>
      <c r="ETQ1642" s="21"/>
      <c r="ETR1642" s="21"/>
      <c r="ETS1642" s="21"/>
      <c r="ETT1642" s="21"/>
      <c r="ETU1642" s="21"/>
      <c r="ETV1642" s="21"/>
      <c r="ETW1642" s="21"/>
      <c r="ETX1642" s="21"/>
      <c r="ETY1642" s="21"/>
      <c r="ETZ1642" s="21"/>
      <c r="EUA1642" s="21"/>
      <c r="EUB1642" s="21"/>
      <c r="EUC1642" s="21"/>
      <c r="EUD1642" s="21"/>
      <c r="EUE1642" s="21"/>
      <c r="EUF1642" s="21"/>
      <c r="EUG1642" s="21"/>
      <c r="EUH1642" s="21"/>
      <c r="EUI1642" s="21"/>
      <c r="EUJ1642" s="21"/>
      <c r="EUK1642" s="21"/>
      <c r="EUL1642" s="21"/>
      <c r="EUM1642" s="21"/>
      <c r="EUN1642" s="21"/>
      <c r="EUO1642" s="21"/>
      <c r="EUP1642" s="21"/>
      <c r="EUQ1642" s="21"/>
      <c r="EUR1642" s="21"/>
      <c r="EUS1642" s="21"/>
      <c r="EUT1642" s="21"/>
      <c r="EUU1642" s="21"/>
      <c r="EUV1642" s="21"/>
      <c r="EUW1642" s="21"/>
      <c r="EUX1642" s="21"/>
      <c r="EUY1642" s="21"/>
      <c r="EUZ1642" s="21"/>
      <c r="EVA1642" s="21"/>
      <c r="EVB1642" s="21"/>
      <c r="EVC1642" s="21"/>
      <c r="EVD1642" s="21"/>
      <c r="EVE1642" s="21"/>
      <c r="EVF1642" s="21"/>
      <c r="EVG1642" s="21"/>
      <c r="EVH1642" s="21"/>
      <c r="EVI1642" s="21"/>
      <c r="EVJ1642" s="21"/>
      <c r="EVK1642" s="21"/>
      <c r="EVL1642" s="21"/>
      <c r="EVM1642" s="21"/>
      <c r="EVN1642" s="21"/>
      <c r="EVO1642" s="21"/>
      <c r="EVP1642" s="21"/>
      <c r="EVQ1642" s="21"/>
      <c r="EVR1642" s="21"/>
      <c r="EVS1642" s="21"/>
      <c r="EVT1642" s="21"/>
      <c r="EVU1642" s="21"/>
      <c r="EVV1642" s="21"/>
      <c r="EVW1642" s="21"/>
      <c r="EVX1642" s="21"/>
      <c r="EVY1642" s="21"/>
      <c r="EVZ1642" s="21"/>
      <c r="EWA1642" s="21"/>
      <c r="EWB1642" s="21"/>
      <c r="EWC1642" s="21"/>
      <c r="EWD1642" s="21"/>
      <c r="EWE1642" s="21"/>
      <c r="EWF1642" s="21"/>
      <c r="EWG1642" s="21"/>
      <c r="EWH1642" s="21"/>
      <c r="EWI1642" s="21"/>
      <c r="EWJ1642" s="21"/>
      <c r="EWK1642" s="21"/>
      <c r="EWL1642" s="21"/>
      <c r="EWM1642" s="21"/>
      <c r="EWN1642" s="21"/>
      <c r="EWO1642" s="21"/>
      <c r="EWP1642" s="21"/>
      <c r="EWQ1642" s="21"/>
      <c r="EWR1642" s="21"/>
      <c r="EWS1642" s="21"/>
      <c r="EWT1642" s="21"/>
      <c r="EWU1642" s="21"/>
      <c r="EWV1642" s="21"/>
      <c r="EWW1642" s="21"/>
      <c r="EWX1642" s="21"/>
      <c r="EWY1642" s="21"/>
      <c r="EWZ1642" s="21"/>
      <c r="EXA1642" s="21"/>
      <c r="EXB1642" s="21"/>
      <c r="EXC1642" s="21"/>
      <c r="EXD1642" s="21"/>
      <c r="EXE1642" s="21"/>
      <c r="EXF1642" s="21"/>
      <c r="EXG1642" s="21"/>
      <c r="EXH1642" s="21"/>
      <c r="EXI1642" s="21"/>
      <c r="EXJ1642" s="21"/>
      <c r="EXK1642" s="21"/>
      <c r="EXL1642" s="21"/>
      <c r="EXM1642" s="21"/>
      <c r="EXN1642" s="21"/>
      <c r="EXO1642" s="21"/>
      <c r="EXP1642" s="21"/>
      <c r="EXQ1642" s="21"/>
      <c r="EXR1642" s="21"/>
      <c r="EXS1642" s="21"/>
      <c r="EXT1642" s="21"/>
      <c r="EXU1642" s="21"/>
      <c r="EXV1642" s="21"/>
      <c r="EXW1642" s="21"/>
      <c r="EXX1642" s="21"/>
      <c r="EXY1642" s="21"/>
      <c r="EXZ1642" s="21"/>
      <c r="EYA1642" s="21"/>
      <c r="EYB1642" s="21"/>
      <c r="EYC1642" s="21"/>
      <c r="EYD1642" s="21"/>
      <c r="EYE1642" s="21"/>
      <c r="EYF1642" s="21"/>
      <c r="EYG1642" s="21"/>
      <c r="EYH1642" s="21"/>
      <c r="EYI1642" s="21"/>
      <c r="EYJ1642" s="21"/>
      <c r="EYK1642" s="21"/>
      <c r="EYL1642" s="21"/>
      <c r="EYM1642" s="21"/>
      <c r="EYN1642" s="21"/>
      <c r="EYO1642" s="21"/>
      <c r="EYP1642" s="21"/>
      <c r="EYQ1642" s="21"/>
      <c r="EYR1642" s="21"/>
      <c r="EYS1642" s="21"/>
      <c r="EYT1642" s="21"/>
      <c r="EYU1642" s="21"/>
      <c r="EYV1642" s="21"/>
      <c r="EYW1642" s="21"/>
      <c r="EYX1642" s="21"/>
      <c r="EYY1642" s="21"/>
      <c r="EYZ1642" s="21"/>
      <c r="EZA1642" s="21"/>
      <c r="EZB1642" s="21"/>
      <c r="EZC1642" s="21"/>
      <c r="EZD1642" s="21"/>
      <c r="EZE1642" s="21"/>
      <c r="EZF1642" s="21"/>
      <c r="EZG1642" s="21"/>
      <c r="EZH1642" s="21"/>
      <c r="EZI1642" s="21"/>
      <c r="EZJ1642" s="21"/>
      <c r="EZK1642" s="21"/>
      <c r="EZL1642" s="21"/>
      <c r="EZM1642" s="21"/>
      <c r="EZN1642" s="21"/>
      <c r="EZO1642" s="21"/>
      <c r="EZP1642" s="21"/>
      <c r="EZQ1642" s="21"/>
      <c r="EZR1642" s="21"/>
      <c r="EZS1642" s="21"/>
      <c r="EZT1642" s="21"/>
      <c r="EZU1642" s="21"/>
      <c r="EZV1642" s="21"/>
      <c r="EZW1642" s="21"/>
      <c r="EZX1642" s="21"/>
      <c r="EZY1642" s="21"/>
      <c r="EZZ1642" s="21"/>
      <c r="FAA1642" s="21"/>
      <c r="FAB1642" s="21"/>
      <c r="FAC1642" s="21"/>
      <c r="FAD1642" s="21"/>
      <c r="FAE1642" s="21"/>
      <c r="FAF1642" s="21"/>
      <c r="FAG1642" s="21"/>
      <c r="FAH1642" s="21"/>
      <c r="FAI1642" s="21"/>
      <c r="FAJ1642" s="21"/>
      <c r="FAK1642" s="21"/>
      <c r="FAL1642" s="21"/>
      <c r="FAM1642" s="21"/>
      <c r="FAN1642" s="21"/>
      <c r="FAO1642" s="21"/>
      <c r="FAP1642" s="21"/>
      <c r="FAQ1642" s="21"/>
      <c r="FAR1642" s="21"/>
      <c r="FAS1642" s="21"/>
      <c r="FAT1642" s="21"/>
      <c r="FAU1642" s="21"/>
      <c r="FAV1642" s="21"/>
      <c r="FAW1642" s="21"/>
      <c r="FAX1642" s="21"/>
      <c r="FAY1642" s="21"/>
      <c r="FAZ1642" s="21"/>
      <c r="FBA1642" s="21"/>
      <c r="FBB1642" s="21"/>
      <c r="FBC1642" s="21"/>
      <c r="FBD1642" s="21"/>
      <c r="FBE1642" s="21"/>
      <c r="FBF1642" s="21"/>
      <c r="FBG1642" s="21"/>
      <c r="FBH1642" s="21"/>
      <c r="FBI1642" s="21"/>
      <c r="FBJ1642" s="21"/>
      <c r="FBK1642" s="21"/>
      <c r="FBL1642" s="21"/>
      <c r="FBM1642" s="21"/>
      <c r="FBN1642" s="21"/>
      <c r="FBO1642" s="21"/>
      <c r="FBP1642" s="21"/>
      <c r="FBQ1642" s="21"/>
      <c r="FBR1642" s="21"/>
      <c r="FBS1642" s="21"/>
      <c r="FBT1642" s="21"/>
      <c r="FBU1642" s="21"/>
      <c r="FBV1642" s="21"/>
      <c r="FBW1642" s="21"/>
      <c r="FBX1642" s="21"/>
      <c r="FBY1642" s="21"/>
      <c r="FBZ1642" s="21"/>
      <c r="FCA1642" s="21"/>
      <c r="FCB1642" s="21"/>
      <c r="FCC1642" s="21"/>
      <c r="FCD1642" s="21"/>
      <c r="FCE1642" s="21"/>
      <c r="FCF1642" s="21"/>
      <c r="FCG1642" s="21"/>
      <c r="FCH1642" s="21"/>
      <c r="FCI1642" s="21"/>
      <c r="FCJ1642" s="21"/>
      <c r="FCK1642" s="21"/>
      <c r="FCL1642" s="21"/>
      <c r="FCM1642" s="21"/>
      <c r="FCN1642" s="21"/>
      <c r="FCO1642" s="21"/>
      <c r="FCP1642" s="21"/>
      <c r="FCQ1642" s="21"/>
      <c r="FCR1642" s="21"/>
      <c r="FCS1642" s="21"/>
      <c r="FCT1642" s="21"/>
      <c r="FCU1642" s="21"/>
      <c r="FCV1642" s="21"/>
      <c r="FCW1642" s="21"/>
      <c r="FCX1642" s="21"/>
      <c r="FCY1642" s="21"/>
      <c r="FCZ1642" s="21"/>
      <c r="FDA1642" s="21"/>
      <c r="FDB1642" s="21"/>
      <c r="FDC1642" s="21"/>
      <c r="FDD1642" s="21"/>
      <c r="FDE1642" s="21"/>
      <c r="FDF1642" s="21"/>
      <c r="FDG1642" s="21"/>
      <c r="FDH1642" s="21"/>
      <c r="FDI1642" s="21"/>
      <c r="FDJ1642" s="21"/>
      <c r="FDK1642" s="21"/>
      <c r="FDL1642" s="21"/>
      <c r="FDM1642" s="21"/>
      <c r="FDN1642" s="21"/>
      <c r="FDO1642" s="21"/>
      <c r="FDP1642" s="21"/>
      <c r="FDQ1642" s="21"/>
      <c r="FDR1642" s="21"/>
      <c r="FDS1642" s="21"/>
      <c r="FDT1642" s="21"/>
      <c r="FDU1642" s="21"/>
      <c r="FDV1642" s="21"/>
      <c r="FDW1642" s="21"/>
      <c r="FDX1642" s="21"/>
      <c r="FDY1642" s="21"/>
      <c r="FDZ1642" s="21"/>
      <c r="FEA1642" s="21"/>
      <c r="FEB1642" s="21"/>
      <c r="FEC1642" s="21"/>
      <c r="FED1642" s="21"/>
      <c r="FEE1642" s="21"/>
      <c r="FEF1642" s="21"/>
      <c r="FEG1642" s="21"/>
      <c r="FEH1642" s="21"/>
      <c r="FEI1642" s="21"/>
      <c r="FEJ1642" s="21"/>
      <c r="FEK1642" s="21"/>
      <c r="FEL1642" s="21"/>
      <c r="FEM1642" s="21"/>
      <c r="FEN1642" s="21"/>
      <c r="FEO1642" s="21"/>
      <c r="FEP1642" s="21"/>
      <c r="FEQ1642" s="21"/>
      <c r="FER1642" s="21"/>
      <c r="FES1642" s="21"/>
      <c r="FET1642" s="21"/>
      <c r="FEU1642" s="21"/>
      <c r="FEV1642" s="21"/>
      <c r="FEW1642" s="21"/>
      <c r="FEX1642" s="21"/>
      <c r="FEY1642" s="21"/>
      <c r="FEZ1642" s="21"/>
      <c r="FFA1642" s="21"/>
      <c r="FFB1642" s="21"/>
      <c r="FFC1642" s="21"/>
      <c r="FFD1642" s="21"/>
      <c r="FFE1642" s="21"/>
      <c r="FFF1642" s="21"/>
      <c r="FFG1642" s="21"/>
      <c r="FFH1642" s="21"/>
      <c r="FFI1642" s="21"/>
      <c r="FFJ1642" s="21"/>
      <c r="FFK1642" s="21"/>
      <c r="FFL1642" s="21"/>
      <c r="FFM1642" s="21"/>
      <c r="FFN1642" s="21"/>
      <c r="FFO1642" s="21"/>
      <c r="FFP1642" s="21"/>
      <c r="FFQ1642" s="21"/>
      <c r="FFR1642" s="21"/>
      <c r="FFS1642" s="21"/>
      <c r="FFT1642" s="21"/>
      <c r="FFU1642" s="21"/>
      <c r="FFV1642" s="21"/>
      <c r="FFW1642" s="21"/>
      <c r="FFX1642" s="21"/>
      <c r="FFY1642" s="21"/>
      <c r="FFZ1642" s="21"/>
      <c r="FGA1642" s="21"/>
      <c r="FGB1642" s="21"/>
      <c r="FGC1642" s="21"/>
      <c r="FGD1642" s="21"/>
      <c r="FGE1642" s="21"/>
      <c r="FGF1642" s="21"/>
      <c r="FGG1642" s="21"/>
      <c r="FGH1642" s="21"/>
      <c r="FGI1642" s="21"/>
      <c r="FGJ1642" s="21"/>
      <c r="FGK1642" s="21"/>
      <c r="FGL1642" s="21"/>
      <c r="FGM1642" s="21"/>
      <c r="FGN1642" s="21"/>
      <c r="FGO1642" s="21"/>
      <c r="FGP1642" s="21"/>
      <c r="FGQ1642" s="21"/>
      <c r="FGR1642" s="21"/>
      <c r="FGS1642" s="21"/>
      <c r="FGT1642" s="21"/>
      <c r="FGU1642" s="21"/>
      <c r="FGV1642" s="21"/>
      <c r="FGW1642" s="21"/>
      <c r="FGX1642" s="21"/>
      <c r="FGY1642" s="21"/>
      <c r="FGZ1642" s="21"/>
      <c r="FHA1642" s="21"/>
      <c r="FHB1642" s="21"/>
      <c r="FHC1642" s="21"/>
      <c r="FHD1642" s="21"/>
      <c r="FHE1642" s="21"/>
      <c r="FHF1642" s="21"/>
      <c r="FHG1642" s="21"/>
      <c r="FHH1642" s="21"/>
      <c r="FHI1642" s="21"/>
      <c r="FHJ1642" s="21"/>
      <c r="FHK1642" s="21"/>
      <c r="FHL1642" s="21"/>
      <c r="FHM1642" s="21"/>
      <c r="FHN1642" s="21"/>
      <c r="FHO1642" s="21"/>
      <c r="FHP1642" s="21"/>
      <c r="FHQ1642" s="21"/>
      <c r="FHR1642" s="21"/>
      <c r="FHS1642" s="21"/>
      <c r="FHT1642" s="21"/>
      <c r="FHU1642" s="21"/>
      <c r="FHV1642" s="21"/>
      <c r="FHW1642" s="21"/>
      <c r="FHX1642" s="21"/>
      <c r="FHY1642" s="21"/>
      <c r="FHZ1642" s="21"/>
      <c r="FIA1642" s="21"/>
      <c r="FIB1642" s="21"/>
      <c r="FIC1642" s="21"/>
      <c r="FID1642" s="21"/>
      <c r="FIE1642" s="21"/>
      <c r="FIF1642" s="21"/>
      <c r="FIG1642" s="21"/>
      <c r="FIH1642" s="21"/>
      <c r="FII1642" s="21"/>
      <c r="FIJ1642" s="21"/>
      <c r="FIK1642" s="21"/>
      <c r="FIL1642" s="21"/>
      <c r="FIM1642" s="21"/>
      <c r="FIN1642" s="21"/>
      <c r="FIO1642" s="21"/>
      <c r="FIP1642" s="21"/>
      <c r="FIQ1642" s="21"/>
      <c r="FIR1642" s="21"/>
      <c r="FIS1642" s="21"/>
      <c r="FIT1642" s="21"/>
      <c r="FIU1642" s="21"/>
      <c r="FIV1642" s="21"/>
      <c r="FIW1642" s="21"/>
      <c r="FIX1642" s="21"/>
      <c r="FIY1642" s="21"/>
      <c r="FIZ1642" s="21"/>
      <c r="FJA1642" s="21"/>
      <c r="FJB1642" s="21"/>
      <c r="FJC1642" s="21"/>
      <c r="FJD1642" s="21"/>
      <c r="FJE1642" s="21"/>
      <c r="FJF1642" s="21"/>
      <c r="FJG1642" s="21"/>
      <c r="FJH1642" s="21"/>
      <c r="FJI1642" s="21"/>
      <c r="FJJ1642" s="21"/>
      <c r="FJK1642" s="21"/>
      <c r="FJL1642" s="21"/>
      <c r="FJM1642" s="21"/>
      <c r="FJN1642" s="21"/>
      <c r="FJO1642" s="21"/>
      <c r="FJP1642" s="21"/>
      <c r="FJQ1642" s="21"/>
      <c r="FJR1642" s="21"/>
      <c r="FJS1642" s="21"/>
      <c r="FJT1642" s="21"/>
      <c r="FJU1642" s="21"/>
      <c r="FJV1642" s="21"/>
      <c r="FJW1642" s="21"/>
      <c r="FJX1642" s="21"/>
      <c r="FJY1642" s="21"/>
      <c r="FJZ1642" s="21"/>
      <c r="FKA1642" s="21"/>
      <c r="FKB1642" s="21"/>
      <c r="FKC1642" s="21"/>
      <c r="FKD1642" s="21"/>
      <c r="FKE1642" s="21"/>
      <c r="FKF1642" s="21"/>
      <c r="FKG1642" s="21"/>
      <c r="FKH1642" s="21"/>
      <c r="FKI1642" s="21"/>
      <c r="FKJ1642" s="21"/>
      <c r="FKK1642" s="21"/>
      <c r="FKL1642" s="21"/>
      <c r="FKM1642" s="21"/>
      <c r="FKN1642" s="21"/>
      <c r="FKO1642" s="21"/>
      <c r="FKP1642" s="21"/>
      <c r="FKQ1642" s="21"/>
      <c r="FKR1642" s="21"/>
      <c r="FKS1642" s="21"/>
      <c r="FKT1642" s="21"/>
      <c r="FKU1642" s="21"/>
      <c r="FKV1642" s="21"/>
      <c r="FKW1642" s="21"/>
      <c r="FKX1642" s="21"/>
      <c r="FKY1642" s="21"/>
      <c r="FKZ1642" s="21"/>
      <c r="FLA1642" s="21"/>
      <c r="FLB1642" s="21"/>
      <c r="FLC1642" s="21"/>
      <c r="FLD1642" s="21"/>
      <c r="FLE1642" s="21"/>
      <c r="FLF1642" s="21"/>
      <c r="FLG1642" s="21"/>
      <c r="FLH1642" s="21"/>
      <c r="FLI1642" s="21"/>
      <c r="FLJ1642" s="21"/>
      <c r="FLK1642" s="21"/>
      <c r="FLL1642" s="21"/>
      <c r="FLM1642" s="21"/>
      <c r="FLN1642" s="21"/>
      <c r="FLO1642" s="21"/>
      <c r="FLP1642" s="21"/>
      <c r="FLQ1642" s="21"/>
      <c r="FLR1642" s="21"/>
      <c r="FLS1642" s="21"/>
      <c r="FLT1642" s="21"/>
      <c r="FLU1642" s="21"/>
      <c r="FLV1642" s="21"/>
      <c r="FLW1642" s="21"/>
      <c r="FLX1642" s="21"/>
      <c r="FLY1642" s="21"/>
      <c r="FLZ1642" s="21"/>
      <c r="FMA1642" s="21"/>
      <c r="FMB1642" s="21"/>
      <c r="FMC1642" s="21"/>
      <c r="FMD1642" s="21"/>
      <c r="FME1642" s="21"/>
      <c r="FMF1642" s="21"/>
      <c r="FMG1642" s="21"/>
      <c r="FMH1642" s="21"/>
      <c r="FMI1642" s="21"/>
      <c r="FMJ1642" s="21"/>
      <c r="FMK1642" s="21"/>
      <c r="FML1642" s="21"/>
      <c r="FMM1642" s="21"/>
      <c r="FMN1642" s="21"/>
      <c r="FMO1642" s="21"/>
      <c r="FMP1642" s="21"/>
      <c r="FMQ1642" s="21"/>
      <c r="FMR1642" s="21"/>
      <c r="FMS1642" s="21"/>
      <c r="FMT1642" s="21"/>
      <c r="FMU1642" s="21"/>
      <c r="FMV1642" s="21"/>
      <c r="FMW1642" s="21"/>
      <c r="FMX1642" s="21"/>
      <c r="FMY1642" s="21"/>
      <c r="FMZ1642" s="21"/>
      <c r="FNA1642" s="21"/>
      <c r="FNB1642" s="21"/>
      <c r="FNC1642" s="21"/>
      <c r="FND1642" s="21"/>
      <c r="FNE1642" s="21"/>
      <c r="FNF1642" s="21"/>
      <c r="FNG1642" s="21"/>
      <c r="FNH1642" s="21"/>
      <c r="FNI1642" s="21"/>
      <c r="FNJ1642" s="21"/>
      <c r="FNK1642" s="21"/>
      <c r="FNL1642" s="21"/>
      <c r="FNM1642" s="21"/>
      <c r="FNN1642" s="21"/>
      <c r="FNO1642" s="21"/>
      <c r="FNP1642" s="21"/>
      <c r="FNQ1642" s="21"/>
      <c r="FNR1642" s="21"/>
      <c r="FNS1642" s="21"/>
      <c r="FNT1642" s="21"/>
      <c r="FNU1642" s="21"/>
      <c r="FNV1642" s="21"/>
      <c r="FNW1642" s="21"/>
      <c r="FNX1642" s="21"/>
      <c r="FNY1642" s="21"/>
      <c r="FNZ1642" s="21"/>
      <c r="FOA1642" s="21"/>
      <c r="FOB1642" s="21"/>
      <c r="FOC1642" s="21"/>
      <c r="FOD1642" s="21"/>
      <c r="FOE1642" s="21"/>
      <c r="FOF1642" s="21"/>
      <c r="FOG1642" s="21"/>
      <c r="FOH1642" s="21"/>
      <c r="FOI1642" s="21"/>
      <c r="FOJ1642" s="21"/>
      <c r="FOK1642" s="21"/>
      <c r="FOL1642" s="21"/>
      <c r="FOM1642" s="21"/>
      <c r="FON1642" s="21"/>
      <c r="FOO1642" s="21"/>
      <c r="FOP1642" s="21"/>
      <c r="FOQ1642" s="21"/>
      <c r="FOR1642" s="21"/>
      <c r="FOS1642" s="21"/>
      <c r="FOT1642" s="21"/>
      <c r="FOU1642" s="21"/>
      <c r="FOV1642" s="21"/>
      <c r="FOW1642" s="21"/>
      <c r="FOX1642" s="21"/>
      <c r="FOY1642" s="21"/>
      <c r="FOZ1642" s="21"/>
      <c r="FPA1642" s="21"/>
      <c r="FPB1642" s="21"/>
      <c r="FPC1642" s="21"/>
      <c r="FPD1642" s="21"/>
      <c r="FPE1642" s="21"/>
      <c r="FPF1642" s="21"/>
      <c r="FPG1642" s="21"/>
      <c r="FPH1642" s="21"/>
      <c r="FPI1642" s="21"/>
      <c r="FPJ1642" s="21"/>
      <c r="FPK1642" s="21"/>
      <c r="FPL1642" s="21"/>
      <c r="FPM1642" s="21"/>
      <c r="FPN1642" s="21"/>
      <c r="FPO1642" s="21"/>
      <c r="FPP1642" s="21"/>
      <c r="FPQ1642" s="21"/>
      <c r="FPR1642" s="21"/>
      <c r="FPS1642" s="21"/>
      <c r="FPT1642" s="21"/>
      <c r="FPU1642" s="21"/>
      <c r="FPV1642" s="21"/>
      <c r="FPW1642" s="21"/>
      <c r="FPX1642" s="21"/>
      <c r="FPY1642" s="21"/>
      <c r="FPZ1642" s="21"/>
      <c r="FQA1642" s="21"/>
      <c r="FQB1642" s="21"/>
      <c r="FQC1642" s="21"/>
      <c r="FQD1642" s="21"/>
      <c r="FQE1642" s="21"/>
      <c r="FQF1642" s="21"/>
      <c r="FQG1642" s="21"/>
      <c r="FQH1642" s="21"/>
      <c r="FQI1642" s="21"/>
      <c r="FQJ1642" s="21"/>
      <c r="FQK1642" s="21"/>
      <c r="FQL1642" s="21"/>
      <c r="FQM1642" s="21"/>
      <c r="FQN1642" s="21"/>
      <c r="FQO1642" s="21"/>
      <c r="FQP1642" s="21"/>
      <c r="FQQ1642" s="21"/>
      <c r="FQR1642" s="21"/>
      <c r="FQS1642" s="21"/>
      <c r="FQT1642" s="21"/>
      <c r="FQU1642" s="21"/>
      <c r="FQV1642" s="21"/>
      <c r="FQW1642" s="21"/>
      <c r="FQX1642" s="21"/>
      <c r="FQY1642" s="21"/>
      <c r="FQZ1642" s="21"/>
      <c r="FRA1642" s="21"/>
      <c r="FRB1642" s="21"/>
      <c r="FRC1642" s="21"/>
      <c r="FRD1642" s="21"/>
      <c r="FRE1642" s="21"/>
      <c r="FRF1642" s="21"/>
      <c r="FRG1642" s="21"/>
      <c r="FRH1642" s="21"/>
      <c r="FRI1642" s="21"/>
      <c r="FRJ1642" s="21"/>
      <c r="FRK1642" s="21"/>
      <c r="FRL1642" s="21"/>
      <c r="FRM1642" s="21"/>
      <c r="FRN1642" s="21"/>
      <c r="FRO1642" s="21"/>
      <c r="FRP1642" s="21"/>
      <c r="FRQ1642" s="21"/>
      <c r="FRR1642" s="21"/>
      <c r="FRS1642" s="21"/>
      <c r="FRT1642" s="21"/>
      <c r="FRU1642" s="21"/>
      <c r="FRV1642" s="21"/>
      <c r="FRW1642" s="21"/>
      <c r="FRX1642" s="21"/>
      <c r="FRY1642" s="21"/>
      <c r="FRZ1642" s="21"/>
      <c r="FSA1642" s="21"/>
      <c r="FSB1642" s="21"/>
      <c r="FSC1642" s="21"/>
      <c r="FSD1642" s="21"/>
      <c r="FSE1642" s="21"/>
      <c r="FSF1642" s="21"/>
      <c r="FSG1642" s="21"/>
      <c r="FSH1642" s="21"/>
      <c r="FSI1642" s="21"/>
      <c r="FSJ1642" s="21"/>
      <c r="FSK1642" s="21"/>
      <c r="FSL1642" s="21"/>
      <c r="FSM1642" s="21"/>
      <c r="FSN1642" s="21"/>
      <c r="FSO1642" s="21"/>
      <c r="FSP1642" s="21"/>
      <c r="FSQ1642" s="21"/>
      <c r="FSR1642" s="21"/>
      <c r="FSS1642" s="21"/>
      <c r="FST1642" s="21"/>
      <c r="FSU1642" s="21"/>
      <c r="FSV1642" s="21"/>
      <c r="FSW1642" s="21"/>
      <c r="FSX1642" s="21"/>
      <c r="FSY1642" s="21"/>
      <c r="FSZ1642" s="21"/>
      <c r="FTA1642" s="21"/>
      <c r="FTB1642" s="21"/>
      <c r="FTC1642" s="21"/>
      <c r="FTD1642" s="21"/>
      <c r="FTE1642" s="21"/>
      <c r="FTF1642" s="21"/>
      <c r="FTG1642" s="21"/>
      <c r="FTH1642" s="21"/>
      <c r="FTI1642" s="21"/>
      <c r="FTJ1642" s="21"/>
      <c r="FTK1642" s="21"/>
      <c r="FTL1642" s="21"/>
      <c r="FTM1642" s="21"/>
      <c r="FTN1642" s="21"/>
      <c r="FTO1642" s="21"/>
      <c r="FTP1642" s="21"/>
      <c r="FTQ1642" s="21"/>
      <c r="FTR1642" s="21"/>
      <c r="FTS1642" s="21"/>
      <c r="FTT1642" s="21"/>
      <c r="FTU1642" s="21"/>
      <c r="FTV1642" s="21"/>
      <c r="FTW1642" s="21"/>
      <c r="FTX1642" s="21"/>
      <c r="FTY1642" s="21"/>
      <c r="FTZ1642" s="21"/>
      <c r="FUA1642" s="21"/>
      <c r="FUB1642" s="21"/>
      <c r="FUC1642" s="21"/>
      <c r="FUD1642" s="21"/>
      <c r="FUE1642" s="21"/>
      <c r="FUF1642" s="21"/>
      <c r="FUG1642" s="21"/>
      <c r="FUH1642" s="21"/>
      <c r="FUI1642" s="21"/>
      <c r="FUJ1642" s="21"/>
      <c r="FUK1642" s="21"/>
      <c r="FUL1642" s="21"/>
      <c r="FUM1642" s="21"/>
      <c r="FUN1642" s="21"/>
      <c r="FUO1642" s="21"/>
      <c r="FUP1642" s="21"/>
      <c r="FUQ1642" s="21"/>
      <c r="FUR1642" s="21"/>
      <c r="FUS1642" s="21"/>
      <c r="FUT1642" s="21"/>
      <c r="FUU1642" s="21"/>
      <c r="FUV1642" s="21"/>
      <c r="FUW1642" s="21"/>
      <c r="FUX1642" s="21"/>
      <c r="FUY1642" s="21"/>
      <c r="FUZ1642" s="21"/>
      <c r="FVA1642" s="21"/>
      <c r="FVB1642" s="21"/>
      <c r="FVC1642" s="21"/>
      <c r="FVD1642" s="21"/>
      <c r="FVE1642" s="21"/>
      <c r="FVF1642" s="21"/>
      <c r="FVG1642" s="21"/>
      <c r="FVH1642" s="21"/>
      <c r="FVI1642" s="21"/>
      <c r="FVJ1642" s="21"/>
      <c r="FVK1642" s="21"/>
      <c r="FVL1642" s="21"/>
      <c r="FVM1642" s="21"/>
      <c r="FVN1642" s="21"/>
      <c r="FVO1642" s="21"/>
      <c r="FVP1642" s="21"/>
      <c r="FVQ1642" s="21"/>
      <c r="FVR1642" s="21"/>
      <c r="FVS1642" s="21"/>
      <c r="FVT1642" s="21"/>
      <c r="FVU1642" s="21"/>
      <c r="FVV1642" s="21"/>
      <c r="FVW1642" s="21"/>
      <c r="FVX1642" s="21"/>
      <c r="FVY1642" s="21"/>
      <c r="FVZ1642" s="21"/>
      <c r="FWA1642" s="21"/>
      <c r="FWB1642" s="21"/>
      <c r="FWC1642" s="21"/>
      <c r="FWD1642" s="21"/>
      <c r="FWE1642" s="21"/>
      <c r="FWF1642" s="21"/>
      <c r="FWG1642" s="21"/>
      <c r="FWH1642" s="21"/>
      <c r="FWI1642" s="21"/>
      <c r="FWJ1642" s="21"/>
      <c r="FWK1642" s="21"/>
      <c r="FWL1642" s="21"/>
      <c r="FWM1642" s="21"/>
      <c r="FWN1642" s="21"/>
      <c r="FWO1642" s="21"/>
      <c r="FWP1642" s="21"/>
      <c r="FWQ1642" s="21"/>
      <c r="FWR1642" s="21"/>
      <c r="FWS1642" s="21"/>
      <c r="FWT1642" s="21"/>
      <c r="FWU1642" s="21"/>
      <c r="FWV1642" s="21"/>
      <c r="FWW1642" s="21"/>
      <c r="FWX1642" s="21"/>
      <c r="FWY1642" s="21"/>
      <c r="FWZ1642" s="21"/>
      <c r="FXA1642" s="21"/>
      <c r="FXB1642" s="21"/>
      <c r="FXC1642" s="21"/>
      <c r="FXD1642" s="21"/>
      <c r="FXE1642" s="21"/>
      <c r="FXF1642" s="21"/>
      <c r="FXG1642" s="21"/>
      <c r="FXH1642" s="21"/>
      <c r="FXI1642" s="21"/>
      <c r="FXJ1642" s="21"/>
      <c r="FXK1642" s="21"/>
      <c r="FXL1642" s="21"/>
      <c r="FXM1642" s="21"/>
      <c r="FXN1642" s="21"/>
      <c r="FXO1642" s="21"/>
      <c r="FXP1642" s="21"/>
      <c r="FXQ1642" s="21"/>
      <c r="FXR1642" s="21"/>
      <c r="FXS1642" s="21"/>
      <c r="FXT1642" s="21"/>
      <c r="FXU1642" s="21"/>
      <c r="FXV1642" s="21"/>
      <c r="FXW1642" s="21"/>
      <c r="FXX1642" s="21"/>
      <c r="FXY1642" s="21"/>
      <c r="FXZ1642" s="21"/>
      <c r="FYA1642" s="21"/>
      <c r="FYB1642" s="21"/>
      <c r="FYC1642" s="21"/>
      <c r="FYD1642" s="21"/>
      <c r="FYE1642" s="21"/>
      <c r="FYF1642" s="21"/>
      <c r="FYG1642" s="21"/>
      <c r="FYH1642" s="21"/>
      <c r="FYI1642" s="21"/>
      <c r="FYJ1642" s="21"/>
      <c r="FYK1642" s="21"/>
      <c r="FYL1642" s="21"/>
      <c r="FYM1642" s="21"/>
      <c r="FYN1642" s="21"/>
      <c r="FYO1642" s="21"/>
      <c r="FYP1642" s="21"/>
      <c r="FYQ1642" s="21"/>
      <c r="FYR1642" s="21"/>
      <c r="FYS1642" s="21"/>
      <c r="FYT1642" s="21"/>
      <c r="FYU1642" s="21"/>
      <c r="FYV1642" s="21"/>
      <c r="FYW1642" s="21"/>
      <c r="FYX1642" s="21"/>
      <c r="FYY1642" s="21"/>
      <c r="FYZ1642" s="21"/>
      <c r="FZA1642" s="21"/>
      <c r="FZB1642" s="21"/>
      <c r="FZC1642" s="21"/>
      <c r="FZD1642" s="21"/>
      <c r="FZE1642" s="21"/>
      <c r="FZF1642" s="21"/>
      <c r="FZG1642" s="21"/>
      <c r="FZH1642" s="21"/>
      <c r="FZI1642" s="21"/>
      <c r="FZJ1642" s="21"/>
      <c r="FZK1642" s="21"/>
      <c r="FZL1642" s="21"/>
      <c r="FZM1642" s="21"/>
      <c r="FZN1642" s="21"/>
      <c r="FZO1642" s="21"/>
      <c r="FZP1642" s="21"/>
      <c r="FZQ1642" s="21"/>
      <c r="FZR1642" s="21"/>
      <c r="FZS1642" s="21"/>
      <c r="FZT1642" s="21"/>
      <c r="FZU1642" s="21"/>
      <c r="FZV1642" s="21"/>
      <c r="FZW1642" s="21"/>
      <c r="FZX1642" s="21"/>
      <c r="FZY1642" s="21"/>
      <c r="FZZ1642" s="21"/>
      <c r="GAA1642" s="21"/>
      <c r="GAB1642" s="21"/>
      <c r="GAC1642" s="21"/>
      <c r="GAD1642" s="21"/>
      <c r="GAE1642" s="21"/>
      <c r="GAF1642" s="21"/>
      <c r="GAG1642" s="21"/>
      <c r="GAH1642" s="21"/>
      <c r="GAI1642" s="21"/>
      <c r="GAJ1642" s="21"/>
      <c r="GAK1642" s="21"/>
      <c r="GAL1642" s="21"/>
      <c r="GAM1642" s="21"/>
      <c r="GAN1642" s="21"/>
      <c r="GAO1642" s="21"/>
      <c r="GAP1642" s="21"/>
      <c r="GAQ1642" s="21"/>
      <c r="GAR1642" s="21"/>
      <c r="GAS1642" s="21"/>
      <c r="GAT1642" s="21"/>
      <c r="GAU1642" s="21"/>
      <c r="GAV1642" s="21"/>
      <c r="GAW1642" s="21"/>
      <c r="GAX1642" s="21"/>
      <c r="GAY1642" s="21"/>
      <c r="GAZ1642" s="21"/>
      <c r="GBA1642" s="21"/>
      <c r="GBB1642" s="21"/>
      <c r="GBC1642" s="21"/>
      <c r="GBD1642" s="21"/>
      <c r="GBE1642" s="21"/>
      <c r="GBF1642" s="21"/>
      <c r="GBG1642" s="21"/>
      <c r="GBH1642" s="21"/>
      <c r="GBI1642" s="21"/>
      <c r="GBJ1642" s="21"/>
      <c r="GBK1642" s="21"/>
      <c r="GBL1642" s="21"/>
      <c r="GBM1642" s="21"/>
      <c r="GBN1642" s="21"/>
      <c r="GBO1642" s="21"/>
      <c r="GBP1642" s="21"/>
      <c r="GBQ1642" s="21"/>
      <c r="GBR1642" s="21"/>
      <c r="GBS1642" s="21"/>
      <c r="GBT1642" s="21"/>
      <c r="GBU1642" s="21"/>
      <c r="GBV1642" s="21"/>
      <c r="GBW1642" s="21"/>
      <c r="GBX1642" s="21"/>
      <c r="GBY1642" s="21"/>
      <c r="GBZ1642" s="21"/>
      <c r="GCA1642" s="21"/>
      <c r="GCB1642" s="21"/>
      <c r="GCC1642" s="21"/>
      <c r="GCD1642" s="21"/>
      <c r="GCE1642" s="21"/>
      <c r="GCF1642" s="21"/>
      <c r="GCG1642" s="21"/>
      <c r="GCH1642" s="21"/>
      <c r="GCI1642" s="21"/>
      <c r="GCJ1642" s="21"/>
      <c r="GCK1642" s="21"/>
      <c r="GCL1642" s="21"/>
      <c r="GCM1642" s="21"/>
      <c r="GCN1642" s="21"/>
      <c r="GCO1642" s="21"/>
      <c r="GCP1642" s="21"/>
      <c r="GCQ1642" s="21"/>
      <c r="GCR1642" s="21"/>
      <c r="GCS1642" s="21"/>
      <c r="GCT1642" s="21"/>
      <c r="GCU1642" s="21"/>
      <c r="GCV1642" s="21"/>
      <c r="GCW1642" s="21"/>
      <c r="GCX1642" s="21"/>
      <c r="GCY1642" s="21"/>
      <c r="GCZ1642" s="21"/>
      <c r="GDA1642" s="21"/>
      <c r="GDB1642" s="21"/>
      <c r="GDC1642" s="21"/>
      <c r="GDD1642" s="21"/>
      <c r="GDE1642" s="21"/>
      <c r="GDF1642" s="21"/>
      <c r="GDG1642" s="21"/>
      <c r="GDH1642" s="21"/>
      <c r="GDI1642" s="21"/>
      <c r="GDJ1642" s="21"/>
      <c r="GDK1642" s="21"/>
      <c r="GDL1642" s="21"/>
      <c r="GDM1642" s="21"/>
      <c r="GDN1642" s="21"/>
      <c r="GDO1642" s="21"/>
      <c r="GDP1642" s="21"/>
      <c r="GDQ1642" s="21"/>
      <c r="GDR1642" s="21"/>
      <c r="GDS1642" s="21"/>
      <c r="GDT1642" s="21"/>
      <c r="GDU1642" s="21"/>
      <c r="GDV1642" s="21"/>
      <c r="GDW1642" s="21"/>
      <c r="GDX1642" s="21"/>
      <c r="GDY1642" s="21"/>
      <c r="GDZ1642" s="21"/>
      <c r="GEA1642" s="21"/>
      <c r="GEB1642" s="21"/>
      <c r="GEC1642" s="21"/>
      <c r="GED1642" s="21"/>
      <c r="GEE1642" s="21"/>
      <c r="GEF1642" s="21"/>
      <c r="GEG1642" s="21"/>
      <c r="GEH1642" s="21"/>
      <c r="GEI1642" s="21"/>
      <c r="GEJ1642" s="21"/>
      <c r="GEK1642" s="21"/>
      <c r="GEL1642" s="21"/>
      <c r="GEM1642" s="21"/>
      <c r="GEN1642" s="21"/>
      <c r="GEO1642" s="21"/>
      <c r="GEP1642" s="21"/>
      <c r="GEQ1642" s="21"/>
      <c r="GER1642" s="21"/>
      <c r="GES1642" s="21"/>
      <c r="GET1642" s="21"/>
      <c r="GEU1642" s="21"/>
      <c r="GEV1642" s="21"/>
      <c r="GEW1642" s="21"/>
      <c r="GEX1642" s="21"/>
      <c r="GEY1642" s="21"/>
      <c r="GEZ1642" s="21"/>
      <c r="GFA1642" s="21"/>
      <c r="GFB1642" s="21"/>
      <c r="GFC1642" s="21"/>
      <c r="GFD1642" s="21"/>
      <c r="GFE1642" s="21"/>
      <c r="GFF1642" s="21"/>
      <c r="GFG1642" s="21"/>
      <c r="GFH1642" s="21"/>
      <c r="GFI1642" s="21"/>
      <c r="GFJ1642" s="21"/>
      <c r="GFK1642" s="21"/>
      <c r="GFL1642" s="21"/>
      <c r="GFM1642" s="21"/>
      <c r="GFN1642" s="21"/>
      <c r="GFO1642" s="21"/>
      <c r="GFP1642" s="21"/>
      <c r="GFQ1642" s="21"/>
      <c r="GFR1642" s="21"/>
      <c r="GFS1642" s="21"/>
      <c r="GFT1642" s="21"/>
      <c r="GFU1642" s="21"/>
      <c r="GFV1642" s="21"/>
      <c r="GFW1642" s="21"/>
      <c r="GFX1642" s="21"/>
      <c r="GFY1642" s="21"/>
      <c r="GFZ1642" s="21"/>
      <c r="GGA1642" s="21"/>
      <c r="GGB1642" s="21"/>
      <c r="GGC1642" s="21"/>
      <c r="GGD1642" s="21"/>
      <c r="GGE1642" s="21"/>
      <c r="GGF1642" s="21"/>
      <c r="GGG1642" s="21"/>
      <c r="GGH1642" s="21"/>
      <c r="GGI1642" s="21"/>
      <c r="GGJ1642" s="21"/>
      <c r="GGK1642" s="21"/>
      <c r="GGL1642" s="21"/>
      <c r="GGM1642" s="21"/>
      <c r="GGN1642" s="21"/>
      <c r="GGO1642" s="21"/>
      <c r="GGP1642" s="21"/>
      <c r="GGQ1642" s="21"/>
      <c r="GGR1642" s="21"/>
      <c r="GGS1642" s="21"/>
      <c r="GGT1642" s="21"/>
      <c r="GGU1642" s="21"/>
      <c r="GGV1642" s="21"/>
      <c r="GGW1642" s="21"/>
      <c r="GGX1642" s="21"/>
      <c r="GGY1642" s="21"/>
      <c r="GGZ1642" s="21"/>
      <c r="GHA1642" s="21"/>
      <c r="GHB1642" s="21"/>
      <c r="GHC1642" s="21"/>
      <c r="GHD1642" s="21"/>
      <c r="GHE1642" s="21"/>
      <c r="GHF1642" s="21"/>
      <c r="GHG1642" s="21"/>
      <c r="GHH1642" s="21"/>
      <c r="GHI1642" s="21"/>
      <c r="GHJ1642" s="21"/>
      <c r="GHK1642" s="21"/>
      <c r="GHL1642" s="21"/>
      <c r="GHM1642" s="21"/>
      <c r="GHN1642" s="21"/>
      <c r="GHO1642" s="21"/>
      <c r="GHP1642" s="21"/>
      <c r="GHQ1642" s="21"/>
      <c r="GHR1642" s="21"/>
      <c r="GHS1642" s="21"/>
      <c r="GHT1642" s="21"/>
      <c r="GHU1642" s="21"/>
      <c r="GHV1642" s="21"/>
      <c r="GHW1642" s="21"/>
      <c r="GHX1642" s="21"/>
      <c r="GHY1642" s="21"/>
      <c r="GHZ1642" s="21"/>
      <c r="GIA1642" s="21"/>
      <c r="GIB1642" s="21"/>
      <c r="GIC1642" s="21"/>
      <c r="GID1642" s="21"/>
      <c r="GIE1642" s="21"/>
      <c r="GIF1642" s="21"/>
      <c r="GIG1642" s="21"/>
      <c r="GIH1642" s="21"/>
      <c r="GII1642" s="21"/>
      <c r="GIJ1642" s="21"/>
      <c r="GIK1642" s="21"/>
      <c r="GIL1642" s="21"/>
      <c r="GIM1642" s="21"/>
      <c r="GIN1642" s="21"/>
      <c r="GIO1642" s="21"/>
      <c r="GIP1642" s="21"/>
      <c r="GIQ1642" s="21"/>
      <c r="GIR1642" s="21"/>
      <c r="GIS1642" s="21"/>
      <c r="GIT1642" s="21"/>
      <c r="GIU1642" s="21"/>
      <c r="GIV1642" s="21"/>
      <c r="GIW1642" s="21"/>
      <c r="GIX1642" s="21"/>
      <c r="GIY1642" s="21"/>
      <c r="GIZ1642" s="21"/>
      <c r="GJA1642" s="21"/>
      <c r="GJB1642" s="21"/>
      <c r="GJC1642" s="21"/>
      <c r="GJD1642" s="21"/>
      <c r="GJE1642" s="21"/>
      <c r="GJF1642" s="21"/>
      <c r="GJG1642" s="21"/>
      <c r="GJH1642" s="21"/>
      <c r="GJI1642" s="21"/>
      <c r="GJJ1642" s="21"/>
      <c r="GJK1642" s="21"/>
      <c r="GJL1642" s="21"/>
      <c r="GJM1642" s="21"/>
      <c r="GJN1642" s="21"/>
      <c r="GJO1642" s="21"/>
      <c r="GJP1642" s="21"/>
      <c r="GJQ1642" s="21"/>
      <c r="GJR1642" s="21"/>
      <c r="GJS1642" s="21"/>
      <c r="GJT1642" s="21"/>
      <c r="GJU1642" s="21"/>
      <c r="GJV1642" s="21"/>
      <c r="GJW1642" s="21"/>
      <c r="GJX1642" s="21"/>
      <c r="GJY1642" s="21"/>
      <c r="GJZ1642" s="21"/>
      <c r="GKA1642" s="21"/>
      <c r="GKB1642" s="21"/>
      <c r="GKC1642" s="21"/>
      <c r="GKD1642" s="21"/>
      <c r="GKE1642" s="21"/>
      <c r="GKF1642" s="21"/>
      <c r="GKG1642" s="21"/>
      <c r="GKH1642" s="21"/>
      <c r="GKI1642" s="21"/>
      <c r="GKJ1642" s="21"/>
      <c r="GKK1642" s="21"/>
      <c r="GKL1642" s="21"/>
      <c r="GKM1642" s="21"/>
      <c r="GKN1642" s="21"/>
      <c r="GKO1642" s="21"/>
      <c r="GKP1642" s="21"/>
      <c r="GKQ1642" s="21"/>
      <c r="GKR1642" s="21"/>
      <c r="GKS1642" s="21"/>
      <c r="GKT1642" s="21"/>
      <c r="GKU1642" s="21"/>
      <c r="GKV1642" s="21"/>
      <c r="GKW1642" s="21"/>
      <c r="GKX1642" s="21"/>
      <c r="GKY1642" s="21"/>
      <c r="GKZ1642" s="21"/>
      <c r="GLA1642" s="21"/>
      <c r="GLB1642" s="21"/>
      <c r="GLC1642" s="21"/>
      <c r="GLD1642" s="21"/>
      <c r="GLE1642" s="21"/>
      <c r="GLF1642" s="21"/>
      <c r="GLG1642" s="21"/>
      <c r="GLH1642" s="21"/>
      <c r="GLI1642" s="21"/>
      <c r="GLJ1642" s="21"/>
      <c r="GLK1642" s="21"/>
      <c r="GLL1642" s="21"/>
      <c r="GLM1642" s="21"/>
      <c r="GLN1642" s="21"/>
      <c r="GLO1642" s="21"/>
      <c r="GLP1642" s="21"/>
      <c r="GLQ1642" s="21"/>
      <c r="GLR1642" s="21"/>
      <c r="GLS1642" s="21"/>
      <c r="GLT1642" s="21"/>
      <c r="GLU1642" s="21"/>
      <c r="GLV1642" s="21"/>
      <c r="GLW1642" s="21"/>
      <c r="GLX1642" s="21"/>
      <c r="GLY1642" s="21"/>
      <c r="GLZ1642" s="21"/>
      <c r="GMA1642" s="21"/>
      <c r="GMB1642" s="21"/>
      <c r="GMC1642" s="21"/>
      <c r="GMD1642" s="21"/>
      <c r="GME1642" s="21"/>
      <c r="GMF1642" s="21"/>
      <c r="GMG1642" s="21"/>
      <c r="GMH1642" s="21"/>
      <c r="GMI1642" s="21"/>
      <c r="GMJ1642" s="21"/>
      <c r="GMK1642" s="21"/>
      <c r="GML1642" s="21"/>
      <c r="GMM1642" s="21"/>
      <c r="GMN1642" s="21"/>
      <c r="GMO1642" s="21"/>
      <c r="GMP1642" s="21"/>
      <c r="GMQ1642" s="21"/>
      <c r="GMR1642" s="21"/>
      <c r="GMS1642" s="21"/>
      <c r="GMT1642" s="21"/>
      <c r="GMU1642" s="21"/>
      <c r="GMV1642" s="21"/>
      <c r="GMW1642" s="21"/>
      <c r="GMX1642" s="21"/>
      <c r="GMY1642" s="21"/>
      <c r="GMZ1642" s="21"/>
      <c r="GNA1642" s="21"/>
      <c r="GNB1642" s="21"/>
      <c r="GNC1642" s="21"/>
      <c r="GND1642" s="21"/>
      <c r="GNE1642" s="21"/>
      <c r="GNF1642" s="21"/>
      <c r="GNG1642" s="21"/>
      <c r="GNH1642" s="21"/>
      <c r="GNI1642" s="21"/>
      <c r="GNJ1642" s="21"/>
      <c r="GNK1642" s="21"/>
      <c r="GNL1642" s="21"/>
      <c r="GNM1642" s="21"/>
      <c r="GNN1642" s="21"/>
      <c r="GNO1642" s="21"/>
      <c r="GNP1642" s="21"/>
      <c r="GNQ1642" s="21"/>
      <c r="GNR1642" s="21"/>
      <c r="GNS1642" s="21"/>
      <c r="GNT1642" s="21"/>
      <c r="GNU1642" s="21"/>
      <c r="GNV1642" s="21"/>
      <c r="GNW1642" s="21"/>
      <c r="GNX1642" s="21"/>
      <c r="GNY1642" s="21"/>
      <c r="GNZ1642" s="21"/>
      <c r="GOA1642" s="21"/>
      <c r="GOB1642" s="21"/>
      <c r="GOC1642" s="21"/>
      <c r="GOD1642" s="21"/>
      <c r="GOE1642" s="21"/>
      <c r="GOF1642" s="21"/>
      <c r="GOG1642" s="21"/>
      <c r="GOH1642" s="21"/>
      <c r="GOI1642" s="21"/>
      <c r="GOJ1642" s="21"/>
      <c r="GOK1642" s="21"/>
      <c r="GOL1642" s="21"/>
      <c r="GOM1642" s="21"/>
      <c r="GON1642" s="21"/>
      <c r="GOO1642" s="21"/>
      <c r="GOP1642" s="21"/>
      <c r="GOQ1642" s="21"/>
      <c r="GOR1642" s="21"/>
      <c r="GOS1642" s="21"/>
      <c r="GOT1642" s="21"/>
      <c r="GOU1642" s="21"/>
      <c r="GOV1642" s="21"/>
      <c r="GOW1642" s="21"/>
      <c r="GOX1642" s="21"/>
      <c r="GOY1642" s="21"/>
      <c r="GOZ1642" s="21"/>
      <c r="GPA1642" s="21"/>
      <c r="GPB1642" s="21"/>
      <c r="GPC1642" s="21"/>
      <c r="GPD1642" s="21"/>
      <c r="GPE1642" s="21"/>
      <c r="GPF1642" s="21"/>
      <c r="GPG1642" s="21"/>
      <c r="GPH1642" s="21"/>
      <c r="GPI1642" s="21"/>
      <c r="GPJ1642" s="21"/>
      <c r="GPK1642" s="21"/>
      <c r="GPL1642" s="21"/>
      <c r="GPM1642" s="21"/>
      <c r="GPN1642" s="21"/>
      <c r="GPO1642" s="21"/>
      <c r="GPP1642" s="21"/>
      <c r="GPQ1642" s="21"/>
      <c r="GPR1642" s="21"/>
      <c r="GPS1642" s="21"/>
      <c r="GPT1642" s="21"/>
      <c r="GPU1642" s="21"/>
      <c r="GPV1642" s="21"/>
      <c r="GPW1642" s="21"/>
      <c r="GPX1642" s="21"/>
      <c r="GPY1642" s="21"/>
      <c r="GPZ1642" s="21"/>
      <c r="GQA1642" s="21"/>
      <c r="GQB1642" s="21"/>
      <c r="GQC1642" s="21"/>
      <c r="GQD1642" s="21"/>
      <c r="GQE1642" s="21"/>
      <c r="GQF1642" s="21"/>
      <c r="GQG1642" s="21"/>
      <c r="GQH1642" s="21"/>
      <c r="GQI1642" s="21"/>
      <c r="GQJ1642" s="21"/>
      <c r="GQK1642" s="21"/>
      <c r="GQL1642" s="21"/>
      <c r="GQM1642" s="21"/>
      <c r="GQN1642" s="21"/>
      <c r="GQO1642" s="21"/>
      <c r="GQP1642" s="21"/>
      <c r="GQQ1642" s="21"/>
      <c r="GQR1642" s="21"/>
      <c r="GQS1642" s="21"/>
      <c r="GQT1642" s="21"/>
      <c r="GQU1642" s="21"/>
      <c r="GQV1642" s="21"/>
      <c r="GQW1642" s="21"/>
      <c r="GQX1642" s="21"/>
      <c r="GQY1642" s="21"/>
      <c r="GQZ1642" s="21"/>
      <c r="GRA1642" s="21"/>
      <c r="GRB1642" s="21"/>
      <c r="GRC1642" s="21"/>
      <c r="GRD1642" s="21"/>
      <c r="GRE1642" s="21"/>
      <c r="GRF1642" s="21"/>
      <c r="GRG1642" s="21"/>
      <c r="GRH1642" s="21"/>
      <c r="GRI1642" s="21"/>
      <c r="GRJ1642" s="21"/>
      <c r="GRK1642" s="21"/>
      <c r="GRL1642" s="21"/>
      <c r="GRM1642" s="21"/>
      <c r="GRN1642" s="21"/>
      <c r="GRO1642" s="21"/>
      <c r="GRP1642" s="21"/>
      <c r="GRQ1642" s="21"/>
      <c r="GRR1642" s="21"/>
      <c r="GRS1642" s="21"/>
      <c r="GRT1642" s="21"/>
      <c r="GRU1642" s="21"/>
      <c r="GRV1642" s="21"/>
      <c r="GRW1642" s="21"/>
      <c r="GRX1642" s="21"/>
      <c r="GRY1642" s="21"/>
      <c r="GRZ1642" s="21"/>
      <c r="GSA1642" s="21"/>
      <c r="GSB1642" s="21"/>
      <c r="GSC1642" s="21"/>
      <c r="GSD1642" s="21"/>
      <c r="GSE1642" s="21"/>
      <c r="GSF1642" s="21"/>
      <c r="GSG1642" s="21"/>
      <c r="GSH1642" s="21"/>
      <c r="GSI1642" s="21"/>
      <c r="GSJ1642" s="21"/>
      <c r="GSK1642" s="21"/>
      <c r="GSL1642" s="21"/>
      <c r="GSM1642" s="21"/>
      <c r="GSN1642" s="21"/>
      <c r="GSO1642" s="21"/>
      <c r="GSP1642" s="21"/>
      <c r="GSQ1642" s="21"/>
      <c r="GSR1642" s="21"/>
      <c r="GSS1642" s="21"/>
      <c r="GST1642" s="21"/>
      <c r="GSU1642" s="21"/>
      <c r="GSV1642" s="21"/>
      <c r="GSW1642" s="21"/>
      <c r="GSX1642" s="21"/>
      <c r="GSY1642" s="21"/>
      <c r="GSZ1642" s="21"/>
      <c r="GTA1642" s="21"/>
      <c r="GTB1642" s="21"/>
      <c r="GTC1642" s="21"/>
      <c r="GTD1642" s="21"/>
      <c r="GTE1642" s="21"/>
      <c r="GTF1642" s="21"/>
      <c r="GTG1642" s="21"/>
      <c r="GTH1642" s="21"/>
      <c r="GTI1642" s="21"/>
      <c r="GTJ1642" s="21"/>
      <c r="GTK1642" s="21"/>
      <c r="GTL1642" s="21"/>
      <c r="GTM1642" s="21"/>
      <c r="GTN1642" s="21"/>
      <c r="GTO1642" s="21"/>
      <c r="GTP1642" s="21"/>
      <c r="GTQ1642" s="21"/>
      <c r="GTR1642" s="21"/>
      <c r="GTS1642" s="21"/>
      <c r="GTT1642" s="21"/>
      <c r="GTU1642" s="21"/>
      <c r="GTV1642" s="21"/>
      <c r="GTW1642" s="21"/>
      <c r="GTX1642" s="21"/>
      <c r="GTY1642" s="21"/>
      <c r="GTZ1642" s="21"/>
      <c r="GUA1642" s="21"/>
      <c r="GUB1642" s="21"/>
      <c r="GUC1642" s="21"/>
      <c r="GUD1642" s="21"/>
      <c r="GUE1642" s="21"/>
      <c r="GUF1642" s="21"/>
      <c r="GUG1642" s="21"/>
      <c r="GUH1642" s="21"/>
      <c r="GUI1642" s="21"/>
      <c r="GUJ1642" s="21"/>
      <c r="GUK1642" s="21"/>
      <c r="GUL1642" s="21"/>
      <c r="GUM1642" s="21"/>
      <c r="GUN1642" s="21"/>
      <c r="GUO1642" s="21"/>
      <c r="GUP1642" s="21"/>
      <c r="GUQ1642" s="21"/>
      <c r="GUR1642" s="21"/>
      <c r="GUS1642" s="21"/>
      <c r="GUT1642" s="21"/>
      <c r="GUU1642" s="21"/>
      <c r="GUV1642" s="21"/>
      <c r="GUW1642" s="21"/>
      <c r="GUX1642" s="21"/>
      <c r="GUY1642" s="21"/>
      <c r="GUZ1642" s="21"/>
      <c r="GVA1642" s="21"/>
      <c r="GVB1642" s="21"/>
      <c r="GVC1642" s="21"/>
      <c r="GVD1642" s="21"/>
      <c r="GVE1642" s="21"/>
      <c r="GVF1642" s="21"/>
      <c r="GVG1642" s="21"/>
      <c r="GVH1642" s="21"/>
      <c r="GVI1642" s="21"/>
      <c r="GVJ1642" s="21"/>
      <c r="GVK1642" s="21"/>
      <c r="GVL1642" s="21"/>
      <c r="GVM1642" s="21"/>
      <c r="GVN1642" s="21"/>
      <c r="GVO1642" s="21"/>
      <c r="GVP1642" s="21"/>
      <c r="GVQ1642" s="21"/>
      <c r="GVR1642" s="21"/>
      <c r="GVS1642" s="21"/>
      <c r="GVT1642" s="21"/>
      <c r="GVU1642" s="21"/>
      <c r="GVV1642" s="21"/>
      <c r="GVW1642" s="21"/>
      <c r="GVX1642" s="21"/>
      <c r="GVY1642" s="21"/>
      <c r="GVZ1642" s="21"/>
      <c r="GWA1642" s="21"/>
      <c r="GWB1642" s="21"/>
      <c r="GWC1642" s="21"/>
      <c r="GWD1642" s="21"/>
      <c r="GWE1642" s="21"/>
      <c r="GWF1642" s="21"/>
      <c r="GWG1642" s="21"/>
      <c r="GWH1642" s="21"/>
      <c r="GWI1642" s="21"/>
      <c r="GWJ1642" s="21"/>
      <c r="GWK1642" s="21"/>
      <c r="GWL1642" s="21"/>
      <c r="GWM1642" s="21"/>
      <c r="GWN1642" s="21"/>
      <c r="GWO1642" s="21"/>
      <c r="GWP1642" s="21"/>
      <c r="GWQ1642" s="21"/>
      <c r="GWR1642" s="21"/>
      <c r="GWS1642" s="21"/>
      <c r="GWT1642" s="21"/>
      <c r="GWU1642" s="21"/>
      <c r="GWV1642" s="21"/>
      <c r="GWW1642" s="21"/>
      <c r="GWX1642" s="21"/>
      <c r="GWY1642" s="21"/>
      <c r="GWZ1642" s="21"/>
      <c r="GXA1642" s="21"/>
      <c r="GXB1642" s="21"/>
      <c r="GXC1642" s="21"/>
      <c r="GXD1642" s="21"/>
      <c r="GXE1642" s="21"/>
      <c r="GXF1642" s="21"/>
      <c r="GXG1642" s="21"/>
      <c r="GXH1642" s="21"/>
      <c r="GXI1642" s="21"/>
      <c r="GXJ1642" s="21"/>
      <c r="GXK1642" s="21"/>
      <c r="GXL1642" s="21"/>
      <c r="GXM1642" s="21"/>
      <c r="GXN1642" s="21"/>
      <c r="GXO1642" s="21"/>
      <c r="GXP1642" s="21"/>
      <c r="GXQ1642" s="21"/>
      <c r="GXR1642" s="21"/>
      <c r="GXS1642" s="21"/>
      <c r="GXT1642" s="21"/>
      <c r="GXU1642" s="21"/>
      <c r="GXV1642" s="21"/>
      <c r="GXW1642" s="21"/>
      <c r="GXX1642" s="21"/>
      <c r="GXY1642" s="21"/>
      <c r="GXZ1642" s="21"/>
      <c r="GYA1642" s="21"/>
      <c r="GYB1642" s="21"/>
      <c r="GYC1642" s="21"/>
      <c r="GYD1642" s="21"/>
      <c r="GYE1642" s="21"/>
      <c r="GYF1642" s="21"/>
      <c r="GYG1642" s="21"/>
      <c r="GYH1642" s="21"/>
      <c r="GYI1642" s="21"/>
      <c r="GYJ1642" s="21"/>
      <c r="GYK1642" s="21"/>
      <c r="GYL1642" s="21"/>
      <c r="GYM1642" s="21"/>
      <c r="GYN1642" s="21"/>
      <c r="GYO1642" s="21"/>
      <c r="GYP1642" s="21"/>
      <c r="GYQ1642" s="21"/>
      <c r="GYR1642" s="21"/>
      <c r="GYS1642" s="21"/>
      <c r="GYT1642" s="21"/>
      <c r="GYU1642" s="21"/>
      <c r="GYV1642" s="21"/>
      <c r="GYW1642" s="21"/>
      <c r="GYX1642" s="21"/>
      <c r="GYY1642" s="21"/>
      <c r="GYZ1642" s="21"/>
      <c r="GZA1642" s="21"/>
      <c r="GZB1642" s="21"/>
      <c r="GZC1642" s="21"/>
      <c r="GZD1642" s="21"/>
      <c r="GZE1642" s="21"/>
      <c r="GZF1642" s="21"/>
      <c r="GZG1642" s="21"/>
      <c r="GZH1642" s="21"/>
      <c r="GZI1642" s="21"/>
      <c r="GZJ1642" s="21"/>
      <c r="GZK1642" s="21"/>
      <c r="GZL1642" s="21"/>
      <c r="GZM1642" s="21"/>
      <c r="GZN1642" s="21"/>
      <c r="GZO1642" s="21"/>
      <c r="GZP1642" s="21"/>
      <c r="GZQ1642" s="21"/>
      <c r="GZR1642" s="21"/>
      <c r="GZS1642" s="21"/>
      <c r="GZT1642" s="21"/>
      <c r="GZU1642" s="21"/>
      <c r="GZV1642" s="21"/>
      <c r="GZW1642" s="21"/>
      <c r="GZX1642" s="21"/>
      <c r="GZY1642" s="21"/>
      <c r="GZZ1642" s="21"/>
      <c r="HAA1642" s="21"/>
      <c r="HAB1642" s="21"/>
      <c r="HAC1642" s="21"/>
      <c r="HAD1642" s="21"/>
      <c r="HAE1642" s="21"/>
      <c r="HAF1642" s="21"/>
      <c r="HAG1642" s="21"/>
      <c r="HAH1642" s="21"/>
      <c r="HAI1642" s="21"/>
      <c r="HAJ1642" s="21"/>
      <c r="HAK1642" s="21"/>
      <c r="HAL1642" s="21"/>
      <c r="HAM1642" s="21"/>
      <c r="HAN1642" s="21"/>
      <c r="HAO1642" s="21"/>
      <c r="HAP1642" s="21"/>
      <c r="HAQ1642" s="21"/>
      <c r="HAR1642" s="21"/>
      <c r="HAS1642" s="21"/>
      <c r="HAT1642" s="21"/>
      <c r="HAU1642" s="21"/>
      <c r="HAV1642" s="21"/>
      <c r="HAW1642" s="21"/>
      <c r="HAX1642" s="21"/>
      <c r="HAY1642" s="21"/>
      <c r="HAZ1642" s="21"/>
      <c r="HBA1642" s="21"/>
      <c r="HBB1642" s="21"/>
      <c r="HBC1642" s="21"/>
      <c r="HBD1642" s="21"/>
      <c r="HBE1642" s="21"/>
      <c r="HBF1642" s="21"/>
      <c r="HBG1642" s="21"/>
      <c r="HBH1642" s="21"/>
      <c r="HBI1642" s="21"/>
      <c r="HBJ1642" s="21"/>
      <c r="HBK1642" s="21"/>
      <c r="HBL1642" s="21"/>
      <c r="HBM1642" s="21"/>
      <c r="HBN1642" s="21"/>
      <c r="HBO1642" s="21"/>
      <c r="HBP1642" s="21"/>
      <c r="HBQ1642" s="21"/>
      <c r="HBR1642" s="21"/>
      <c r="HBS1642" s="21"/>
      <c r="HBT1642" s="21"/>
      <c r="HBU1642" s="21"/>
      <c r="HBV1642" s="21"/>
      <c r="HBW1642" s="21"/>
      <c r="HBX1642" s="21"/>
      <c r="HBY1642" s="21"/>
      <c r="HBZ1642" s="21"/>
      <c r="HCA1642" s="21"/>
      <c r="HCB1642" s="21"/>
      <c r="HCC1642" s="21"/>
      <c r="HCD1642" s="21"/>
      <c r="HCE1642" s="21"/>
      <c r="HCF1642" s="21"/>
      <c r="HCG1642" s="21"/>
      <c r="HCH1642" s="21"/>
      <c r="HCI1642" s="21"/>
      <c r="HCJ1642" s="21"/>
      <c r="HCK1642" s="21"/>
      <c r="HCL1642" s="21"/>
      <c r="HCM1642" s="21"/>
      <c r="HCN1642" s="21"/>
      <c r="HCO1642" s="21"/>
      <c r="HCP1642" s="21"/>
      <c r="HCQ1642" s="21"/>
      <c r="HCR1642" s="21"/>
      <c r="HCS1642" s="21"/>
      <c r="HCT1642" s="21"/>
      <c r="HCU1642" s="21"/>
      <c r="HCV1642" s="21"/>
      <c r="HCW1642" s="21"/>
      <c r="HCX1642" s="21"/>
      <c r="HCY1642" s="21"/>
      <c r="HCZ1642" s="21"/>
      <c r="HDA1642" s="21"/>
      <c r="HDB1642" s="21"/>
      <c r="HDC1642" s="21"/>
      <c r="HDD1642" s="21"/>
      <c r="HDE1642" s="21"/>
      <c r="HDF1642" s="21"/>
      <c r="HDG1642" s="21"/>
      <c r="HDH1642" s="21"/>
      <c r="HDI1642" s="21"/>
      <c r="HDJ1642" s="21"/>
      <c r="HDK1642" s="21"/>
      <c r="HDL1642" s="21"/>
      <c r="HDM1642" s="21"/>
      <c r="HDN1642" s="21"/>
      <c r="HDO1642" s="21"/>
      <c r="HDP1642" s="21"/>
      <c r="HDQ1642" s="21"/>
      <c r="HDR1642" s="21"/>
      <c r="HDS1642" s="21"/>
      <c r="HDT1642" s="21"/>
      <c r="HDU1642" s="21"/>
      <c r="HDV1642" s="21"/>
      <c r="HDW1642" s="21"/>
      <c r="HDX1642" s="21"/>
      <c r="HDY1642" s="21"/>
      <c r="HDZ1642" s="21"/>
      <c r="HEA1642" s="21"/>
      <c r="HEB1642" s="21"/>
      <c r="HEC1642" s="21"/>
      <c r="HED1642" s="21"/>
      <c r="HEE1642" s="21"/>
      <c r="HEF1642" s="21"/>
      <c r="HEG1642" s="21"/>
      <c r="HEH1642" s="21"/>
      <c r="HEI1642" s="21"/>
      <c r="HEJ1642" s="21"/>
      <c r="HEK1642" s="21"/>
      <c r="HEL1642" s="21"/>
      <c r="HEM1642" s="21"/>
      <c r="HEN1642" s="21"/>
      <c r="HEO1642" s="21"/>
      <c r="HEP1642" s="21"/>
      <c r="HEQ1642" s="21"/>
      <c r="HER1642" s="21"/>
      <c r="HES1642" s="21"/>
      <c r="HET1642" s="21"/>
      <c r="HEU1642" s="21"/>
      <c r="HEV1642" s="21"/>
      <c r="HEW1642" s="21"/>
      <c r="HEX1642" s="21"/>
      <c r="HEY1642" s="21"/>
      <c r="HEZ1642" s="21"/>
      <c r="HFA1642" s="21"/>
      <c r="HFB1642" s="21"/>
      <c r="HFC1642" s="21"/>
      <c r="HFD1642" s="21"/>
      <c r="HFE1642" s="21"/>
      <c r="HFF1642" s="21"/>
      <c r="HFG1642" s="21"/>
      <c r="HFH1642" s="21"/>
      <c r="HFI1642" s="21"/>
      <c r="HFJ1642" s="21"/>
      <c r="HFK1642" s="21"/>
      <c r="HFL1642" s="21"/>
      <c r="HFM1642" s="21"/>
      <c r="HFN1642" s="21"/>
      <c r="HFO1642" s="21"/>
      <c r="HFP1642" s="21"/>
      <c r="HFQ1642" s="21"/>
      <c r="HFR1642" s="21"/>
      <c r="HFS1642" s="21"/>
      <c r="HFT1642" s="21"/>
      <c r="HFU1642" s="21"/>
      <c r="HFV1642" s="21"/>
      <c r="HFW1642" s="21"/>
      <c r="HFX1642" s="21"/>
      <c r="HFY1642" s="21"/>
      <c r="HFZ1642" s="21"/>
      <c r="HGA1642" s="21"/>
      <c r="HGB1642" s="21"/>
      <c r="HGC1642" s="21"/>
      <c r="HGD1642" s="21"/>
      <c r="HGE1642" s="21"/>
      <c r="HGF1642" s="21"/>
      <c r="HGG1642" s="21"/>
      <c r="HGH1642" s="21"/>
      <c r="HGI1642" s="21"/>
      <c r="HGJ1642" s="21"/>
      <c r="HGK1642" s="21"/>
      <c r="HGL1642" s="21"/>
      <c r="HGM1642" s="21"/>
      <c r="HGN1642" s="21"/>
      <c r="HGO1642" s="21"/>
      <c r="HGP1642" s="21"/>
      <c r="HGQ1642" s="21"/>
      <c r="HGR1642" s="21"/>
      <c r="HGS1642" s="21"/>
      <c r="HGT1642" s="21"/>
      <c r="HGU1642" s="21"/>
      <c r="HGV1642" s="21"/>
      <c r="HGW1642" s="21"/>
      <c r="HGX1642" s="21"/>
      <c r="HGY1642" s="21"/>
      <c r="HGZ1642" s="21"/>
      <c r="HHA1642" s="21"/>
      <c r="HHB1642" s="21"/>
      <c r="HHC1642" s="21"/>
      <c r="HHD1642" s="21"/>
      <c r="HHE1642" s="21"/>
      <c r="HHF1642" s="21"/>
      <c r="HHG1642" s="21"/>
      <c r="HHH1642" s="21"/>
      <c r="HHI1642" s="21"/>
      <c r="HHJ1642" s="21"/>
      <c r="HHK1642" s="21"/>
      <c r="HHL1642" s="21"/>
      <c r="HHM1642" s="21"/>
      <c r="HHN1642" s="21"/>
      <c r="HHO1642" s="21"/>
      <c r="HHP1642" s="21"/>
      <c r="HHQ1642" s="21"/>
      <c r="HHR1642" s="21"/>
      <c r="HHS1642" s="21"/>
      <c r="HHT1642" s="21"/>
      <c r="HHU1642" s="21"/>
      <c r="HHV1642" s="21"/>
      <c r="HHW1642" s="21"/>
      <c r="HHX1642" s="21"/>
      <c r="HHY1642" s="21"/>
      <c r="HHZ1642" s="21"/>
      <c r="HIA1642" s="21"/>
      <c r="HIB1642" s="21"/>
      <c r="HIC1642" s="21"/>
      <c r="HID1642" s="21"/>
      <c r="HIE1642" s="21"/>
      <c r="HIF1642" s="21"/>
      <c r="HIG1642" s="21"/>
      <c r="HIH1642" s="21"/>
      <c r="HII1642" s="21"/>
      <c r="HIJ1642" s="21"/>
      <c r="HIK1642" s="21"/>
      <c r="HIL1642" s="21"/>
      <c r="HIM1642" s="21"/>
      <c r="HIN1642" s="21"/>
      <c r="HIO1642" s="21"/>
      <c r="HIP1642" s="21"/>
      <c r="HIQ1642" s="21"/>
      <c r="HIR1642" s="21"/>
      <c r="HIS1642" s="21"/>
      <c r="HIT1642" s="21"/>
      <c r="HIU1642" s="21"/>
      <c r="HIV1642" s="21"/>
      <c r="HIW1642" s="21"/>
      <c r="HIX1642" s="21"/>
      <c r="HIY1642" s="21"/>
      <c r="HIZ1642" s="21"/>
      <c r="HJA1642" s="21"/>
      <c r="HJB1642" s="21"/>
      <c r="HJC1642" s="21"/>
      <c r="HJD1642" s="21"/>
      <c r="HJE1642" s="21"/>
      <c r="HJF1642" s="21"/>
      <c r="HJG1642" s="21"/>
      <c r="HJH1642" s="21"/>
      <c r="HJI1642" s="21"/>
      <c r="HJJ1642" s="21"/>
      <c r="HJK1642" s="21"/>
      <c r="HJL1642" s="21"/>
      <c r="HJM1642" s="21"/>
      <c r="HJN1642" s="21"/>
      <c r="HJO1642" s="21"/>
      <c r="HJP1642" s="21"/>
      <c r="HJQ1642" s="21"/>
      <c r="HJR1642" s="21"/>
      <c r="HJS1642" s="21"/>
      <c r="HJT1642" s="21"/>
      <c r="HJU1642" s="21"/>
      <c r="HJV1642" s="21"/>
      <c r="HJW1642" s="21"/>
      <c r="HJX1642" s="21"/>
      <c r="HJY1642" s="21"/>
      <c r="HJZ1642" s="21"/>
      <c r="HKA1642" s="21"/>
      <c r="HKB1642" s="21"/>
      <c r="HKC1642" s="21"/>
      <c r="HKD1642" s="21"/>
      <c r="HKE1642" s="21"/>
      <c r="HKF1642" s="21"/>
      <c r="HKG1642" s="21"/>
      <c r="HKH1642" s="21"/>
      <c r="HKI1642" s="21"/>
      <c r="HKJ1642" s="21"/>
      <c r="HKK1642" s="21"/>
      <c r="HKL1642" s="21"/>
      <c r="HKM1642" s="21"/>
      <c r="HKN1642" s="21"/>
      <c r="HKO1642" s="21"/>
      <c r="HKP1642" s="21"/>
      <c r="HKQ1642" s="21"/>
      <c r="HKR1642" s="21"/>
      <c r="HKS1642" s="21"/>
      <c r="HKT1642" s="21"/>
      <c r="HKU1642" s="21"/>
      <c r="HKV1642" s="21"/>
      <c r="HKW1642" s="21"/>
      <c r="HKX1642" s="21"/>
      <c r="HKY1642" s="21"/>
      <c r="HKZ1642" s="21"/>
      <c r="HLA1642" s="21"/>
      <c r="HLB1642" s="21"/>
      <c r="HLC1642" s="21"/>
      <c r="HLD1642" s="21"/>
      <c r="HLE1642" s="21"/>
      <c r="HLF1642" s="21"/>
      <c r="HLG1642" s="21"/>
      <c r="HLH1642" s="21"/>
      <c r="HLI1642" s="21"/>
      <c r="HLJ1642" s="21"/>
      <c r="HLK1642" s="21"/>
      <c r="HLL1642" s="21"/>
      <c r="HLM1642" s="21"/>
      <c r="HLN1642" s="21"/>
      <c r="HLO1642" s="21"/>
      <c r="HLP1642" s="21"/>
      <c r="HLQ1642" s="21"/>
      <c r="HLR1642" s="21"/>
      <c r="HLS1642" s="21"/>
      <c r="HLT1642" s="21"/>
      <c r="HLU1642" s="21"/>
      <c r="HLV1642" s="21"/>
      <c r="HLW1642" s="21"/>
      <c r="HLX1642" s="21"/>
      <c r="HLY1642" s="21"/>
      <c r="HLZ1642" s="21"/>
      <c r="HMA1642" s="21"/>
      <c r="HMB1642" s="21"/>
      <c r="HMC1642" s="21"/>
      <c r="HMD1642" s="21"/>
      <c r="HME1642" s="21"/>
      <c r="HMF1642" s="21"/>
      <c r="HMG1642" s="21"/>
      <c r="HMH1642" s="21"/>
      <c r="HMI1642" s="21"/>
      <c r="HMJ1642" s="21"/>
      <c r="HMK1642" s="21"/>
      <c r="HML1642" s="21"/>
      <c r="HMM1642" s="21"/>
      <c r="HMN1642" s="21"/>
      <c r="HMO1642" s="21"/>
      <c r="HMP1642" s="21"/>
      <c r="HMQ1642" s="21"/>
      <c r="HMR1642" s="21"/>
      <c r="HMS1642" s="21"/>
      <c r="HMT1642" s="21"/>
      <c r="HMU1642" s="21"/>
      <c r="HMV1642" s="21"/>
      <c r="HMW1642" s="21"/>
      <c r="HMX1642" s="21"/>
      <c r="HMY1642" s="21"/>
      <c r="HMZ1642" s="21"/>
      <c r="HNA1642" s="21"/>
      <c r="HNB1642" s="21"/>
      <c r="HNC1642" s="21"/>
      <c r="HND1642" s="21"/>
      <c r="HNE1642" s="21"/>
      <c r="HNF1642" s="21"/>
      <c r="HNG1642" s="21"/>
      <c r="HNH1642" s="21"/>
      <c r="HNI1642" s="21"/>
      <c r="HNJ1642" s="21"/>
      <c r="HNK1642" s="21"/>
      <c r="HNL1642" s="21"/>
      <c r="HNM1642" s="21"/>
      <c r="HNN1642" s="21"/>
      <c r="HNO1642" s="21"/>
      <c r="HNP1642" s="21"/>
      <c r="HNQ1642" s="21"/>
      <c r="HNR1642" s="21"/>
      <c r="HNS1642" s="21"/>
      <c r="HNT1642" s="21"/>
      <c r="HNU1642" s="21"/>
      <c r="HNV1642" s="21"/>
      <c r="HNW1642" s="21"/>
      <c r="HNX1642" s="21"/>
      <c r="HNY1642" s="21"/>
      <c r="HNZ1642" s="21"/>
      <c r="HOA1642" s="21"/>
      <c r="HOB1642" s="21"/>
      <c r="HOC1642" s="21"/>
      <c r="HOD1642" s="21"/>
      <c r="HOE1642" s="21"/>
      <c r="HOF1642" s="21"/>
      <c r="HOG1642" s="21"/>
      <c r="HOH1642" s="21"/>
      <c r="HOI1642" s="21"/>
      <c r="HOJ1642" s="21"/>
      <c r="HOK1642" s="21"/>
      <c r="HOL1642" s="21"/>
      <c r="HOM1642" s="21"/>
      <c r="HON1642" s="21"/>
      <c r="HOO1642" s="21"/>
      <c r="HOP1642" s="21"/>
      <c r="HOQ1642" s="21"/>
      <c r="HOR1642" s="21"/>
      <c r="HOS1642" s="21"/>
      <c r="HOT1642" s="21"/>
      <c r="HOU1642" s="21"/>
      <c r="HOV1642" s="21"/>
      <c r="HOW1642" s="21"/>
      <c r="HOX1642" s="21"/>
      <c r="HOY1642" s="21"/>
      <c r="HOZ1642" s="21"/>
      <c r="HPA1642" s="21"/>
      <c r="HPB1642" s="21"/>
      <c r="HPC1642" s="21"/>
      <c r="HPD1642" s="21"/>
      <c r="HPE1642" s="21"/>
      <c r="HPF1642" s="21"/>
      <c r="HPG1642" s="21"/>
      <c r="HPH1642" s="21"/>
      <c r="HPI1642" s="21"/>
      <c r="HPJ1642" s="21"/>
      <c r="HPK1642" s="21"/>
      <c r="HPL1642" s="21"/>
      <c r="HPM1642" s="21"/>
      <c r="HPN1642" s="21"/>
      <c r="HPO1642" s="21"/>
      <c r="HPP1642" s="21"/>
      <c r="HPQ1642" s="21"/>
      <c r="HPR1642" s="21"/>
      <c r="HPS1642" s="21"/>
      <c r="HPT1642" s="21"/>
      <c r="HPU1642" s="21"/>
      <c r="HPV1642" s="21"/>
      <c r="HPW1642" s="21"/>
      <c r="HPX1642" s="21"/>
      <c r="HPY1642" s="21"/>
      <c r="HPZ1642" s="21"/>
      <c r="HQA1642" s="21"/>
      <c r="HQB1642" s="21"/>
      <c r="HQC1642" s="21"/>
      <c r="HQD1642" s="21"/>
      <c r="HQE1642" s="21"/>
      <c r="HQF1642" s="21"/>
      <c r="HQG1642" s="21"/>
      <c r="HQH1642" s="21"/>
      <c r="HQI1642" s="21"/>
      <c r="HQJ1642" s="21"/>
      <c r="HQK1642" s="21"/>
      <c r="HQL1642" s="21"/>
      <c r="HQM1642" s="21"/>
      <c r="HQN1642" s="21"/>
      <c r="HQO1642" s="21"/>
      <c r="HQP1642" s="21"/>
      <c r="HQQ1642" s="21"/>
      <c r="HQR1642" s="21"/>
      <c r="HQS1642" s="21"/>
      <c r="HQT1642" s="21"/>
      <c r="HQU1642" s="21"/>
      <c r="HQV1642" s="21"/>
      <c r="HQW1642" s="21"/>
      <c r="HQX1642" s="21"/>
      <c r="HQY1642" s="21"/>
      <c r="HQZ1642" s="21"/>
      <c r="HRA1642" s="21"/>
      <c r="HRB1642" s="21"/>
      <c r="HRC1642" s="21"/>
      <c r="HRD1642" s="21"/>
      <c r="HRE1642" s="21"/>
      <c r="HRF1642" s="21"/>
      <c r="HRG1642" s="21"/>
      <c r="HRH1642" s="21"/>
      <c r="HRI1642" s="21"/>
      <c r="HRJ1642" s="21"/>
      <c r="HRK1642" s="21"/>
      <c r="HRL1642" s="21"/>
      <c r="HRM1642" s="21"/>
      <c r="HRN1642" s="21"/>
      <c r="HRO1642" s="21"/>
      <c r="HRP1642" s="21"/>
      <c r="HRQ1642" s="21"/>
      <c r="HRR1642" s="21"/>
      <c r="HRS1642" s="21"/>
      <c r="HRT1642" s="21"/>
      <c r="HRU1642" s="21"/>
      <c r="HRV1642" s="21"/>
      <c r="HRW1642" s="21"/>
      <c r="HRX1642" s="21"/>
      <c r="HRY1642" s="21"/>
      <c r="HRZ1642" s="21"/>
      <c r="HSA1642" s="21"/>
      <c r="HSB1642" s="21"/>
      <c r="HSC1642" s="21"/>
      <c r="HSD1642" s="21"/>
      <c r="HSE1642" s="21"/>
      <c r="HSF1642" s="21"/>
      <c r="HSG1642" s="21"/>
      <c r="HSH1642" s="21"/>
      <c r="HSI1642" s="21"/>
      <c r="HSJ1642" s="21"/>
      <c r="HSK1642" s="21"/>
      <c r="HSL1642" s="21"/>
      <c r="HSM1642" s="21"/>
      <c r="HSN1642" s="21"/>
      <c r="HSO1642" s="21"/>
      <c r="HSP1642" s="21"/>
      <c r="HSQ1642" s="21"/>
      <c r="HSR1642" s="21"/>
      <c r="HSS1642" s="21"/>
      <c r="HST1642" s="21"/>
      <c r="HSU1642" s="21"/>
      <c r="HSV1642" s="21"/>
      <c r="HSW1642" s="21"/>
      <c r="HSX1642" s="21"/>
      <c r="HSY1642" s="21"/>
      <c r="HSZ1642" s="21"/>
      <c r="HTA1642" s="21"/>
      <c r="HTB1642" s="21"/>
      <c r="HTC1642" s="21"/>
      <c r="HTD1642" s="21"/>
      <c r="HTE1642" s="21"/>
      <c r="HTF1642" s="21"/>
      <c r="HTG1642" s="21"/>
      <c r="HTH1642" s="21"/>
      <c r="HTI1642" s="21"/>
      <c r="HTJ1642" s="21"/>
      <c r="HTK1642" s="21"/>
      <c r="HTL1642" s="21"/>
      <c r="HTM1642" s="21"/>
      <c r="HTN1642" s="21"/>
      <c r="HTO1642" s="21"/>
      <c r="HTP1642" s="21"/>
      <c r="HTQ1642" s="21"/>
      <c r="HTR1642" s="21"/>
      <c r="HTS1642" s="21"/>
      <c r="HTT1642" s="21"/>
      <c r="HTU1642" s="21"/>
      <c r="HTV1642" s="21"/>
      <c r="HTW1642" s="21"/>
      <c r="HTX1642" s="21"/>
      <c r="HTY1642" s="21"/>
      <c r="HTZ1642" s="21"/>
      <c r="HUA1642" s="21"/>
      <c r="HUB1642" s="21"/>
      <c r="HUC1642" s="21"/>
      <c r="HUD1642" s="21"/>
      <c r="HUE1642" s="21"/>
      <c r="HUF1642" s="21"/>
      <c r="HUG1642" s="21"/>
      <c r="HUH1642" s="21"/>
      <c r="HUI1642" s="21"/>
      <c r="HUJ1642" s="21"/>
      <c r="HUK1642" s="21"/>
      <c r="HUL1642" s="21"/>
      <c r="HUM1642" s="21"/>
      <c r="HUN1642" s="21"/>
      <c r="HUO1642" s="21"/>
      <c r="HUP1642" s="21"/>
      <c r="HUQ1642" s="21"/>
      <c r="HUR1642" s="21"/>
      <c r="HUS1642" s="21"/>
      <c r="HUT1642" s="21"/>
      <c r="HUU1642" s="21"/>
      <c r="HUV1642" s="21"/>
      <c r="HUW1642" s="21"/>
      <c r="HUX1642" s="21"/>
      <c r="HUY1642" s="21"/>
      <c r="HUZ1642" s="21"/>
      <c r="HVA1642" s="21"/>
      <c r="HVB1642" s="21"/>
      <c r="HVC1642" s="21"/>
      <c r="HVD1642" s="21"/>
      <c r="HVE1642" s="21"/>
      <c r="HVF1642" s="21"/>
      <c r="HVG1642" s="21"/>
      <c r="HVH1642" s="21"/>
      <c r="HVI1642" s="21"/>
      <c r="HVJ1642" s="21"/>
      <c r="HVK1642" s="21"/>
      <c r="HVL1642" s="21"/>
      <c r="HVM1642" s="21"/>
      <c r="HVN1642" s="21"/>
      <c r="HVO1642" s="21"/>
      <c r="HVP1642" s="21"/>
      <c r="HVQ1642" s="21"/>
      <c r="HVR1642" s="21"/>
      <c r="HVS1642" s="21"/>
      <c r="HVT1642" s="21"/>
      <c r="HVU1642" s="21"/>
      <c r="HVV1642" s="21"/>
      <c r="HVW1642" s="21"/>
      <c r="HVX1642" s="21"/>
      <c r="HVY1642" s="21"/>
      <c r="HVZ1642" s="21"/>
      <c r="HWA1642" s="21"/>
      <c r="HWB1642" s="21"/>
      <c r="HWC1642" s="21"/>
      <c r="HWD1642" s="21"/>
      <c r="HWE1642" s="21"/>
      <c r="HWF1642" s="21"/>
      <c r="HWG1642" s="21"/>
      <c r="HWH1642" s="21"/>
      <c r="HWI1642" s="21"/>
      <c r="HWJ1642" s="21"/>
      <c r="HWK1642" s="21"/>
      <c r="HWL1642" s="21"/>
      <c r="HWM1642" s="21"/>
      <c r="HWN1642" s="21"/>
      <c r="HWO1642" s="21"/>
      <c r="HWP1642" s="21"/>
      <c r="HWQ1642" s="21"/>
      <c r="HWR1642" s="21"/>
      <c r="HWS1642" s="21"/>
      <c r="HWT1642" s="21"/>
      <c r="HWU1642" s="21"/>
      <c r="HWV1642" s="21"/>
      <c r="HWW1642" s="21"/>
      <c r="HWX1642" s="21"/>
      <c r="HWY1642" s="21"/>
      <c r="HWZ1642" s="21"/>
      <c r="HXA1642" s="21"/>
      <c r="HXB1642" s="21"/>
      <c r="HXC1642" s="21"/>
      <c r="HXD1642" s="21"/>
      <c r="HXE1642" s="21"/>
      <c r="HXF1642" s="21"/>
      <c r="HXG1642" s="21"/>
      <c r="HXH1642" s="21"/>
      <c r="HXI1642" s="21"/>
      <c r="HXJ1642" s="21"/>
      <c r="HXK1642" s="21"/>
      <c r="HXL1642" s="21"/>
      <c r="HXM1642" s="21"/>
      <c r="HXN1642" s="21"/>
      <c r="HXO1642" s="21"/>
      <c r="HXP1642" s="21"/>
      <c r="HXQ1642" s="21"/>
      <c r="HXR1642" s="21"/>
      <c r="HXS1642" s="21"/>
      <c r="HXT1642" s="21"/>
      <c r="HXU1642" s="21"/>
      <c r="HXV1642" s="21"/>
      <c r="HXW1642" s="21"/>
      <c r="HXX1642" s="21"/>
      <c r="HXY1642" s="21"/>
      <c r="HXZ1642" s="21"/>
      <c r="HYA1642" s="21"/>
      <c r="HYB1642" s="21"/>
      <c r="HYC1642" s="21"/>
      <c r="HYD1642" s="21"/>
      <c r="HYE1642" s="21"/>
      <c r="HYF1642" s="21"/>
      <c r="HYG1642" s="21"/>
      <c r="HYH1642" s="21"/>
      <c r="HYI1642" s="21"/>
      <c r="HYJ1642" s="21"/>
      <c r="HYK1642" s="21"/>
      <c r="HYL1642" s="21"/>
      <c r="HYM1642" s="21"/>
      <c r="HYN1642" s="21"/>
      <c r="HYO1642" s="21"/>
      <c r="HYP1642" s="21"/>
      <c r="HYQ1642" s="21"/>
      <c r="HYR1642" s="21"/>
      <c r="HYS1642" s="21"/>
      <c r="HYT1642" s="21"/>
      <c r="HYU1642" s="21"/>
      <c r="HYV1642" s="21"/>
      <c r="HYW1642" s="21"/>
      <c r="HYX1642" s="21"/>
      <c r="HYY1642" s="21"/>
      <c r="HYZ1642" s="21"/>
      <c r="HZA1642" s="21"/>
      <c r="HZB1642" s="21"/>
      <c r="HZC1642" s="21"/>
      <c r="HZD1642" s="21"/>
      <c r="HZE1642" s="21"/>
      <c r="HZF1642" s="21"/>
      <c r="HZG1642" s="21"/>
      <c r="HZH1642" s="21"/>
      <c r="HZI1642" s="21"/>
      <c r="HZJ1642" s="21"/>
      <c r="HZK1642" s="21"/>
      <c r="HZL1642" s="21"/>
      <c r="HZM1642" s="21"/>
      <c r="HZN1642" s="21"/>
      <c r="HZO1642" s="21"/>
      <c r="HZP1642" s="21"/>
      <c r="HZQ1642" s="21"/>
      <c r="HZR1642" s="21"/>
      <c r="HZS1642" s="21"/>
      <c r="HZT1642" s="21"/>
      <c r="HZU1642" s="21"/>
      <c r="HZV1642" s="21"/>
      <c r="HZW1642" s="21"/>
      <c r="HZX1642" s="21"/>
      <c r="HZY1642" s="21"/>
      <c r="HZZ1642" s="21"/>
      <c r="IAA1642" s="21"/>
      <c r="IAB1642" s="21"/>
      <c r="IAC1642" s="21"/>
      <c r="IAD1642" s="21"/>
      <c r="IAE1642" s="21"/>
      <c r="IAF1642" s="21"/>
      <c r="IAG1642" s="21"/>
      <c r="IAH1642" s="21"/>
      <c r="IAI1642" s="21"/>
      <c r="IAJ1642" s="21"/>
      <c r="IAK1642" s="21"/>
      <c r="IAL1642" s="21"/>
      <c r="IAM1642" s="21"/>
      <c r="IAN1642" s="21"/>
      <c r="IAO1642" s="21"/>
      <c r="IAP1642" s="21"/>
      <c r="IAQ1642" s="21"/>
      <c r="IAR1642" s="21"/>
      <c r="IAS1642" s="21"/>
      <c r="IAT1642" s="21"/>
      <c r="IAU1642" s="21"/>
      <c r="IAV1642" s="21"/>
      <c r="IAW1642" s="21"/>
      <c r="IAX1642" s="21"/>
      <c r="IAY1642" s="21"/>
      <c r="IAZ1642" s="21"/>
      <c r="IBA1642" s="21"/>
      <c r="IBB1642" s="21"/>
      <c r="IBC1642" s="21"/>
      <c r="IBD1642" s="21"/>
      <c r="IBE1642" s="21"/>
      <c r="IBF1642" s="21"/>
      <c r="IBG1642" s="21"/>
      <c r="IBH1642" s="21"/>
      <c r="IBI1642" s="21"/>
      <c r="IBJ1642" s="21"/>
      <c r="IBK1642" s="21"/>
      <c r="IBL1642" s="21"/>
      <c r="IBM1642" s="21"/>
      <c r="IBN1642" s="21"/>
      <c r="IBO1642" s="21"/>
      <c r="IBP1642" s="21"/>
      <c r="IBQ1642" s="21"/>
      <c r="IBR1642" s="21"/>
      <c r="IBS1642" s="21"/>
      <c r="IBT1642" s="21"/>
      <c r="IBU1642" s="21"/>
      <c r="IBV1642" s="21"/>
      <c r="IBW1642" s="21"/>
      <c r="IBX1642" s="21"/>
      <c r="IBY1642" s="21"/>
      <c r="IBZ1642" s="21"/>
      <c r="ICA1642" s="21"/>
      <c r="ICB1642" s="21"/>
      <c r="ICC1642" s="21"/>
      <c r="ICD1642" s="21"/>
      <c r="ICE1642" s="21"/>
      <c r="ICF1642" s="21"/>
      <c r="ICG1642" s="21"/>
      <c r="ICH1642" s="21"/>
      <c r="ICI1642" s="21"/>
      <c r="ICJ1642" s="21"/>
      <c r="ICK1642" s="21"/>
      <c r="ICL1642" s="21"/>
      <c r="ICM1642" s="21"/>
      <c r="ICN1642" s="21"/>
      <c r="ICO1642" s="21"/>
      <c r="ICP1642" s="21"/>
      <c r="ICQ1642" s="21"/>
      <c r="ICR1642" s="21"/>
      <c r="ICS1642" s="21"/>
      <c r="ICT1642" s="21"/>
      <c r="ICU1642" s="21"/>
      <c r="ICV1642" s="21"/>
      <c r="ICW1642" s="21"/>
      <c r="ICX1642" s="21"/>
      <c r="ICY1642" s="21"/>
      <c r="ICZ1642" s="21"/>
      <c r="IDA1642" s="21"/>
      <c r="IDB1642" s="21"/>
      <c r="IDC1642" s="21"/>
      <c r="IDD1642" s="21"/>
      <c r="IDE1642" s="21"/>
      <c r="IDF1642" s="21"/>
      <c r="IDG1642" s="21"/>
      <c r="IDH1642" s="21"/>
      <c r="IDI1642" s="21"/>
      <c r="IDJ1642" s="21"/>
      <c r="IDK1642" s="21"/>
      <c r="IDL1642" s="21"/>
      <c r="IDM1642" s="21"/>
      <c r="IDN1642" s="21"/>
      <c r="IDO1642" s="21"/>
      <c r="IDP1642" s="21"/>
      <c r="IDQ1642" s="21"/>
      <c r="IDR1642" s="21"/>
      <c r="IDS1642" s="21"/>
      <c r="IDT1642" s="21"/>
      <c r="IDU1642" s="21"/>
      <c r="IDV1642" s="21"/>
      <c r="IDW1642" s="21"/>
      <c r="IDX1642" s="21"/>
      <c r="IDY1642" s="21"/>
      <c r="IDZ1642" s="21"/>
      <c r="IEA1642" s="21"/>
      <c r="IEB1642" s="21"/>
      <c r="IEC1642" s="21"/>
      <c r="IED1642" s="21"/>
      <c r="IEE1642" s="21"/>
      <c r="IEF1642" s="21"/>
      <c r="IEG1642" s="21"/>
      <c r="IEH1642" s="21"/>
      <c r="IEI1642" s="21"/>
      <c r="IEJ1642" s="21"/>
      <c r="IEK1642" s="21"/>
      <c r="IEL1642" s="21"/>
      <c r="IEM1642" s="21"/>
      <c r="IEN1642" s="21"/>
      <c r="IEO1642" s="21"/>
      <c r="IEP1642" s="21"/>
      <c r="IEQ1642" s="21"/>
      <c r="IER1642" s="21"/>
      <c r="IES1642" s="21"/>
      <c r="IET1642" s="21"/>
      <c r="IEU1642" s="21"/>
      <c r="IEV1642" s="21"/>
      <c r="IEW1642" s="21"/>
      <c r="IEX1642" s="21"/>
      <c r="IEY1642" s="21"/>
      <c r="IEZ1642" s="21"/>
      <c r="IFA1642" s="21"/>
      <c r="IFB1642" s="21"/>
      <c r="IFC1642" s="21"/>
      <c r="IFD1642" s="21"/>
      <c r="IFE1642" s="21"/>
      <c r="IFF1642" s="21"/>
      <c r="IFG1642" s="21"/>
      <c r="IFH1642" s="21"/>
      <c r="IFI1642" s="21"/>
      <c r="IFJ1642" s="21"/>
      <c r="IFK1642" s="21"/>
      <c r="IFL1642" s="21"/>
      <c r="IFM1642" s="21"/>
      <c r="IFN1642" s="21"/>
      <c r="IFO1642" s="21"/>
      <c r="IFP1642" s="21"/>
      <c r="IFQ1642" s="21"/>
      <c r="IFR1642" s="21"/>
      <c r="IFS1642" s="21"/>
      <c r="IFT1642" s="21"/>
      <c r="IFU1642" s="21"/>
      <c r="IFV1642" s="21"/>
      <c r="IFW1642" s="21"/>
      <c r="IFX1642" s="21"/>
      <c r="IFY1642" s="21"/>
      <c r="IFZ1642" s="21"/>
      <c r="IGA1642" s="21"/>
      <c r="IGB1642" s="21"/>
      <c r="IGC1642" s="21"/>
      <c r="IGD1642" s="21"/>
      <c r="IGE1642" s="21"/>
      <c r="IGF1642" s="21"/>
      <c r="IGG1642" s="21"/>
      <c r="IGH1642" s="21"/>
      <c r="IGI1642" s="21"/>
      <c r="IGJ1642" s="21"/>
      <c r="IGK1642" s="21"/>
      <c r="IGL1642" s="21"/>
      <c r="IGM1642" s="21"/>
      <c r="IGN1642" s="21"/>
      <c r="IGO1642" s="21"/>
      <c r="IGP1642" s="21"/>
      <c r="IGQ1642" s="21"/>
      <c r="IGR1642" s="21"/>
      <c r="IGS1642" s="21"/>
      <c r="IGT1642" s="21"/>
      <c r="IGU1642" s="21"/>
      <c r="IGV1642" s="21"/>
      <c r="IGW1642" s="21"/>
      <c r="IGX1642" s="21"/>
      <c r="IGY1642" s="21"/>
      <c r="IGZ1642" s="21"/>
      <c r="IHA1642" s="21"/>
      <c r="IHB1642" s="21"/>
      <c r="IHC1642" s="21"/>
      <c r="IHD1642" s="21"/>
      <c r="IHE1642" s="21"/>
      <c r="IHF1642" s="21"/>
      <c r="IHG1642" s="21"/>
      <c r="IHH1642" s="21"/>
      <c r="IHI1642" s="21"/>
      <c r="IHJ1642" s="21"/>
      <c r="IHK1642" s="21"/>
      <c r="IHL1642" s="21"/>
      <c r="IHM1642" s="21"/>
      <c r="IHN1642" s="21"/>
      <c r="IHO1642" s="21"/>
      <c r="IHP1642" s="21"/>
      <c r="IHQ1642" s="21"/>
      <c r="IHR1642" s="21"/>
      <c r="IHS1642" s="21"/>
      <c r="IHT1642" s="21"/>
      <c r="IHU1642" s="21"/>
      <c r="IHV1642" s="21"/>
      <c r="IHW1642" s="21"/>
      <c r="IHX1642" s="21"/>
      <c r="IHY1642" s="21"/>
      <c r="IHZ1642" s="21"/>
      <c r="IIA1642" s="21"/>
      <c r="IIB1642" s="21"/>
      <c r="IIC1642" s="21"/>
      <c r="IID1642" s="21"/>
      <c r="IIE1642" s="21"/>
      <c r="IIF1642" s="21"/>
      <c r="IIG1642" s="21"/>
      <c r="IIH1642" s="21"/>
      <c r="III1642" s="21"/>
      <c r="IIJ1642" s="21"/>
      <c r="IIK1642" s="21"/>
      <c r="IIL1642" s="21"/>
      <c r="IIM1642" s="21"/>
      <c r="IIN1642" s="21"/>
      <c r="IIO1642" s="21"/>
      <c r="IIP1642" s="21"/>
      <c r="IIQ1642" s="21"/>
      <c r="IIR1642" s="21"/>
      <c r="IIS1642" s="21"/>
      <c r="IIT1642" s="21"/>
      <c r="IIU1642" s="21"/>
      <c r="IIV1642" s="21"/>
      <c r="IIW1642" s="21"/>
      <c r="IIX1642" s="21"/>
      <c r="IIY1642" s="21"/>
      <c r="IIZ1642" s="21"/>
      <c r="IJA1642" s="21"/>
      <c r="IJB1642" s="21"/>
      <c r="IJC1642" s="21"/>
      <c r="IJD1642" s="21"/>
      <c r="IJE1642" s="21"/>
      <c r="IJF1642" s="21"/>
      <c r="IJG1642" s="21"/>
      <c r="IJH1642" s="21"/>
      <c r="IJI1642" s="21"/>
      <c r="IJJ1642" s="21"/>
      <c r="IJK1642" s="21"/>
      <c r="IJL1642" s="21"/>
      <c r="IJM1642" s="21"/>
      <c r="IJN1642" s="21"/>
      <c r="IJO1642" s="21"/>
      <c r="IJP1642" s="21"/>
      <c r="IJQ1642" s="21"/>
      <c r="IJR1642" s="21"/>
      <c r="IJS1642" s="21"/>
      <c r="IJT1642" s="21"/>
      <c r="IJU1642" s="21"/>
      <c r="IJV1642" s="21"/>
      <c r="IJW1642" s="21"/>
      <c r="IJX1642" s="21"/>
      <c r="IJY1642" s="21"/>
      <c r="IJZ1642" s="21"/>
      <c r="IKA1642" s="21"/>
      <c r="IKB1642" s="21"/>
      <c r="IKC1642" s="21"/>
      <c r="IKD1642" s="21"/>
      <c r="IKE1642" s="21"/>
      <c r="IKF1642" s="21"/>
      <c r="IKG1642" s="21"/>
      <c r="IKH1642" s="21"/>
      <c r="IKI1642" s="21"/>
      <c r="IKJ1642" s="21"/>
      <c r="IKK1642" s="21"/>
      <c r="IKL1642" s="21"/>
      <c r="IKM1642" s="21"/>
      <c r="IKN1642" s="21"/>
      <c r="IKO1642" s="21"/>
      <c r="IKP1642" s="21"/>
      <c r="IKQ1642" s="21"/>
      <c r="IKR1642" s="21"/>
      <c r="IKS1642" s="21"/>
      <c r="IKT1642" s="21"/>
      <c r="IKU1642" s="21"/>
      <c r="IKV1642" s="21"/>
      <c r="IKW1642" s="21"/>
      <c r="IKX1642" s="21"/>
      <c r="IKY1642" s="21"/>
      <c r="IKZ1642" s="21"/>
      <c r="ILA1642" s="21"/>
      <c r="ILB1642" s="21"/>
      <c r="ILC1642" s="21"/>
      <c r="ILD1642" s="21"/>
      <c r="ILE1642" s="21"/>
      <c r="ILF1642" s="21"/>
      <c r="ILG1642" s="21"/>
      <c r="ILH1642" s="21"/>
      <c r="ILI1642" s="21"/>
      <c r="ILJ1642" s="21"/>
      <c r="ILK1642" s="21"/>
      <c r="ILL1642" s="21"/>
      <c r="ILM1642" s="21"/>
      <c r="ILN1642" s="21"/>
      <c r="ILO1642" s="21"/>
      <c r="ILP1642" s="21"/>
      <c r="ILQ1642" s="21"/>
      <c r="ILR1642" s="21"/>
      <c r="ILS1642" s="21"/>
      <c r="ILT1642" s="21"/>
      <c r="ILU1642" s="21"/>
      <c r="ILV1642" s="21"/>
      <c r="ILW1642" s="21"/>
      <c r="ILX1642" s="21"/>
      <c r="ILY1642" s="21"/>
      <c r="ILZ1642" s="21"/>
      <c r="IMA1642" s="21"/>
      <c r="IMB1642" s="21"/>
      <c r="IMC1642" s="21"/>
      <c r="IMD1642" s="21"/>
      <c r="IME1642" s="21"/>
      <c r="IMF1642" s="21"/>
      <c r="IMG1642" s="21"/>
      <c r="IMH1642" s="21"/>
      <c r="IMI1642" s="21"/>
      <c r="IMJ1642" s="21"/>
      <c r="IMK1642" s="21"/>
      <c r="IML1642" s="21"/>
      <c r="IMM1642" s="21"/>
      <c r="IMN1642" s="21"/>
      <c r="IMO1642" s="21"/>
      <c r="IMP1642" s="21"/>
      <c r="IMQ1642" s="21"/>
      <c r="IMR1642" s="21"/>
      <c r="IMS1642" s="21"/>
      <c r="IMT1642" s="21"/>
      <c r="IMU1642" s="21"/>
      <c r="IMV1642" s="21"/>
      <c r="IMW1642" s="21"/>
      <c r="IMX1642" s="21"/>
      <c r="IMY1642" s="21"/>
      <c r="IMZ1642" s="21"/>
      <c r="INA1642" s="21"/>
      <c r="INB1642" s="21"/>
      <c r="INC1642" s="21"/>
      <c r="IND1642" s="21"/>
      <c r="INE1642" s="21"/>
      <c r="INF1642" s="21"/>
      <c r="ING1642" s="21"/>
      <c r="INH1642" s="21"/>
      <c r="INI1642" s="21"/>
      <c r="INJ1642" s="21"/>
      <c r="INK1642" s="21"/>
      <c r="INL1642" s="21"/>
      <c r="INM1642" s="21"/>
      <c r="INN1642" s="21"/>
      <c r="INO1642" s="21"/>
      <c r="INP1642" s="21"/>
      <c r="INQ1642" s="21"/>
      <c r="INR1642" s="21"/>
      <c r="INS1642" s="21"/>
      <c r="INT1642" s="21"/>
      <c r="INU1642" s="21"/>
      <c r="INV1642" s="21"/>
      <c r="INW1642" s="21"/>
      <c r="INX1642" s="21"/>
      <c r="INY1642" s="21"/>
      <c r="INZ1642" s="21"/>
      <c r="IOA1642" s="21"/>
      <c r="IOB1642" s="21"/>
      <c r="IOC1642" s="21"/>
      <c r="IOD1642" s="21"/>
      <c r="IOE1642" s="21"/>
      <c r="IOF1642" s="21"/>
      <c r="IOG1642" s="21"/>
      <c r="IOH1642" s="21"/>
      <c r="IOI1642" s="21"/>
      <c r="IOJ1642" s="21"/>
      <c r="IOK1642" s="21"/>
      <c r="IOL1642" s="21"/>
      <c r="IOM1642" s="21"/>
      <c r="ION1642" s="21"/>
      <c r="IOO1642" s="21"/>
      <c r="IOP1642" s="21"/>
      <c r="IOQ1642" s="21"/>
      <c r="IOR1642" s="21"/>
      <c r="IOS1642" s="21"/>
      <c r="IOT1642" s="21"/>
      <c r="IOU1642" s="21"/>
      <c r="IOV1642" s="21"/>
      <c r="IOW1642" s="21"/>
      <c r="IOX1642" s="21"/>
      <c r="IOY1642" s="21"/>
      <c r="IOZ1642" s="21"/>
      <c r="IPA1642" s="21"/>
      <c r="IPB1642" s="21"/>
      <c r="IPC1642" s="21"/>
      <c r="IPD1642" s="21"/>
      <c r="IPE1642" s="21"/>
      <c r="IPF1642" s="21"/>
      <c r="IPG1642" s="21"/>
      <c r="IPH1642" s="21"/>
      <c r="IPI1642" s="21"/>
      <c r="IPJ1642" s="21"/>
      <c r="IPK1642" s="21"/>
      <c r="IPL1642" s="21"/>
      <c r="IPM1642" s="21"/>
      <c r="IPN1642" s="21"/>
      <c r="IPO1642" s="21"/>
      <c r="IPP1642" s="21"/>
      <c r="IPQ1642" s="21"/>
      <c r="IPR1642" s="21"/>
      <c r="IPS1642" s="21"/>
      <c r="IPT1642" s="21"/>
      <c r="IPU1642" s="21"/>
      <c r="IPV1642" s="21"/>
      <c r="IPW1642" s="21"/>
      <c r="IPX1642" s="21"/>
      <c r="IPY1642" s="21"/>
      <c r="IPZ1642" s="21"/>
      <c r="IQA1642" s="21"/>
      <c r="IQB1642" s="21"/>
      <c r="IQC1642" s="21"/>
      <c r="IQD1642" s="21"/>
      <c r="IQE1642" s="21"/>
      <c r="IQF1642" s="21"/>
      <c r="IQG1642" s="21"/>
      <c r="IQH1642" s="21"/>
      <c r="IQI1642" s="21"/>
      <c r="IQJ1642" s="21"/>
      <c r="IQK1642" s="21"/>
      <c r="IQL1642" s="21"/>
      <c r="IQM1642" s="21"/>
      <c r="IQN1642" s="21"/>
      <c r="IQO1642" s="21"/>
      <c r="IQP1642" s="21"/>
      <c r="IQQ1642" s="21"/>
      <c r="IQR1642" s="21"/>
      <c r="IQS1642" s="21"/>
      <c r="IQT1642" s="21"/>
      <c r="IQU1642" s="21"/>
      <c r="IQV1642" s="21"/>
      <c r="IQW1642" s="21"/>
      <c r="IQX1642" s="21"/>
      <c r="IQY1642" s="21"/>
      <c r="IQZ1642" s="21"/>
      <c r="IRA1642" s="21"/>
      <c r="IRB1642" s="21"/>
      <c r="IRC1642" s="21"/>
      <c r="IRD1642" s="21"/>
      <c r="IRE1642" s="21"/>
      <c r="IRF1642" s="21"/>
      <c r="IRG1642" s="21"/>
      <c r="IRH1642" s="21"/>
      <c r="IRI1642" s="21"/>
      <c r="IRJ1642" s="21"/>
      <c r="IRK1642" s="21"/>
      <c r="IRL1642" s="21"/>
      <c r="IRM1642" s="21"/>
      <c r="IRN1642" s="21"/>
      <c r="IRO1642" s="21"/>
      <c r="IRP1642" s="21"/>
      <c r="IRQ1642" s="21"/>
      <c r="IRR1642" s="21"/>
      <c r="IRS1642" s="21"/>
      <c r="IRT1642" s="21"/>
      <c r="IRU1642" s="21"/>
      <c r="IRV1642" s="21"/>
      <c r="IRW1642" s="21"/>
      <c r="IRX1642" s="21"/>
      <c r="IRY1642" s="21"/>
      <c r="IRZ1642" s="21"/>
      <c r="ISA1642" s="21"/>
      <c r="ISB1642" s="21"/>
      <c r="ISC1642" s="21"/>
      <c r="ISD1642" s="21"/>
      <c r="ISE1642" s="21"/>
      <c r="ISF1642" s="21"/>
      <c r="ISG1642" s="21"/>
      <c r="ISH1642" s="21"/>
      <c r="ISI1642" s="21"/>
      <c r="ISJ1642" s="21"/>
      <c r="ISK1642" s="21"/>
      <c r="ISL1642" s="21"/>
      <c r="ISM1642" s="21"/>
      <c r="ISN1642" s="21"/>
      <c r="ISO1642" s="21"/>
      <c r="ISP1642" s="21"/>
      <c r="ISQ1642" s="21"/>
      <c r="ISR1642" s="21"/>
      <c r="ISS1642" s="21"/>
      <c r="IST1642" s="21"/>
      <c r="ISU1642" s="21"/>
      <c r="ISV1642" s="21"/>
      <c r="ISW1642" s="21"/>
      <c r="ISX1642" s="21"/>
      <c r="ISY1642" s="21"/>
      <c r="ISZ1642" s="21"/>
      <c r="ITA1642" s="21"/>
      <c r="ITB1642" s="21"/>
      <c r="ITC1642" s="21"/>
      <c r="ITD1642" s="21"/>
      <c r="ITE1642" s="21"/>
      <c r="ITF1642" s="21"/>
      <c r="ITG1642" s="21"/>
      <c r="ITH1642" s="21"/>
      <c r="ITI1642" s="21"/>
      <c r="ITJ1642" s="21"/>
      <c r="ITK1642" s="21"/>
      <c r="ITL1642" s="21"/>
      <c r="ITM1642" s="21"/>
      <c r="ITN1642" s="21"/>
      <c r="ITO1642" s="21"/>
      <c r="ITP1642" s="21"/>
      <c r="ITQ1642" s="21"/>
      <c r="ITR1642" s="21"/>
      <c r="ITS1642" s="21"/>
      <c r="ITT1642" s="21"/>
      <c r="ITU1642" s="21"/>
      <c r="ITV1642" s="21"/>
      <c r="ITW1642" s="21"/>
      <c r="ITX1642" s="21"/>
      <c r="ITY1642" s="21"/>
      <c r="ITZ1642" s="21"/>
      <c r="IUA1642" s="21"/>
      <c r="IUB1642" s="21"/>
      <c r="IUC1642" s="21"/>
      <c r="IUD1642" s="21"/>
      <c r="IUE1642" s="21"/>
      <c r="IUF1642" s="21"/>
      <c r="IUG1642" s="21"/>
      <c r="IUH1642" s="21"/>
      <c r="IUI1642" s="21"/>
      <c r="IUJ1642" s="21"/>
      <c r="IUK1642" s="21"/>
      <c r="IUL1642" s="21"/>
      <c r="IUM1642" s="21"/>
      <c r="IUN1642" s="21"/>
      <c r="IUO1642" s="21"/>
      <c r="IUP1642" s="21"/>
      <c r="IUQ1642" s="21"/>
      <c r="IUR1642" s="21"/>
      <c r="IUS1642" s="21"/>
      <c r="IUT1642" s="21"/>
      <c r="IUU1642" s="21"/>
      <c r="IUV1642" s="21"/>
      <c r="IUW1642" s="21"/>
      <c r="IUX1642" s="21"/>
      <c r="IUY1642" s="21"/>
      <c r="IUZ1642" s="21"/>
      <c r="IVA1642" s="21"/>
      <c r="IVB1642" s="21"/>
      <c r="IVC1642" s="21"/>
      <c r="IVD1642" s="21"/>
      <c r="IVE1642" s="21"/>
      <c r="IVF1642" s="21"/>
      <c r="IVG1642" s="21"/>
      <c r="IVH1642" s="21"/>
      <c r="IVI1642" s="21"/>
      <c r="IVJ1642" s="21"/>
      <c r="IVK1642" s="21"/>
      <c r="IVL1642" s="21"/>
      <c r="IVM1642" s="21"/>
      <c r="IVN1642" s="21"/>
      <c r="IVO1642" s="21"/>
      <c r="IVP1642" s="21"/>
      <c r="IVQ1642" s="21"/>
      <c r="IVR1642" s="21"/>
      <c r="IVS1642" s="21"/>
      <c r="IVT1642" s="21"/>
      <c r="IVU1642" s="21"/>
      <c r="IVV1642" s="21"/>
      <c r="IVW1642" s="21"/>
      <c r="IVX1642" s="21"/>
      <c r="IVY1642" s="21"/>
      <c r="IVZ1642" s="21"/>
      <c r="IWA1642" s="21"/>
      <c r="IWB1642" s="21"/>
      <c r="IWC1642" s="21"/>
      <c r="IWD1642" s="21"/>
      <c r="IWE1642" s="21"/>
      <c r="IWF1642" s="21"/>
      <c r="IWG1642" s="21"/>
      <c r="IWH1642" s="21"/>
      <c r="IWI1642" s="21"/>
      <c r="IWJ1642" s="21"/>
      <c r="IWK1642" s="21"/>
      <c r="IWL1642" s="21"/>
      <c r="IWM1642" s="21"/>
      <c r="IWN1642" s="21"/>
      <c r="IWO1642" s="21"/>
      <c r="IWP1642" s="21"/>
      <c r="IWQ1642" s="21"/>
      <c r="IWR1642" s="21"/>
      <c r="IWS1642" s="21"/>
      <c r="IWT1642" s="21"/>
      <c r="IWU1642" s="21"/>
      <c r="IWV1642" s="21"/>
      <c r="IWW1642" s="21"/>
      <c r="IWX1642" s="21"/>
      <c r="IWY1642" s="21"/>
      <c r="IWZ1642" s="21"/>
      <c r="IXA1642" s="21"/>
      <c r="IXB1642" s="21"/>
      <c r="IXC1642" s="21"/>
      <c r="IXD1642" s="21"/>
      <c r="IXE1642" s="21"/>
      <c r="IXF1642" s="21"/>
      <c r="IXG1642" s="21"/>
      <c r="IXH1642" s="21"/>
      <c r="IXI1642" s="21"/>
      <c r="IXJ1642" s="21"/>
      <c r="IXK1642" s="21"/>
      <c r="IXL1642" s="21"/>
      <c r="IXM1642" s="21"/>
      <c r="IXN1642" s="21"/>
      <c r="IXO1642" s="21"/>
      <c r="IXP1642" s="21"/>
      <c r="IXQ1642" s="21"/>
      <c r="IXR1642" s="21"/>
      <c r="IXS1642" s="21"/>
      <c r="IXT1642" s="21"/>
      <c r="IXU1642" s="21"/>
      <c r="IXV1642" s="21"/>
      <c r="IXW1642" s="21"/>
      <c r="IXX1642" s="21"/>
      <c r="IXY1642" s="21"/>
      <c r="IXZ1642" s="21"/>
      <c r="IYA1642" s="21"/>
      <c r="IYB1642" s="21"/>
      <c r="IYC1642" s="21"/>
      <c r="IYD1642" s="21"/>
      <c r="IYE1642" s="21"/>
      <c r="IYF1642" s="21"/>
      <c r="IYG1642" s="21"/>
      <c r="IYH1642" s="21"/>
      <c r="IYI1642" s="21"/>
      <c r="IYJ1642" s="21"/>
      <c r="IYK1642" s="21"/>
      <c r="IYL1642" s="21"/>
      <c r="IYM1642" s="21"/>
      <c r="IYN1642" s="21"/>
      <c r="IYO1642" s="21"/>
      <c r="IYP1642" s="21"/>
      <c r="IYQ1642" s="21"/>
      <c r="IYR1642" s="21"/>
      <c r="IYS1642" s="21"/>
      <c r="IYT1642" s="21"/>
      <c r="IYU1642" s="21"/>
      <c r="IYV1642" s="21"/>
      <c r="IYW1642" s="21"/>
      <c r="IYX1642" s="21"/>
      <c r="IYY1642" s="21"/>
      <c r="IYZ1642" s="21"/>
      <c r="IZA1642" s="21"/>
      <c r="IZB1642" s="21"/>
      <c r="IZC1642" s="21"/>
      <c r="IZD1642" s="21"/>
      <c r="IZE1642" s="21"/>
      <c r="IZF1642" s="21"/>
      <c r="IZG1642" s="21"/>
      <c r="IZH1642" s="21"/>
      <c r="IZI1642" s="21"/>
      <c r="IZJ1642" s="21"/>
      <c r="IZK1642" s="21"/>
      <c r="IZL1642" s="21"/>
      <c r="IZM1642" s="21"/>
      <c r="IZN1642" s="21"/>
      <c r="IZO1642" s="21"/>
      <c r="IZP1642" s="21"/>
      <c r="IZQ1642" s="21"/>
      <c r="IZR1642" s="21"/>
      <c r="IZS1642" s="21"/>
      <c r="IZT1642" s="21"/>
      <c r="IZU1642" s="21"/>
      <c r="IZV1642" s="21"/>
      <c r="IZW1642" s="21"/>
      <c r="IZX1642" s="21"/>
      <c r="IZY1642" s="21"/>
      <c r="IZZ1642" s="21"/>
      <c r="JAA1642" s="21"/>
      <c r="JAB1642" s="21"/>
      <c r="JAC1642" s="21"/>
      <c r="JAD1642" s="21"/>
      <c r="JAE1642" s="21"/>
      <c r="JAF1642" s="21"/>
      <c r="JAG1642" s="21"/>
      <c r="JAH1642" s="21"/>
      <c r="JAI1642" s="21"/>
      <c r="JAJ1642" s="21"/>
      <c r="JAK1642" s="21"/>
      <c r="JAL1642" s="21"/>
      <c r="JAM1642" s="21"/>
      <c r="JAN1642" s="21"/>
      <c r="JAO1642" s="21"/>
      <c r="JAP1642" s="21"/>
      <c r="JAQ1642" s="21"/>
      <c r="JAR1642" s="21"/>
      <c r="JAS1642" s="21"/>
      <c r="JAT1642" s="21"/>
      <c r="JAU1642" s="21"/>
      <c r="JAV1642" s="21"/>
      <c r="JAW1642" s="21"/>
      <c r="JAX1642" s="21"/>
      <c r="JAY1642" s="21"/>
      <c r="JAZ1642" s="21"/>
      <c r="JBA1642" s="21"/>
      <c r="JBB1642" s="21"/>
      <c r="JBC1642" s="21"/>
      <c r="JBD1642" s="21"/>
      <c r="JBE1642" s="21"/>
      <c r="JBF1642" s="21"/>
      <c r="JBG1642" s="21"/>
      <c r="JBH1642" s="21"/>
      <c r="JBI1642" s="21"/>
      <c r="JBJ1642" s="21"/>
      <c r="JBK1642" s="21"/>
      <c r="JBL1642" s="21"/>
      <c r="JBM1642" s="21"/>
      <c r="JBN1642" s="21"/>
      <c r="JBO1642" s="21"/>
      <c r="JBP1642" s="21"/>
      <c r="JBQ1642" s="21"/>
      <c r="JBR1642" s="21"/>
      <c r="JBS1642" s="21"/>
      <c r="JBT1642" s="21"/>
      <c r="JBU1642" s="21"/>
      <c r="JBV1642" s="21"/>
      <c r="JBW1642" s="21"/>
      <c r="JBX1642" s="21"/>
      <c r="JBY1642" s="21"/>
      <c r="JBZ1642" s="21"/>
      <c r="JCA1642" s="21"/>
      <c r="JCB1642" s="21"/>
      <c r="JCC1642" s="21"/>
      <c r="JCD1642" s="21"/>
      <c r="JCE1642" s="21"/>
      <c r="JCF1642" s="21"/>
      <c r="JCG1642" s="21"/>
      <c r="JCH1642" s="21"/>
      <c r="JCI1642" s="21"/>
      <c r="JCJ1642" s="21"/>
      <c r="JCK1642" s="21"/>
      <c r="JCL1642" s="21"/>
      <c r="JCM1642" s="21"/>
      <c r="JCN1642" s="21"/>
      <c r="JCO1642" s="21"/>
      <c r="JCP1642" s="21"/>
      <c r="JCQ1642" s="21"/>
      <c r="JCR1642" s="21"/>
      <c r="JCS1642" s="21"/>
      <c r="JCT1642" s="21"/>
      <c r="JCU1642" s="21"/>
      <c r="JCV1642" s="21"/>
      <c r="JCW1642" s="21"/>
      <c r="JCX1642" s="21"/>
      <c r="JCY1642" s="21"/>
      <c r="JCZ1642" s="21"/>
      <c r="JDA1642" s="21"/>
      <c r="JDB1642" s="21"/>
      <c r="JDC1642" s="21"/>
      <c r="JDD1642" s="21"/>
      <c r="JDE1642" s="21"/>
      <c r="JDF1642" s="21"/>
      <c r="JDG1642" s="21"/>
      <c r="JDH1642" s="21"/>
      <c r="JDI1642" s="21"/>
      <c r="JDJ1642" s="21"/>
      <c r="JDK1642" s="21"/>
      <c r="JDL1642" s="21"/>
      <c r="JDM1642" s="21"/>
      <c r="JDN1642" s="21"/>
      <c r="JDO1642" s="21"/>
      <c r="JDP1642" s="21"/>
      <c r="JDQ1642" s="21"/>
      <c r="JDR1642" s="21"/>
      <c r="JDS1642" s="21"/>
      <c r="JDT1642" s="21"/>
      <c r="JDU1642" s="21"/>
      <c r="JDV1642" s="21"/>
      <c r="JDW1642" s="21"/>
      <c r="JDX1642" s="21"/>
      <c r="JDY1642" s="21"/>
      <c r="JDZ1642" s="21"/>
      <c r="JEA1642" s="21"/>
      <c r="JEB1642" s="21"/>
      <c r="JEC1642" s="21"/>
      <c r="JED1642" s="21"/>
      <c r="JEE1642" s="21"/>
      <c r="JEF1642" s="21"/>
      <c r="JEG1642" s="21"/>
      <c r="JEH1642" s="21"/>
      <c r="JEI1642" s="21"/>
      <c r="JEJ1642" s="21"/>
      <c r="JEK1642" s="21"/>
      <c r="JEL1642" s="21"/>
      <c r="JEM1642" s="21"/>
      <c r="JEN1642" s="21"/>
      <c r="JEO1642" s="21"/>
      <c r="JEP1642" s="21"/>
      <c r="JEQ1642" s="21"/>
      <c r="JER1642" s="21"/>
      <c r="JES1642" s="21"/>
      <c r="JET1642" s="21"/>
      <c r="JEU1642" s="21"/>
      <c r="JEV1642" s="21"/>
      <c r="JEW1642" s="21"/>
      <c r="JEX1642" s="21"/>
      <c r="JEY1642" s="21"/>
      <c r="JEZ1642" s="21"/>
      <c r="JFA1642" s="21"/>
      <c r="JFB1642" s="21"/>
      <c r="JFC1642" s="21"/>
      <c r="JFD1642" s="21"/>
      <c r="JFE1642" s="21"/>
      <c r="JFF1642" s="21"/>
      <c r="JFG1642" s="21"/>
      <c r="JFH1642" s="21"/>
      <c r="JFI1642" s="21"/>
      <c r="JFJ1642" s="21"/>
      <c r="JFK1642" s="21"/>
      <c r="JFL1642" s="21"/>
      <c r="JFM1642" s="21"/>
      <c r="JFN1642" s="21"/>
      <c r="JFO1642" s="21"/>
      <c r="JFP1642" s="21"/>
      <c r="JFQ1642" s="21"/>
      <c r="JFR1642" s="21"/>
      <c r="JFS1642" s="21"/>
      <c r="JFT1642" s="21"/>
      <c r="JFU1642" s="21"/>
      <c r="JFV1642" s="21"/>
      <c r="JFW1642" s="21"/>
      <c r="JFX1642" s="21"/>
      <c r="JFY1642" s="21"/>
      <c r="JFZ1642" s="21"/>
      <c r="JGA1642" s="21"/>
      <c r="JGB1642" s="21"/>
      <c r="JGC1642" s="21"/>
      <c r="JGD1642" s="21"/>
      <c r="JGE1642" s="21"/>
      <c r="JGF1642" s="21"/>
      <c r="JGG1642" s="21"/>
      <c r="JGH1642" s="21"/>
      <c r="JGI1642" s="21"/>
      <c r="JGJ1642" s="21"/>
      <c r="JGK1642" s="21"/>
      <c r="JGL1642" s="21"/>
      <c r="JGM1642" s="21"/>
      <c r="JGN1642" s="21"/>
      <c r="JGO1642" s="21"/>
      <c r="JGP1642" s="21"/>
      <c r="JGQ1642" s="21"/>
      <c r="JGR1642" s="21"/>
      <c r="JGS1642" s="21"/>
      <c r="JGT1642" s="21"/>
      <c r="JGU1642" s="21"/>
      <c r="JGV1642" s="21"/>
      <c r="JGW1642" s="21"/>
      <c r="JGX1642" s="21"/>
      <c r="JGY1642" s="21"/>
      <c r="JGZ1642" s="21"/>
      <c r="JHA1642" s="21"/>
      <c r="JHB1642" s="21"/>
      <c r="JHC1642" s="21"/>
      <c r="JHD1642" s="21"/>
      <c r="JHE1642" s="21"/>
      <c r="JHF1642" s="21"/>
      <c r="JHG1642" s="21"/>
      <c r="JHH1642" s="21"/>
      <c r="JHI1642" s="21"/>
      <c r="JHJ1642" s="21"/>
      <c r="JHK1642" s="21"/>
      <c r="JHL1642" s="21"/>
      <c r="JHM1642" s="21"/>
      <c r="JHN1642" s="21"/>
      <c r="JHO1642" s="21"/>
      <c r="JHP1642" s="21"/>
      <c r="JHQ1642" s="21"/>
      <c r="JHR1642" s="21"/>
      <c r="JHS1642" s="21"/>
      <c r="JHT1642" s="21"/>
      <c r="JHU1642" s="21"/>
      <c r="JHV1642" s="21"/>
      <c r="JHW1642" s="21"/>
      <c r="JHX1642" s="21"/>
      <c r="JHY1642" s="21"/>
      <c r="JHZ1642" s="21"/>
      <c r="JIA1642" s="21"/>
      <c r="JIB1642" s="21"/>
      <c r="JIC1642" s="21"/>
      <c r="JID1642" s="21"/>
      <c r="JIE1642" s="21"/>
      <c r="JIF1642" s="21"/>
      <c r="JIG1642" s="21"/>
      <c r="JIH1642" s="21"/>
      <c r="JII1642" s="21"/>
      <c r="JIJ1642" s="21"/>
      <c r="JIK1642" s="21"/>
      <c r="JIL1642" s="21"/>
      <c r="JIM1642" s="21"/>
      <c r="JIN1642" s="21"/>
      <c r="JIO1642" s="21"/>
      <c r="JIP1642" s="21"/>
      <c r="JIQ1642" s="21"/>
      <c r="JIR1642" s="21"/>
      <c r="JIS1642" s="21"/>
      <c r="JIT1642" s="21"/>
      <c r="JIU1642" s="21"/>
      <c r="JIV1642" s="21"/>
      <c r="JIW1642" s="21"/>
      <c r="JIX1642" s="21"/>
      <c r="JIY1642" s="21"/>
      <c r="JIZ1642" s="21"/>
      <c r="JJA1642" s="21"/>
      <c r="JJB1642" s="21"/>
      <c r="JJC1642" s="21"/>
      <c r="JJD1642" s="21"/>
      <c r="JJE1642" s="21"/>
      <c r="JJF1642" s="21"/>
      <c r="JJG1642" s="21"/>
      <c r="JJH1642" s="21"/>
      <c r="JJI1642" s="21"/>
      <c r="JJJ1642" s="21"/>
      <c r="JJK1642" s="21"/>
      <c r="JJL1642" s="21"/>
      <c r="JJM1642" s="21"/>
      <c r="JJN1642" s="21"/>
      <c r="JJO1642" s="21"/>
      <c r="JJP1642" s="21"/>
      <c r="JJQ1642" s="21"/>
      <c r="JJR1642" s="21"/>
      <c r="JJS1642" s="21"/>
      <c r="JJT1642" s="21"/>
      <c r="JJU1642" s="21"/>
      <c r="JJV1642" s="21"/>
      <c r="JJW1642" s="21"/>
      <c r="JJX1642" s="21"/>
      <c r="JJY1642" s="21"/>
      <c r="JJZ1642" s="21"/>
      <c r="JKA1642" s="21"/>
      <c r="JKB1642" s="21"/>
      <c r="JKC1642" s="21"/>
      <c r="JKD1642" s="21"/>
      <c r="JKE1642" s="21"/>
      <c r="JKF1642" s="21"/>
      <c r="JKG1642" s="21"/>
      <c r="JKH1642" s="21"/>
      <c r="JKI1642" s="21"/>
      <c r="JKJ1642" s="21"/>
      <c r="JKK1642" s="21"/>
      <c r="JKL1642" s="21"/>
      <c r="JKM1642" s="21"/>
      <c r="JKN1642" s="21"/>
      <c r="JKO1642" s="21"/>
      <c r="JKP1642" s="21"/>
      <c r="JKQ1642" s="21"/>
      <c r="JKR1642" s="21"/>
      <c r="JKS1642" s="21"/>
      <c r="JKT1642" s="21"/>
      <c r="JKU1642" s="21"/>
      <c r="JKV1642" s="21"/>
      <c r="JKW1642" s="21"/>
      <c r="JKX1642" s="21"/>
      <c r="JKY1642" s="21"/>
      <c r="JKZ1642" s="21"/>
      <c r="JLA1642" s="21"/>
      <c r="JLB1642" s="21"/>
      <c r="JLC1642" s="21"/>
      <c r="JLD1642" s="21"/>
      <c r="JLE1642" s="21"/>
      <c r="JLF1642" s="21"/>
      <c r="JLG1642" s="21"/>
      <c r="JLH1642" s="21"/>
      <c r="JLI1642" s="21"/>
      <c r="JLJ1642" s="21"/>
      <c r="JLK1642" s="21"/>
      <c r="JLL1642" s="21"/>
      <c r="JLM1642" s="21"/>
      <c r="JLN1642" s="21"/>
      <c r="JLO1642" s="21"/>
      <c r="JLP1642" s="21"/>
      <c r="JLQ1642" s="21"/>
      <c r="JLR1642" s="21"/>
      <c r="JLS1642" s="21"/>
      <c r="JLT1642" s="21"/>
      <c r="JLU1642" s="21"/>
      <c r="JLV1642" s="21"/>
      <c r="JLW1642" s="21"/>
      <c r="JLX1642" s="21"/>
      <c r="JLY1642" s="21"/>
      <c r="JLZ1642" s="21"/>
      <c r="JMA1642" s="21"/>
      <c r="JMB1642" s="21"/>
      <c r="JMC1642" s="21"/>
      <c r="JMD1642" s="21"/>
      <c r="JME1642" s="21"/>
      <c r="JMF1642" s="21"/>
      <c r="JMG1642" s="21"/>
      <c r="JMH1642" s="21"/>
      <c r="JMI1642" s="21"/>
      <c r="JMJ1642" s="21"/>
      <c r="JMK1642" s="21"/>
      <c r="JML1642" s="21"/>
      <c r="JMM1642" s="21"/>
      <c r="JMN1642" s="21"/>
      <c r="JMO1642" s="21"/>
      <c r="JMP1642" s="21"/>
      <c r="JMQ1642" s="21"/>
      <c r="JMR1642" s="21"/>
      <c r="JMS1642" s="21"/>
      <c r="JMT1642" s="21"/>
      <c r="JMU1642" s="21"/>
      <c r="JMV1642" s="21"/>
      <c r="JMW1642" s="21"/>
      <c r="JMX1642" s="21"/>
      <c r="JMY1642" s="21"/>
      <c r="JMZ1642" s="21"/>
      <c r="JNA1642" s="21"/>
      <c r="JNB1642" s="21"/>
      <c r="JNC1642" s="21"/>
      <c r="JND1642" s="21"/>
      <c r="JNE1642" s="21"/>
      <c r="JNF1642" s="21"/>
      <c r="JNG1642" s="21"/>
      <c r="JNH1642" s="21"/>
      <c r="JNI1642" s="21"/>
      <c r="JNJ1642" s="21"/>
      <c r="JNK1642" s="21"/>
      <c r="JNL1642" s="21"/>
      <c r="JNM1642" s="21"/>
      <c r="JNN1642" s="21"/>
      <c r="JNO1642" s="21"/>
      <c r="JNP1642" s="21"/>
      <c r="JNQ1642" s="21"/>
      <c r="JNR1642" s="21"/>
      <c r="JNS1642" s="21"/>
      <c r="JNT1642" s="21"/>
      <c r="JNU1642" s="21"/>
      <c r="JNV1642" s="21"/>
      <c r="JNW1642" s="21"/>
      <c r="JNX1642" s="21"/>
      <c r="JNY1642" s="21"/>
      <c r="JNZ1642" s="21"/>
      <c r="JOA1642" s="21"/>
      <c r="JOB1642" s="21"/>
      <c r="JOC1642" s="21"/>
      <c r="JOD1642" s="21"/>
      <c r="JOE1642" s="21"/>
      <c r="JOF1642" s="21"/>
      <c r="JOG1642" s="21"/>
      <c r="JOH1642" s="21"/>
      <c r="JOI1642" s="21"/>
      <c r="JOJ1642" s="21"/>
      <c r="JOK1642" s="21"/>
      <c r="JOL1642" s="21"/>
      <c r="JOM1642" s="21"/>
      <c r="JON1642" s="21"/>
      <c r="JOO1642" s="21"/>
      <c r="JOP1642" s="21"/>
      <c r="JOQ1642" s="21"/>
      <c r="JOR1642" s="21"/>
      <c r="JOS1642" s="21"/>
      <c r="JOT1642" s="21"/>
      <c r="JOU1642" s="21"/>
      <c r="JOV1642" s="21"/>
      <c r="JOW1642" s="21"/>
      <c r="JOX1642" s="21"/>
      <c r="JOY1642" s="21"/>
      <c r="JOZ1642" s="21"/>
      <c r="JPA1642" s="21"/>
      <c r="JPB1642" s="21"/>
      <c r="JPC1642" s="21"/>
      <c r="JPD1642" s="21"/>
      <c r="JPE1642" s="21"/>
      <c r="JPF1642" s="21"/>
      <c r="JPG1642" s="21"/>
      <c r="JPH1642" s="21"/>
      <c r="JPI1642" s="21"/>
      <c r="JPJ1642" s="21"/>
      <c r="JPK1642" s="21"/>
      <c r="JPL1642" s="21"/>
      <c r="JPM1642" s="21"/>
      <c r="JPN1642" s="21"/>
      <c r="JPO1642" s="21"/>
      <c r="JPP1642" s="21"/>
      <c r="JPQ1642" s="21"/>
      <c r="JPR1642" s="21"/>
      <c r="JPS1642" s="21"/>
      <c r="JPT1642" s="21"/>
      <c r="JPU1642" s="21"/>
      <c r="JPV1642" s="21"/>
      <c r="JPW1642" s="21"/>
      <c r="JPX1642" s="21"/>
      <c r="JPY1642" s="21"/>
      <c r="JPZ1642" s="21"/>
      <c r="JQA1642" s="21"/>
      <c r="JQB1642" s="21"/>
      <c r="JQC1642" s="21"/>
      <c r="JQD1642" s="21"/>
      <c r="JQE1642" s="21"/>
      <c r="JQF1642" s="21"/>
      <c r="JQG1642" s="21"/>
      <c r="JQH1642" s="21"/>
      <c r="JQI1642" s="21"/>
      <c r="JQJ1642" s="21"/>
      <c r="JQK1642" s="21"/>
      <c r="JQL1642" s="21"/>
      <c r="JQM1642" s="21"/>
      <c r="JQN1642" s="21"/>
      <c r="JQO1642" s="21"/>
      <c r="JQP1642" s="21"/>
      <c r="JQQ1642" s="21"/>
      <c r="JQR1642" s="21"/>
      <c r="JQS1642" s="21"/>
      <c r="JQT1642" s="21"/>
      <c r="JQU1642" s="21"/>
      <c r="JQV1642" s="21"/>
      <c r="JQW1642" s="21"/>
      <c r="JQX1642" s="21"/>
      <c r="JQY1642" s="21"/>
      <c r="JQZ1642" s="21"/>
      <c r="JRA1642" s="21"/>
      <c r="JRB1642" s="21"/>
      <c r="JRC1642" s="21"/>
      <c r="JRD1642" s="21"/>
      <c r="JRE1642" s="21"/>
      <c r="JRF1642" s="21"/>
      <c r="JRG1642" s="21"/>
      <c r="JRH1642" s="21"/>
      <c r="JRI1642" s="21"/>
      <c r="JRJ1642" s="21"/>
      <c r="JRK1642" s="21"/>
      <c r="JRL1642" s="21"/>
      <c r="JRM1642" s="21"/>
      <c r="JRN1642" s="21"/>
      <c r="JRO1642" s="21"/>
      <c r="JRP1642" s="21"/>
      <c r="JRQ1642" s="21"/>
      <c r="JRR1642" s="21"/>
      <c r="JRS1642" s="21"/>
      <c r="JRT1642" s="21"/>
      <c r="JRU1642" s="21"/>
      <c r="JRV1642" s="21"/>
      <c r="JRW1642" s="21"/>
      <c r="JRX1642" s="21"/>
      <c r="JRY1642" s="21"/>
      <c r="JRZ1642" s="21"/>
      <c r="JSA1642" s="21"/>
      <c r="JSB1642" s="21"/>
      <c r="JSC1642" s="21"/>
      <c r="JSD1642" s="21"/>
      <c r="JSE1642" s="21"/>
      <c r="JSF1642" s="21"/>
      <c r="JSG1642" s="21"/>
      <c r="JSH1642" s="21"/>
      <c r="JSI1642" s="21"/>
      <c r="JSJ1642" s="21"/>
      <c r="JSK1642" s="21"/>
      <c r="JSL1642" s="21"/>
      <c r="JSM1642" s="21"/>
      <c r="JSN1642" s="21"/>
      <c r="JSO1642" s="21"/>
      <c r="JSP1642" s="21"/>
      <c r="JSQ1642" s="21"/>
      <c r="JSR1642" s="21"/>
      <c r="JSS1642" s="21"/>
      <c r="JST1642" s="21"/>
      <c r="JSU1642" s="21"/>
      <c r="JSV1642" s="21"/>
      <c r="JSW1642" s="21"/>
      <c r="JSX1642" s="21"/>
      <c r="JSY1642" s="21"/>
      <c r="JSZ1642" s="21"/>
      <c r="JTA1642" s="21"/>
      <c r="JTB1642" s="21"/>
      <c r="JTC1642" s="21"/>
      <c r="JTD1642" s="21"/>
      <c r="JTE1642" s="21"/>
      <c r="JTF1642" s="21"/>
      <c r="JTG1642" s="21"/>
      <c r="JTH1642" s="21"/>
      <c r="JTI1642" s="21"/>
      <c r="JTJ1642" s="21"/>
      <c r="JTK1642" s="21"/>
      <c r="JTL1642" s="21"/>
      <c r="JTM1642" s="21"/>
      <c r="JTN1642" s="21"/>
      <c r="JTO1642" s="21"/>
      <c r="JTP1642" s="21"/>
      <c r="JTQ1642" s="21"/>
      <c r="JTR1642" s="21"/>
      <c r="JTS1642" s="21"/>
      <c r="JTT1642" s="21"/>
      <c r="JTU1642" s="21"/>
      <c r="JTV1642" s="21"/>
      <c r="JTW1642" s="21"/>
      <c r="JTX1642" s="21"/>
      <c r="JTY1642" s="21"/>
      <c r="JTZ1642" s="21"/>
      <c r="JUA1642" s="21"/>
      <c r="JUB1642" s="21"/>
      <c r="JUC1642" s="21"/>
      <c r="JUD1642" s="21"/>
      <c r="JUE1642" s="21"/>
      <c r="JUF1642" s="21"/>
      <c r="JUG1642" s="21"/>
      <c r="JUH1642" s="21"/>
      <c r="JUI1642" s="21"/>
      <c r="JUJ1642" s="21"/>
      <c r="JUK1642" s="21"/>
      <c r="JUL1642" s="21"/>
      <c r="JUM1642" s="21"/>
      <c r="JUN1642" s="21"/>
      <c r="JUO1642" s="21"/>
      <c r="JUP1642" s="21"/>
      <c r="JUQ1642" s="21"/>
      <c r="JUR1642" s="21"/>
      <c r="JUS1642" s="21"/>
      <c r="JUT1642" s="21"/>
      <c r="JUU1642" s="21"/>
      <c r="JUV1642" s="21"/>
      <c r="JUW1642" s="21"/>
      <c r="JUX1642" s="21"/>
      <c r="JUY1642" s="21"/>
      <c r="JUZ1642" s="21"/>
      <c r="JVA1642" s="21"/>
      <c r="JVB1642" s="21"/>
      <c r="JVC1642" s="21"/>
      <c r="JVD1642" s="21"/>
      <c r="JVE1642" s="21"/>
      <c r="JVF1642" s="21"/>
      <c r="JVG1642" s="21"/>
      <c r="JVH1642" s="21"/>
      <c r="JVI1642" s="21"/>
      <c r="JVJ1642" s="21"/>
      <c r="JVK1642" s="21"/>
      <c r="JVL1642" s="21"/>
      <c r="JVM1642" s="21"/>
      <c r="JVN1642" s="21"/>
      <c r="JVO1642" s="21"/>
      <c r="JVP1642" s="21"/>
      <c r="JVQ1642" s="21"/>
      <c r="JVR1642" s="21"/>
      <c r="JVS1642" s="21"/>
      <c r="JVT1642" s="21"/>
      <c r="JVU1642" s="21"/>
      <c r="JVV1642" s="21"/>
      <c r="JVW1642" s="21"/>
      <c r="JVX1642" s="21"/>
      <c r="JVY1642" s="21"/>
      <c r="JVZ1642" s="21"/>
      <c r="JWA1642" s="21"/>
      <c r="JWB1642" s="21"/>
      <c r="JWC1642" s="21"/>
      <c r="JWD1642" s="21"/>
      <c r="JWE1642" s="21"/>
      <c r="JWF1642" s="21"/>
      <c r="JWG1642" s="21"/>
      <c r="JWH1642" s="21"/>
      <c r="JWI1642" s="21"/>
      <c r="JWJ1642" s="21"/>
      <c r="JWK1642" s="21"/>
      <c r="JWL1642" s="21"/>
      <c r="JWM1642" s="21"/>
      <c r="JWN1642" s="21"/>
      <c r="JWO1642" s="21"/>
      <c r="JWP1642" s="21"/>
      <c r="JWQ1642" s="21"/>
      <c r="JWR1642" s="21"/>
      <c r="JWS1642" s="21"/>
      <c r="JWT1642" s="21"/>
      <c r="JWU1642" s="21"/>
      <c r="JWV1642" s="21"/>
      <c r="JWW1642" s="21"/>
      <c r="JWX1642" s="21"/>
      <c r="JWY1642" s="21"/>
      <c r="JWZ1642" s="21"/>
      <c r="JXA1642" s="21"/>
      <c r="JXB1642" s="21"/>
      <c r="JXC1642" s="21"/>
      <c r="JXD1642" s="21"/>
      <c r="JXE1642" s="21"/>
      <c r="JXF1642" s="21"/>
      <c r="JXG1642" s="21"/>
      <c r="JXH1642" s="21"/>
      <c r="JXI1642" s="21"/>
      <c r="JXJ1642" s="21"/>
      <c r="JXK1642" s="21"/>
      <c r="JXL1642" s="21"/>
      <c r="JXM1642" s="21"/>
      <c r="JXN1642" s="21"/>
      <c r="JXO1642" s="21"/>
      <c r="JXP1642" s="21"/>
      <c r="JXQ1642" s="21"/>
      <c r="JXR1642" s="21"/>
      <c r="JXS1642" s="21"/>
      <c r="JXT1642" s="21"/>
      <c r="JXU1642" s="21"/>
      <c r="JXV1642" s="21"/>
      <c r="JXW1642" s="21"/>
      <c r="JXX1642" s="21"/>
      <c r="JXY1642" s="21"/>
      <c r="JXZ1642" s="21"/>
      <c r="JYA1642" s="21"/>
      <c r="JYB1642" s="21"/>
      <c r="JYC1642" s="21"/>
      <c r="JYD1642" s="21"/>
      <c r="JYE1642" s="21"/>
      <c r="JYF1642" s="21"/>
      <c r="JYG1642" s="21"/>
      <c r="JYH1642" s="21"/>
      <c r="JYI1642" s="21"/>
      <c r="JYJ1642" s="21"/>
      <c r="JYK1642" s="21"/>
      <c r="JYL1642" s="21"/>
      <c r="JYM1642" s="21"/>
      <c r="JYN1642" s="21"/>
      <c r="JYO1642" s="21"/>
      <c r="JYP1642" s="21"/>
      <c r="JYQ1642" s="21"/>
      <c r="JYR1642" s="21"/>
      <c r="JYS1642" s="21"/>
      <c r="JYT1642" s="21"/>
      <c r="JYU1642" s="21"/>
      <c r="JYV1642" s="21"/>
      <c r="JYW1642" s="21"/>
      <c r="JYX1642" s="21"/>
      <c r="JYY1642" s="21"/>
      <c r="JYZ1642" s="21"/>
      <c r="JZA1642" s="21"/>
      <c r="JZB1642" s="21"/>
      <c r="JZC1642" s="21"/>
      <c r="JZD1642" s="21"/>
      <c r="JZE1642" s="21"/>
      <c r="JZF1642" s="21"/>
      <c r="JZG1642" s="21"/>
      <c r="JZH1642" s="21"/>
      <c r="JZI1642" s="21"/>
      <c r="JZJ1642" s="21"/>
      <c r="JZK1642" s="21"/>
      <c r="JZL1642" s="21"/>
      <c r="JZM1642" s="21"/>
      <c r="JZN1642" s="21"/>
      <c r="JZO1642" s="21"/>
      <c r="JZP1642" s="21"/>
      <c r="JZQ1642" s="21"/>
      <c r="JZR1642" s="21"/>
      <c r="JZS1642" s="21"/>
      <c r="JZT1642" s="21"/>
      <c r="JZU1642" s="21"/>
      <c r="JZV1642" s="21"/>
      <c r="JZW1642" s="21"/>
      <c r="JZX1642" s="21"/>
      <c r="JZY1642" s="21"/>
      <c r="JZZ1642" s="21"/>
      <c r="KAA1642" s="21"/>
      <c r="KAB1642" s="21"/>
      <c r="KAC1642" s="21"/>
      <c r="KAD1642" s="21"/>
      <c r="KAE1642" s="21"/>
      <c r="KAF1642" s="21"/>
      <c r="KAG1642" s="21"/>
      <c r="KAH1642" s="21"/>
      <c r="KAI1642" s="21"/>
      <c r="KAJ1642" s="21"/>
      <c r="KAK1642" s="21"/>
      <c r="KAL1642" s="21"/>
      <c r="KAM1642" s="21"/>
      <c r="KAN1642" s="21"/>
      <c r="KAO1642" s="21"/>
      <c r="KAP1642" s="21"/>
      <c r="KAQ1642" s="21"/>
      <c r="KAR1642" s="21"/>
      <c r="KAS1642" s="21"/>
      <c r="KAT1642" s="21"/>
      <c r="KAU1642" s="21"/>
      <c r="KAV1642" s="21"/>
      <c r="KAW1642" s="21"/>
      <c r="KAX1642" s="21"/>
      <c r="KAY1642" s="21"/>
      <c r="KAZ1642" s="21"/>
      <c r="KBA1642" s="21"/>
      <c r="KBB1642" s="21"/>
      <c r="KBC1642" s="21"/>
      <c r="KBD1642" s="21"/>
      <c r="KBE1642" s="21"/>
      <c r="KBF1642" s="21"/>
      <c r="KBG1642" s="21"/>
      <c r="KBH1642" s="21"/>
      <c r="KBI1642" s="21"/>
      <c r="KBJ1642" s="21"/>
      <c r="KBK1642" s="21"/>
      <c r="KBL1642" s="21"/>
      <c r="KBM1642" s="21"/>
      <c r="KBN1642" s="21"/>
      <c r="KBO1642" s="21"/>
      <c r="KBP1642" s="21"/>
      <c r="KBQ1642" s="21"/>
      <c r="KBR1642" s="21"/>
      <c r="KBS1642" s="21"/>
      <c r="KBT1642" s="21"/>
      <c r="KBU1642" s="21"/>
      <c r="KBV1642" s="21"/>
      <c r="KBW1642" s="21"/>
      <c r="KBX1642" s="21"/>
      <c r="KBY1642" s="21"/>
      <c r="KBZ1642" s="21"/>
      <c r="KCA1642" s="21"/>
      <c r="KCB1642" s="21"/>
      <c r="KCC1642" s="21"/>
      <c r="KCD1642" s="21"/>
      <c r="KCE1642" s="21"/>
      <c r="KCF1642" s="21"/>
      <c r="KCG1642" s="21"/>
      <c r="KCH1642" s="21"/>
      <c r="KCI1642" s="21"/>
      <c r="KCJ1642" s="21"/>
      <c r="KCK1642" s="21"/>
      <c r="KCL1642" s="21"/>
      <c r="KCM1642" s="21"/>
      <c r="KCN1642" s="21"/>
      <c r="KCO1642" s="21"/>
      <c r="KCP1642" s="21"/>
      <c r="KCQ1642" s="21"/>
      <c r="KCR1642" s="21"/>
      <c r="KCS1642" s="21"/>
      <c r="KCT1642" s="21"/>
      <c r="KCU1642" s="21"/>
      <c r="KCV1642" s="21"/>
      <c r="KCW1642" s="21"/>
      <c r="KCX1642" s="21"/>
      <c r="KCY1642" s="21"/>
      <c r="KCZ1642" s="21"/>
      <c r="KDA1642" s="21"/>
      <c r="KDB1642" s="21"/>
      <c r="KDC1642" s="21"/>
      <c r="KDD1642" s="21"/>
      <c r="KDE1642" s="21"/>
      <c r="KDF1642" s="21"/>
      <c r="KDG1642" s="21"/>
      <c r="KDH1642" s="21"/>
      <c r="KDI1642" s="21"/>
      <c r="KDJ1642" s="21"/>
      <c r="KDK1642" s="21"/>
      <c r="KDL1642" s="21"/>
      <c r="KDM1642" s="21"/>
      <c r="KDN1642" s="21"/>
      <c r="KDO1642" s="21"/>
      <c r="KDP1642" s="21"/>
      <c r="KDQ1642" s="21"/>
      <c r="KDR1642" s="21"/>
      <c r="KDS1642" s="21"/>
      <c r="KDT1642" s="21"/>
      <c r="KDU1642" s="21"/>
      <c r="KDV1642" s="21"/>
      <c r="KDW1642" s="21"/>
      <c r="KDX1642" s="21"/>
      <c r="KDY1642" s="21"/>
      <c r="KDZ1642" s="21"/>
      <c r="KEA1642" s="21"/>
      <c r="KEB1642" s="21"/>
      <c r="KEC1642" s="21"/>
      <c r="KED1642" s="21"/>
      <c r="KEE1642" s="21"/>
      <c r="KEF1642" s="21"/>
      <c r="KEG1642" s="21"/>
      <c r="KEH1642" s="21"/>
      <c r="KEI1642" s="21"/>
      <c r="KEJ1642" s="21"/>
      <c r="KEK1642" s="21"/>
      <c r="KEL1642" s="21"/>
      <c r="KEM1642" s="21"/>
      <c r="KEN1642" s="21"/>
      <c r="KEO1642" s="21"/>
      <c r="KEP1642" s="21"/>
      <c r="KEQ1642" s="21"/>
      <c r="KER1642" s="21"/>
      <c r="KES1642" s="21"/>
      <c r="KET1642" s="21"/>
      <c r="KEU1642" s="21"/>
      <c r="KEV1642" s="21"/>
      <c r="KEW1642" s="21"/>
      <c r="KEX1642" s="21"/>
      <c r="KEY1642" s="21"/>
      <c r="KEZ1642" s="21"/>
      <c r="KFA1642" s="21"/>
      <c r="KFB1642" s="21"/>
      <c r="KFC1642" s="21"/>
      <c r="KFD1642" s="21"/>
      <c r="KFE1642" s="21"/>
      <c r="KFF1642" s="21"/>
      <c r="KFG1642" s="21"/>
      <c r="KFH1642" s="21"/>
      <c r="KFI1642" s="21"/>
      <c r="KFJ1642" s="21"/>
      <c r="KFK1642" s="21"/>
      <c r="KFL1642" s="21"/>
      <c r="KFM1642" s="21"/>
      <c r="KFN1642" s="21"/>
      <c r="KFO1642" s="21"/>
      <c r="KFP1642" s="21"/>
      <c r="KFQ1642" s="21"/>
      <c r="KFR1642" s="21"/>
      <c r="KFS1642" s="21"/>
      <c r="KFT1642" s="21"/>
      <c r="KFU1642" s="21"/>
      <c r="KFV1642" s="21"/>
      <c r="KFW1642" s="21"/>
      <c r="KFX1642" s="21"/>
      <c r="KFY1642" s="21"/>
      <c r="KFZ1642" s="21"/>
      <c r="KGA1642" s="21"/>
      <c r="KGB1642" s="21"/>
      <c r="KGC1642" s="21"/>
      <c r="KGD1642" s="21"/>
      <c r="KGE1642" s="21"/>
      <c r="KGF1642" s="21"/>
      <c r="KGG1642" s="21"/>
      <c r="KGH1642" s="21"/>
      <c r="KGI1642" s="21"/>
      <c r="KGJ1642" s="21"/>
      <c r="KGK1642" s="21"/>
      <c r="KGL1642" s="21"/>
      <c r="KGM1642" s="21"/>
      <c r="KGN1642" s="21"/>
      <c r="KGO1642" s="21"/>
      <c r="KGP1642" s="21"/>
      <c r="KGQ1642" s="21"/>
      <c r="KGR1642" s="21"/>
      <c r="KGS1642" s="21"/>
      <c r="KGT1642" s="21"/>
      <c r="KGU1642" s="21"/>
      <c r="KGV1642" s="21"/>
      <c r="KGW1642" s="21"/>
      <c r="KGX1642" s="21"/>
      <c r="KGY1642" s="21"/>
      <c r="KGZ1642" s="21"/>
      <c r="KHA1642" s="21"/>
      <c r="KHB1642" s="21"/>
      <c r="KHC1642" s="21"/>
      <c r="KHD1642" s="21"/>
      <c r="KHE1642" s="21"/>
      <c r="KHF1642" s="21"/>
      <c r="KHG1642" s="21"/>
      <c r="KHH1642" s="21"/>
      <c r="KHI1642" s="21"/>
      <c r="KHJ1642" s="21"/>
      <c r="KHK1642" s="21"/>
      <c r="KHL1642" s="21"/>
      <c r="KHM1642" s="21"/>
      <c r="KHN1642" s="21"/>
      <c r="KHO1642" s="21"/>
      <c r="KHP1642" s="21"/>
      <c r="KHQ1642" s="21"/>
      <c r="KHR1642" s="21"/>
      <c r="KHS1642" s="21"/>
      <c r="KHT1642" s="21"/>
      <c r="KHU1642" s="21"/>
      <c r="KHV1642" s="21"/>
      <c r="KHW1642" s="21"/>
      <c r="KHX1642" s="21"/>
      <c r="KHY1642" s="21"/>
      <c r="KHZ1642" s="21"/>
      <c r="KIA1642" s="21"/>
      <c r="KIB1642" s="21"/>
      <c r="KIC1642" s="21"/>
      <c r="KID1642" s="21"/>
      <c r="KIE1642" s="21"/>
      <c r="KIF1642" s="21"/>
      <c r="KIG1642" s="21"/>
      <c r="KIH1642" s="21"/>
      <c r="KII1642" s="21"/>
      <c r="KIJ1642" s="21"/>
      <c r="KIK1642" s="21"/>
      <c r="KIL1642" s="21"/>
      <c r="KIM1642" s="21"/>
      <c r="KIN1642" s="21"/>
      <c r="KIO1642" s="21"/>
      <c r="KIP1642" s="21"/>
      <c r="KIQ1642" s="21"/>
      <c r="KIR1642" s="21"/>
      <c r="KIS1642" s="21"/>
      <c r="KIT1642" s="21"/>
      <c r="KIU1642" s="21"/>
      <c r="KIV1642" s="21"/>
      <c r="KIW1642" s="21"/>
      <c r="KIX1642" s="21"/>
      <c r="KIY1642" s="21"/>
      <c r="KIZ1642" s="21"/>
      <c r="KJA1642" s="21"/>
      <c r="KJB1642" s="21"/>
      <c r="KJC1642" s="21"/>
      <c r="KJD1642" s="21"/>
      <c r="KJE1642" s="21"/>
      <c r="KJF1642" s="21"/>
      <c r="KJG1642" s="21"/>
      <c r="KJH1642" s="21"/>
      <c r="KJI1642" s="21"/>
      <c r="KJJ1642" s="21"/>
      <c r="KJK1642" s="21"/>
      <c r="KJL1642" s="21"/>
      <c r="KJM1642" s="21"/>
      <c r="KJN1642" s="21"/>
      <c r="KJO1642" s="21"/>
      <c r="KJP1642" s="21"/>
      <c r="KJQ1642" s="21"/>
      <c r="KJR1642" s="21"/>
      <c r="KJS1642" s="21"/>
      <c r="KJT1642" s="21"/>
      <c r="KJU1642" s="21"/>
      <c r="KJV1642" s="21"/>
      <c r="KJW1642" s="21"/>
      <c r="KJX1642" s="21"/>
      <c r="KJY1642" s="21"/>
      <c r="KJZ1642" s="21"/>
      <c r="KKA1642" s="21"/>
      <c r="KKB1642" s="21"/>
      <c r="KKC1642" s="21"/>
      <c r="KKD1642" s="21"/>
      <c r="KKE1642" s="21"/>
      <c r="KKF1642" s="21"/>
      <c r="KKG1642" s="21"/>
      <c r="KKH1642" s="21"/>
      <c r="KKI1642" s="21"/>
      <c r="KKJ1642" s="21"/>
      <c r="KKK1642" s="21"/>
      <c r="KKL1642" s="21"/>
      <c r="KKM1642" s="21"/>
      <c r="KKN1642" s="21"/>
      <c r="KKO1642" s="21"/>
      <c r="KKP1642" s="21"/>
      <c r="KKQ1642" s="21"/>
      <c r="KKR1642" s="21"/>
      <c r="KKS1642" s="21"/>
      <c r="KKT1642" s="21"/>
      <c r="KKU1642" s="21"/>
      <c r="KKV1642" s="21"/>
      <c r="KKW1642" s="21"/>
      <c r="KKX1642" s="21"/>
      <c r="KKY1642" s="21"/>
      <c r="KKZ1642" s="21"/>
      <c r="KLA1642" s="21"/>
      <c r="KLB1642" s="21"/>
      <c r="KLC1642" s="21"/>
      <c r="KLD1642" s="21"/>
      <c r="KLE1642" s="21"/>
      <c r="KLF1642" s="21"/>
      <c r="KLG1642" s="21"/>
      <c r="KLH1642" s="21"/>
      <c r="KLI1642" s="21"/>
      <c r="KLJ1642" s="21"/>
      <c r="KLK1642" s="21"/>
      <c r="KLL1642" s="21"/>
      <c r="KLM1642" s="21"/>
      <c r="KLN1642" s="21"/>
      <c r="KLO1642" s="21"/>
      <c r="KLP1642" s="21"/>
      <c r="KLQ1642" s="21"/>
      <c r="KLR1642" s="21"/>
      <c r="KLS1642" s="21"/>
      <c r="KLT1642" s="21"/>
      <c r="KLU1642" s="21"/>
      <c r="KLV1642" s="21"/>
      <c r="KLW1642" s="21"/>
      <c r="KLX1642" s="21"/>
      <c r="KLY1642" s="21"/>
      <c r="KLZ1642" s="21"/>
      <c r="KMA1642" s="21"/>
      <c r="KMB1642" s="21"/>
      <c r="KMC1642" s="21"/>
      <c r="KMD1642" s="21"/>
      <c r="KME1642" s="21"/>
      <c r="KMF1642" s="21"/>
      <c r="KMG1642" s="21"/>
      <c r="KMH1642" s="21"/>
      <c r="KMI1642" s="21"/>
      <c r="KMJ1642" s="21"/>
      <c r="KMK1642" s="21"/>
      <c r="KML1642" s="21"/>
      <c r="KMM1642" s="21"/>
      <c r="KMN1642" s="21"/>
      <c r="KMO1642" s="21"/>
      <c r="KMP1642" s="21"/>
      <c r="KMQ1642" s="21"/>
      <c r="KMR1642" s="21"/>
      <c r="KMS1642" s="21"/>
      <c r="KMT1642" s="21"/>
      <c r="KMU1642" s="21"/>
      <c r="KMV1642" s="21"/>
      <c r="KMW1642" s="21"/>
      <c r="KMX1642" s="21"/>
      <c r="KMY1642" s="21"/>
      <c r="KMZ1642" s="21"/>
      <c r="KNA1642" s="21"/>
      <c r="KNB1642" s="21"/>
      <c r="KNC1642" s="21"/>
      <c r="KND1642" s="21"/>
      <c r="KNE1642" s="21"/>
      <c r="KNF1642" s="21"/>
      <c r="KNG1642" s="21"/>
      <c r="KNH1642" s="21"/>
      <c r="KNI1642" s="21"/>
      <c r="KNJ1642" s="21"/>
      <c r="KNK1642" s="21"/>
      <c r="KNL1642" s="21"/>
      <c r="KNM1642" s="21"/>
      <c r="KNN1642" s="21"/>
      <c r="KNO1642" s="21"/>
      <c r="KNP1642" s="21"/>
      <c r="KNQ1642" s="21"/>
      <c r="KNR1642" s="21"/>
      <c r="KNS1642" s="21"/>
      <c r="KNT1642" s="21"/>
      <c r="KNU1642" s="21"/>
      <c r="KNV1642" s="21"/>
      <c r="KNW1642" s="21"/>
      <c r="KNX1642" s="21"/>
      <c r="KNY1642" s="21"/>
      <c r="KNZ1642" s="21"/>
      <c r="KOA1642" s="21"/>
      <c r="KOB1642" s="21"/>
      <c r="KOC1642" s="21"/>
      <c r="KOD1642" s="21"/>
      <c r="KOE1642" s="21"/>
      <c r="KOF1642" s="21"/>
      <c r="KOG1642" s="21"/>
      <c r="KOH1642" s="21"/>
      <c r="KOI1642" s="21"/>
      <c r="KOJ1642" s="21"/>
      <c r="KOK1642" s="21"/>
      <c r="KOL1642" s="21"/>
      <c r="KOM1642" s="21"/>
      <c r="KON1642" s="21"/>
      <c r="KOO1642" s="21"/>
      <c r="KOP1642" s="21"/>
      <c r="KOQ1642" s="21"/>
      <c r="KOR1642" s="21"/>
      <c r="KOS1642" s="21"/>
      <c r="KOT1642" s="21"/>
      <c r="KOU1642" s="21"/>
      <c r="KOV1642" s="21"/>
      <c r="KOW1642" s="21"/>
      <c r="KOX1642" s="21"/>
      <c r="KOY1642" s="21"/>
      <c r="KOZ1642" s="21"/>
      <c r="KPA1642" s="21"/>
      <c r="KPB1642" s="21"/>
      <c r="KPC1642" s="21"/>
      <c r="KPD1642" s="21"/>
      <c r="KPE1642" s="21"/>
      <c r="KPF1642" s="21"/>
      <c r="KPG1642" s="21"/>
      <c r="KPH1642" s="21"/>
      <c r="KPI1642" s="21"/>
      <c r="KPJ1642" s="21"/>
      <c r="KPK1642" s="21"/>
      <c r="KPL1642" s="21"/>
      <c r="KPM1642" s="21"/>
      <c r="KPN1642" s="21"/>
      <c r="KPO1642" s="21"/>
      <c r="KPP1642" s="21"/>
      <c r="KPQ1642" s="21"/>
      <c r="KPR1642" s="21"/>
      <c r="KPS1642" s="21"/>
      <c r="KPT1642" s="21"/>
      <c r="KPU1642" s="21"/>
      <c r="KPV1642" s="21"/>
      <c r="KPW1642" s="21"/>
      <c r="KPX1642" s="21"/>
      <c r="KPY1642" s="21"/>
      <c r="KPZ1642" s="21"/>
      <c r="KQA1642" s="21"/>
      <c r="KQB1642" s="21"/>
      <c r="KQC1642" s="21"/>
      <c r="KQD1642" s="21"/>
      <c r="KQE1642" s="21"/>
      <c r="KQF1642" s="21"/>
      <c r="KQG1642" s="21"/>
      <c r="KQH1642" s="21"/>
      <c r="KQI1642" s="21"/>
      <c r="KQJ1642" s="21"/>
      <c r="KQK1642" s="21"/>
      <c r="KQL1642" s="21"/>
      <c r="KQM1642" s="21"/>
      <c r="KQN1642" s="21"/>
      <c r="KQO1642" s="21"/>
      <c r="KQP1642" s="21"/>
      <c r="KQQ1642" s="21"/>
      <c r="KQR1642" s="21"/>
      <c r="KQS1642" s="21"/>
      <c r="KQT1642" s="21"/>
      <c r="KQU1642" s="21"/>
      <c r="KQV1642" s="21"/>
      <c r="KQW1642" s="21"/>
      <c r="KQX1642" s="21"/>
      <c r="KQY1642" s="21"/>
      <c r="KQZ1642" s="21"/>
      <c r="KRA1642" s="21"/>
      <c r="KRB1642" s="21"/>
      <c r="KRC1642" s="21"/>
      <c r="KRD1642" s="21"/>
      <c r="KRE1642" s="21"/>
      <c r="KRF1642" s="21"/>
      <c r="KRG1642" s="21"/>
      <c r="KRH1642" s="21"/>
      <c r="KRI1642" s="21"/>
      <c r="KRJ1642" s="21"/>
      <c r="KRK1642" s="21"/>
      <c r="KRL1642" s="21"/>
      <c r="KRM1642" s="21"/>
      <c r="KRN1642" s="21"/>
      <c r="KRO1642" s="21"/>
      <c r="KRP1642" s="21"/>
      <c r="KRQ1642" s="21"/>
      <c r="KRR1642" s="21"/>
      <c r="KRS1642" s="21"/>
      <c r="KRT1642" s="21"/>
      <c r="KRU1642" s="21"/>
      <c r="KRV1642" s="21"/>
      <c r="KRW1642" s="21"/>
      <c r="KRX1642" s="21"/>
      <c r="KRY1642" s="21"/>
      <c r="KRZ1642" s="21"/>
      <c r="KSA1642" s="21"/>
      <c r="KSB1642" s="21"/>
      <c r="KSC1642" s="21"/>
      <c r="KSD1642" s="21"/>
      <c r="KSE1642" s="21"/>
      <c r="KSF1642" s="21"/>
      <c r="KSG1642" s="21"/>
      <c r="KSH1642" s="21"/>
      <c r="KSI1642" s="21"/>
      <c r="KSJ1642" s="21"/>
      <c r="KSK1642" s="21"/>
      <c r="KSL1642" s="21"/>
      <c r="KSM1642" s="21"/>
      <c r="KSN1642" s="21"/>
      <c r="KSO1642" s="21"/>
      <c r="KSP1642" s="21"/>
      <c r="KSQ1642" s="21"/>
      <c r="KSR1642" s="21"/>
      <c r="KSS1642" s="21"/>
      <c r="KST1642" s="21"/>
      <c r="KSU1642" s="21"/>
      <c r="KSV1642" s="21"/>
      <c r="KSW1642" s="21"/>
      <c r="KSX1642" s="21"/>
      <c r="KSY1642" s="21"/>
      <c r="KSZ1642" s="21"/>
      <c r="KTA1642" s="21"/>
      <c r="KTB1642" s="21"/>
      <c r="KTC1642" s="21"/>
      <c r="KTD1642" s="21"/>
      <c r="KTE1642" s="21"/>
      <c r="KTF1642" s="21"/>
      <c r="KTG1642" s="21"/>
      <c r="KTH1642" s="21"/>
      <c r="KTI1642" s="21"/>
      <c r="KTJ1642" s="21"/>
      <c r="KTK1642" s="21"/>
      <c r="KTL1642" s="21"/>
      <c r="KTM1642" s="21"/>
      <c r="KTN1642" s="21"/>
      <c r="KTO1642" s="21"/>
      <c r="KTP1642" s="21"/>
      <c r="KTQ1642" s="21"/>
      <c r="KTR1642" s="21"/>
      <c r="KTS1642" s="21"/>
      <c r="KTT1642" s="21"/>
      <c r="KTU1642" s="21"/>
      <c r="KTV1642" s="21"/>
      <c r="KTW1642" s="21"/>
      <c r="KTX1642" s="21"/>
      <c r="KTY1642" s="21"/>
      <c r="KTZ1642" s="21"/>
      <c r="KUA1642" s="21"/>
      <c r="KUB1642" s="21"/>
      <c r="KUC1642" s="21"/>
      <c r="KUD1642" s="21"/>
      <c r="KUE1642" s="21"/>
      <c r="KUF1642" s="21"/>
      <c r="KUG1642" s="21"/>
      <c r="KUH1642" s="21"/>
      <c r="KUI1642" s="21"/>
      <c r="KUJ1642" s="21"/>
      <c r="KUK1642" s="21"/>
      <c r="KUL1642" s="21"/>
      <c r="KUM1642" s="21"/>
      <c r="KUN1642" s="21"/>
      <c r="KUO1642" s="21"/>
      <c r="KUP1642" s="21"/>
      <c r="KUQ1642" s="21"/>
      <c r="KUR1642" s="21"/>
      <c r="KUS1642" s="21"/>
      <c r="KUT1642" s="21"/>
      <c r="KUU1642" s="21"/>
      <c r="KUV1642" s="21"/>
      <c r="KUW1642" s="21"/>
      <c r="KUX1642" s="21"/>
      <c r="KUY1642" s="21"/>
      <c r="KUZ1642" s="21"/>
      <c r="KVA1642" s="21"/>
      <c r="KVB1642" s="21"/>
      <c r="KVC1642" s="21"/>
      <c r="KVD1642" s="21"/>
      <c r="KVE1642" s="21"/>
      <c r="KVF1642" s="21"/>
      <c r="KVG1642" s="21"/>
      <c r="KVH1642" s="21"/>
      <c r="KVI1642" s="21"/>
      <c r="KVJ1642" s="21"/>
      <c r="KVK1642" s="21"/>
      <c r="KVL1642" s="21"/>
      <c r="KVM1642" s="21"/>
      <c r="KVN1642" s="21"/>
      <c r="KVO1642" s="21"/>
      <c r="KVP1642" s="21"/>
      <c r="KVQ1642" s="21"/>
      <c r="KVR1642" s="21"/>
      <c r="KVS1642" s="21"/>
      <c r="KVT1642" s="21"/>
      <c r="KVU1642" s="21"/>
      <c r="KVV1642" s="21"/>
      <c r="KVW1642" s="21"/>
      <c r="KVX1642" s="21"/>
      <c r="KVY1642" s="21"/>
      <c r="KVZ1642" s="21"/>
      <c r="KWA1642" s="21"/>
      <c r="KWB1642" s="21"/>
      <c r="KWC1642" s="21"/>
      <c r="KWD1642" s="21"/>
      <c r="KWE1642" s="21"/>
      <c r="KWF1642" s="21"/>
      <c r="KWG1642" s="21"/>
      <c r="KWH1642" s="21"/>
      <c r="KWI1642" s="21"/>
      <c r="KWJ1642" s="21"/>
      <c r="KWK1642" s="21"/>
      <c r="KWL1642" s="21"/>
      <c r="KWM1642" s="21"/>
      <c r="KWN1642" s="21"/>
      <c r="KWO1642" s="21"/>
      <c r="KWP1642" s="21"/>
      <c r="KWQ1642" s="21"/>
      <c r="KWR1642" s="21"/>
      <c r="KWS1642" s="21"/>
      <c r="KWT1642" s="21"/>
      <c r="KWU1642" s="21"/>
      <c r="KWV1642" s="21"/>
      <c r="KWW1642" s="21"/>
      <c r="KWX1642" s="21"/>
      <c r="KWY1642" s="21"/>
      <c r="KWZ1642" s="21"/>
      <c r="KXA1642" s="21"/>
      <c r="KXB1642" s="21"/>
      <c r="KXC1642" s="21"/>
      <c r="KXD1642" s="21"/>
      <c r="KXE1642" s="21"/>
      <c r="KXF1642" s="21"/>
      <c r="KXG1642" s="21"/>
      <c r="KXH1642" s="21"/>
      <c r="KXI1642" s="21"/>
      <c r="KXJ1642" s="21"/>
      <c r="KXK1642" s="21"/>
      <c r="KXL1642" s="21"/>
      <c r="KXM1642" s="21"/>
      <c r="KXN1642" s="21"/>
      <c r="KXO1642" s="21"/>
      <c r="KXP1642" s="21"/>
      <c r="KXQ1642" s="21"/>
      <c r="KXR1642" s="21"/>
      <c r="KXS1642" s="21"/>
      <c r="KXT1642" s="21"/>
      <c r="KXU1642" s="21"/>
      <c r="KXV1642" s="21"/>
      <c r="KXW1642" s="21"/>
      <c r="KXX1642" s="21"/>
      <c r="KXY1642" s="21"/>
      <c r="KXZ1642" s="21"/>
      <c r="KYA1642" s="21"/>
      <c r="KYB1642" s="21"/>
      <c r="KYC1642" s="21"/>
      <c r="KYD1642" s="21"/>
      <c r="KYE1642" s="21"/>
      <c r="KYF1642" s="21"/>
      <c r="KYG1642" s="21"/>
      <c r="KYH1642" s="21"/>
      <c r="KYI1642" s="21"/>
      <c r="KYJ1642" s="21"/>
      <c r="KYK1642" s="21"/>
      <c r="KYL1642" s="21"/>
      <c r="KYM1642" s="21"/>
      <c r="KYN1642" s="21"/>
      <c r="KYO1642" s="21"/>
      <c r="KYP1642" s="21"/>
      <c r="KYQ1642" s="21"/>
      <c r="KYR1642" s="21"/>
      <c r="KYS1642" s="21"/>
      <c r="KYT1642" s="21"/>
      <c r="KYU1642" s="21"/>
      <c r="KYV1642" s="21"/>
      <c r="KYW1642" s="21"/>
      <c r="KYX1642" s="21"/>
      <c r="KYY1642" s="21"/>
      <c r="KYZ1642" s="21"/>
      <c r="KZA1642" s="21"/>
      <c r="KZB1642" s="21"/>
      <c r="KZC1642" s="21"/>
      <c r="KZD1642" s="21"/>
      <c r="KZE1642" s="21"/>
      <c r="KZF1642" s="21"/>
      <c r="KZG1642" s="21"/>
      <c r="KZH1642" s="21"/>
      <c r="KZI1642" s="21"/>
      <c r="KZJ1642" s="21"/>
      <c r="KZK1642" s="21"/>
      <c r="KZL1642" s="21"/>
      <c r="KZM1642" s="21"/>
      <c r="KZN1642" s="21"/>
      <c r="KZO1642" s="21"/>
      <c r="KZP1642" s="21"/>
      <c r="KZQ1642" s="21"/>
      <c r="KZR1642" s="21"/>
      <c r="KZS1642" s="21"/>
      <c r="KZT1642" s="21"/>
      <c r="KZU1642" s="21"/>
      <c r="KZV1642" s="21"/>
      <c r="KZW1642" s="21"/>
      <c r="KZX1642" s="21"/>
      <c r="KZY1642" s="21"/>
      <c r="KZZ1642" s="21"/>
      <c r="LAA1642" s="21"/>
      <c r="LAB1642" s="21"/>
      <c r="LAC1642" s="21"/>
      <c r="LAD1642" s="21"/>
      <c r="LAE1642" s="21"/>
      <c r="LAF1642" s="21"/>
      <c r="LAG1642" s="21"/>
      <c r="LAH1642" s="21"/>
      <c r="LAI1642" s="21"/>
      <c r="LAJ1642" s="21"/>
      <c r="LAK1642" s="21"/>
      <c r="LAL1642" s="21"/>
      <c r="LAM1642" s="21"/>
      <c r="LAN1642" s="21"/>
      <c r="LAO1642" s="21"/>
      <c r="LAP1642" s="21"/>
      <c r="LAQ1642" s="21"/>
      <c r="LAR1642" s="21"/>
      <c r="LAS1642" s="21"/>
      <c r="LAT1642" s="21"/>
      <c r="LAU1642" s="21"/>
      <c r="LAV1642" s="21"/>
      <c r="LAW1642" s="21"/>
      <c r="LAX1642" s="21"/>
      <c r="LAY1642" s="21"/>
      <c r="LAZ1642" s="21"/>
      <c r="LBA1642" s="21"/>
      <c r="LBB1642" s="21"/>
      <c r="LBC1642" s="21"/>
      <c r="LBD1642" s="21"/>
      <c r="LBE1642" s="21"/>
      <c r="LBF1642" s="21"/>
      <c r="LBG1642" s="21"/>
      <c r="LBH1642" s="21"/>
      <c r="LBI1642" s="21"/>
      <c r="LBJ1642" s="21"/>
      <c r="LBK1642" s="21"/>
      <c r="LBL1642" s="21"/>
      <c r="LBM1642" s="21"/>
      <c r="LBN1642" s="21"/>
      <c r="LBO1642" s="21"/>
      <c r="LBP1642" s="21"/>
      <c r="LBQ1642" s="21"/>
      <c r="LBR1642" s="21"/>
      <c r="LBS1642" s="21"/>
      <c r="LBT1642" s="21"/>
      <c r="LBU1642" s="21"/>
      <c r="LBV1642" s="21"/>
      <c r="LBW1642" s="21"/>
      <c r="LBX1642" s="21"/>
      <c r="LBY1642" s="21"/>
      <c r="LBZ1642" s="21"/>
      <c r="LCA1642" s="21"/>
      <c r="LCB1642" s="21"/>
      <c r="LCC1642" s="21"/>
      <c r="LCD1642" s="21"/>
      <c r="LCE1642" s="21"/>
      <c r="LCF1642" s="21"/>
      <c r="LCG1642" s="21"/>
      <c r="LCH1642" s="21"/>
      <c r="LCI1642" s="21"/>
      <c r="LCJ1642" s="21"/>
      <c r="LCK1642" s="21"/>
      <c r="LCL1642" s="21"/>
      <c r="LCM1642" s="21"/>
      <c r="LCN1642" s="21"/>
      <c r="LCO1642" s="21"/>
      <c r="LCP1642" s="21"/>
      <c r="LCQ1642" s="21"/>
      <c r="LCR1642" s="21"/>
      <c r="LCS1642" s="21"/>
      <c r="LCT1642" s="21"/>
      <c r="LCU1642" s="21"/>
      <c r="LCV1642" s="21"/>
      <c r="LCW1642" s="21"/>
      <c r="LCX1642" s="21"/>
      <c r="LCY1642" s="21"/>
      <c r="LCZ1642" s="21"/>
      <c r="LDA1642" s="21"/>
      <c r="LDB1642" s="21"/>
      <c r="LDC1642" s="21"/>
      <c r="LDD1642" s="21"/>
      <c r="LDE1642" s="21"/>
      <c r="LDF1642" s="21"/>
      <c r="LDG1642" s="21"/>
      <c r="LDH1642" s="21"/>
      <c r="LDI1642" s="21"/>
      <c r="LDJ1642" s="21"/>
      <c r="LDK1642" s="21"/>
      <c r="LDL1642" s="21"/>
      <c r="LDM1642" s="21"/>
      <c r="LDN1642" s="21"/>
      <c r="LDO1642" s="21"/>
      <c r="LDP1642" s="21"/>
      <c r="LDQ1642" s="21"/>
      <c r="LDR1642" s="21"/>
      <c r="LDS1642" s="21"/>
      <c r="LDT1642" s="21"/>
      <c r="LDU1642" s="21"/>
      <c r="LDV1642" s="21"/>
      <c r="LDW1642" s="21"/>
      <c r="LDX1642" s="21"/>
      <c r="LDY1642" s="21"/>
      <c r="LDZ1642" s="21"/>
      <c r="LEA1642" s="21"/>
      <c r="LEB1642" s="21"/>
      <c r="LEC1642" s="21"/>
      <c r="LED1642" s="21"/>
      <c r="LEE1642" s="21"/>
      <c r="LEF1642" s="21"/>
      <c r="LEG1642" s="21"/>
      <c r="LEH1642" s="21"/>
      <c r="LEI1642" s="21"/>
      <c r="LEJ1642" s="21"/>
      <c r="LEK1642" s="21"/>
      <c r="LEL1642" s="21"/>
      <c r="LEM1642" s="21"/>
      <c r="LEN1642" s="21"/>
      <c r="LEO1642" s="21"/>
      <c r="LEP1642" s="21"/>
      <c r="LEQ1642" s="21"/>
      <c r="LER1642" s="21"/>
      <c r="LES1642" s="21"/>
      <c r="LET1642" s="21"/>
      <c r="LEU1642" s="21"/>
      <c r="LEV1642" s="21"/>
      <c r="LEW1642" s="21"/>
      <c r="LEX1642" s="21"/>
      <c r="LEY1642" s="21"/>
      <c r="LEZ1642" s="21"/>
      <c r="LFA1642" s="21"/>
      <c r="LFB1642" s="21"/>
      <c r="LFC1642" s="21"/>
      <c r="LFD1642" s="21"/>
      <c r="LFE1642" s="21"/>
      <c r="LFF1642" s="21"/>
      <c r="LFG1642" s="21"/>
      <c r="LFH1642" s="21"/>
      <c r="LFI1642" s="21"/>
      <c r="LFJ1642" s="21"/>
      <c r="LFK1642" s="21"/>
      <c r="LFL1642" s="21"/>
      <c r="LFM1642" s="21"/>
      <c r="LFN1642" s="21"/>
      <c r="LFO1642" s="21"/>
      <c r="LFP1642" s="21"/>
      <c r="LFQ1642" s="21"/>
      <c r="LFR1642" s="21"/>
      <c r="LFS1642" s="21"/>
      <c r="LFT1642" s="21"/>
      <c r="LFU1642" s="21"/>
      <c r="LFV1642" s="21"/>
      <c r="LFW1642" s="21"/>
      <c r="LFX1642" s="21"/>
      <c r="LFY1642" s="21"/>
      <c r="LFZ1642" s="21"/>
      <c r="LGA1642" s="21"/>
      <c r="LGB1642" s="21"/>
      <c r="LGC1642" s="21"/>
      <c r="LGD1642" s="21"/>
      <c r="LGE1642" s="21"/>
      <c r="LGF1642" s="21"/>
      <c r="LGG1642" s="21"/>
      <c r="LGH1642" s="21"/>
      <c r="LGI1642" s="21"/>
      <c r="LGJ1642" s="21"/>
      <c r="LGK1642" s="21"/>
      <c r="LGL1642" s="21"/>
      <c r="LGM1642" s="21"/>
      <c r="LGN1642" s="21"/>
      <c r="LGO1642" s="21"/>
      <c r="LGP1642" s="21"/>
      <c r="LGQ1642" s="21"/>
      <c r="LGR1642" s="21"/>
      <c r="LGS1642" s="21"/>
      <c r="LGT1642" s="21"/>
      <c r="LGU1642" s="21"/>
      <c r="LGV1642" s="21"/>
      <c r="LGW1642" s="21"/>
      <c r="LGX1642" s="21"/>
      <c r="LGY1642" s="21"/>
      <c r="LGZ1642" s="21"/>
      <c r="LHA1642" s="21"/>
      <c r="LHB1642" s="21"/>
      <c r="LHC1642" s="21"/>
      <c r="LHD1642" s="21"/>
      <c r="LHE1642" s="21"/>
      <c r="LHF1642" s="21"/>
      <c r="LHG1642" s="21"/>
      <c r="LHH1642" s="21"/>
      <c r="LHI1642" s="21"/>
      <c r="LHJ1642" s="21"/>
      <c r="LHK1642" s="21"/>
      <c r="LHL1642" s="21"/>
      <c r="LHM1642" s="21"/>
      <c r="LHN1642" s="21"/>
      <c r="LHO1642" s="21"/>
      <c r="LHP1642" s="21"/>
      <c r="LHQ1642" s="21"/>
      <c r="LHR1642" s="21"/>
      <c r="LHS1642" s="21"/>
      <c r="LHT1642" s="21"/>
      <c r="LHU1642" s="21"/>
      <c r="LHV1642" s="21"/>
      <c r="LHW1642" s="21"/>
      <c r="LHX1642" s="21"/>
      <c r="LHY1642" s="21"/>
      <c r="LHZ1642" s="21"/>
      <c r="LIA1642" s="21"/>
      <c r="LIB1642" s="21"/>
      <c r="LIC1642" s="21"/>
      <c r="LID1642" s="21"/>
      <c r="LIE1642" s="21"/>
      <c r="LIF1642" s="21"/>
      <c r="LIG1642" s="21"/>
      <c r="LIH1642" s="21"/>
      <c r="LII1642" s="21"/>
      <c r="LIJ1642" s="21"/>
      <c r="LIK1642" s="21"/>
      <c r="LIL1642" s="21"/>
      <c r="LIM1642" s="21"/>
      <c r="LIN1642" s="21"/>
      <c r="LIO1642" s="21"/>
      <c r="LIP1642" s="21"/>
      <c r="LIQ1642" s="21"/>
      <c r="LIR1642" s="21"/>
      <c r="LIS1642" s="21"/>
      <c r="LIT1642" s="21"/>
      <c r="LIU1642" s="21"/>
      <c r="LIV1642" s="21"/>
      <c r="LIW1642" s="21"/>
      <c r="LIX1642" s="21"/>
      <c r="LIY1642" s="21"/>
      <c r="LIZ1642" s="21"/>
      <c r="LJA1642" s="21"/>
      <c r="LJB1642" s="21"/>
      <c r="LJC1642" s="21"/>
      <c r="LJD1642" s="21"/>
      <c r="LJE1642" s="21"/>
      <c r="LJF1642" s="21"/>
      <c r="LJG1642" s="21"/>
      <c r="LJH1642" s="21"/>
      <c r="LJI1642" s="21"/>
      <c r="LJJ1642" s="21"/>
      <c r="LJK1642" s="21"/>
      <c r="LJL1642" s="21"/>
      <c r="LJM1642" s="21"/>
      <c r="LJN1642" s="21"/>
      <c r="LJO1642" s="21"/>
      <c r="LJP1642" s="21"/>
      <c r="LJQ1642" s="21"/>
      <c r="LJR1642" s="21"/>
      <c r="LJS1642" s="21"/>
      <c r="LJT1642" s="21"/>
      <c r="LJU1642" s="21"/>
      <c r="LJV1642" s="21"/>
      <c r="LJW1642" s="21"/>
      <c r="LJX1642" s="21"/>
      <c r="LJY1642" s="21"/>
      <c r="LJZ1642" s="21"/>
      <c r="LKA1642" s="21"/>
      <c r="LKB1642" s="21"/>
      <c r="LKC1642" s="21"/>
      <c r="LKD1642" s="21"/>
      <c r="LKE1642" s="21"/>
      <c r="LKF1642" s="21"/>
      <c r="LKG1642" s="21"/>
      <c r="LKH1642" s="21"/>
      <c r="LKI1642" s="21"/>
      <c r="LKJ1642" s="21"/>
      <c r="LKK1642" s="21"/>
      <c r="LKL1642" s="21"/>
      <c r="LKM1642" s="21"/>
      <c r="LKN1642" s="21"/>
      <c r="LKO1642" s="21"/>
      <c r="LKP1642" s="21"/>
      <c r="LKQ1642" s="21"/>
      <c r="LKR1642" s="21"/>
      <c r="LKS1642" s="21"/>
      <c r="LKT1642" s="21"/>
      <c r="LKU1642" s="21"/>
      <c r="LKV1642" s="21"/>
      <c r="LKW1642" s="21"/>
      <c r="LKX1642" s="21"/>
      <c r="LKY1642" s="21"/>
      <c r="LKZ1642" s="21"/>
      <c r="LLA1642" s="21"/>
      <c r="LLB1642" s="21"/>
      <c r="LLC1642" s="21"/>
      <c r="LLD1642" s="21"/>
      <c r="LLE1642" s="21"/>
      <c r="LLF1642" s="21"/>
      <c r="LLG1642" s="21"/>
      <c r="LLH1642" s="21"/>
      <c r="LLI1642" s="21"/>
      <c r="LLJ1642" s="21"/>
      <c r="LLK1642" s="21"/>
      <c r="LLL1642" s="21"/>
      <c r="LLM1642" s="21"/>
      <c r="LLN1642" s="21"/>
      <c r="LLO1642" s="21"/>
      <c r="LLP1642" s="21"/>
      <c r="LLQ1642" s="21"/>
      <c r="LLR1642" s="21"/>
      <c r="LLS1642" s="21"/>
      <c r="LLT1642" s="21"/>
      <c r="LLU1642" s="21"/>
      <c r="LLV1642" s="21"/>
      <c r="LLW1642" s="21"/>
      <c r="LLX1642" s="21"/>
      <c r="LLY1642" s="21"/>
      <c r="LLZ1642" s="21"/>
      <c r="LMA1642" s="21"/>
      <c r="LMB1642" s="21"/>
      <c r="LMC1642" s="21"/>
      <c r="LMD1642" s="21"/>
      <c r="LME1642" s="21"/>
      <c r="LMF1642" s="21"/>
      <c r="LMG1642" s="21"/>
      <c r="LMH1642" s="21"/>
      <c r="LMI1642" s="21"/>
      <c r="LMJ1642" s="21"/>
      <c r="LMK1642" s="21"/>
      <c r="LML1642" s="21"/>
      <c r="LMM1642" s="21"/>
      <c r="LMN1642" s="21"/>
      <c r="LMO1642" s="21"/>
      <c r="LMP1642" s="21"/>
      <c r="LMQ1642" s="21"/>
      <c r="LMR1642" s="21"/>
      <c r="LMS1642" s="21"/>
      <c r="LMT1642" s="21"/>
      <c r="LMU1642" s="21"/>
      <c r="LMV1642" s="21"/>
      <c r="LMW1642" s="21"/>
      <c r="LMX1642" s="21"/>
      <c r="LMY1642" s="21"/>
      <c r="LMZ1642" s="21"/>
      <c r="LNA1642" s="21"/>
      <c r="LNB1642" s="21"/>
      <c r="LNC1642" s="21"/>
      <c r="LND1642" s="21"/>
      <c r="LNE1642" s="21"/>
      <c r="LNF1642" s="21"/>
      <c r="LNG1642" s="21"/>
      <c r="LNH1642" s="21"/>
      <c r="LNI1642" s="21"/>
      <c r="LNJ1642" s="21"/>
      <c r="LNK1642" s="21"/>
      <c r="LNL1642" s="21"/>
      <c r="LNM1642" s="21"/>
      <c r="LNN1642" s="21"/>
      <c r="LNO1642" s="21"/>
      <c r="LNP1642" s="21"/>
      <c r="LNQ1642" s="21"/>
      <c r="LNR1642" s="21"/>
      <c r="LNS1642" s="21"/>
      <c r="LNT1642" s="21"/>
      <c r="LNU1642" s="21"/>
      <c r="LNV1642" s="21"/>
      <c r="LNW1642" s="21"/>
      <c r="LNX1642" s="21"/>
      <c r="LNY1642" s="21"/>
      <c r="LNZ1642" s="21"/>
      <c r="LOA1642" s="21"/>
      <c r="LOB1642" s="21"/>
      <c r="LOC1642" s="21"/>
      <c r="LOD1642" s="21"/>
      <c r="LOE1642" s="21"/>
      <c r="LOF1642" s="21"/>
      <c r="LOG1642" s="21"/>
      <c r="LOH1642" s="21"/>
      <c r="LOI1642" s="21"/>
      <c r="LOJ1642" s="21"/>
      <c r="LOK1642" s="21"/>
      <c r="LOL1642" s="21"/>
      <c r="LOM1642" s="21"/>
      <c r="LON1642" s="21"/>
      <c r="LOO1642" s="21"/>
      <c r="LOP1642" s="21"/>
      <c r="LOQ1642" s="21"/>
      <c r="LOR1642" s="21"/>
      <c r="LOS1642" s="21"/>
      <c r="LOT1642" s="21"/>
      <c r="LOU1642" s="21"/>
      <c r="LOV1642" s="21"/>
      <c r="LOW1642" s="21"/>
      <c r="LOX1642" s="21"/>
      <c r="LOY1642" s="21"/>
      <c r="LOZ1642" s="21"/>
      <c r="LPA1642" s="21"/>
      <c r="LPB1642" s="21"/>
      <c r="LPC1642" s="21"/>
      <c r="LPD1642" s="21"/>
      <c r="LPE1642" s="21"/>
      <c r="LPF1642" s="21"/>
      <c r="LPG1642" s="21"/>
      <c r="LPH1642" s="21"/>
      <c r="LPI1642" s="21"/>
      <c r="LPJ1642" s="21"/>
      <c r="LPK1642" s="21"/>
      <c r="LPL1642" s="21"/>
      <c r="LPM1642" s="21"/>
      <c r="LPN1642" s="21"/>
      <c r="LPO1642" s="21"/>
      <c r="LPP1642" s="21"/>
      <c r="LPQ1642" s="21"/>
      <c r="LPR1642" s="21"/>
      <c r="LPS1642" s="21"/>
      <c r="LPT1642" s="21"/>
      <c r="LPU1642" s="21"/>
      <c r="LPV1642" s="21"/>
      <c r="LPW1642" s="21"/>
      <c r="LPX1642" s="21"/>
      <c r="LPY1642" s="21"/>
      <c r="LPZ1642" s="21"/>
      <c r="LQA1642" s="21"/>
      <c r="LQB1642" s="21"/>
      <c r="LQC1642" s="21"/>
      <c r="LQD1642" s="21"/>
      <c r="LQE1642" s="21"/>
      <c r="LQF1642" s="21"/>
      <c r="LQG1642" s="21"/>
      <c r="LQH1642" s="21"/>
      <c r="LQI1642" s="21"/>
      <c r="LQJ1642" s="21"/>
      <c r="LQK1642" s="21"/>
      <c r="LQL1642" s="21"/>
      <c r="LQM1642" s="21"/>
      <c r="LQN1642" s="21"/>
      <c r="LQO1642" s="21"/>
      <c r="LQP1642" s="21"/>
      <c r="LQQ1642" s="21"/>
      <c r="LQR1642" s="21"/>
      <c r="LQS1642" s="21"/>
      <c r="LQT1642" s="21"/>
      <c r="LQU1642" s="21"/>
      <c r="LQV1642" s="21"/>
      <c r="LQW1642" s="21"/>
      <c r="LQX1642" s="21"/>
      <c r="LQY1642" s="21"/>
      <c r="LQZ1642" s="21"/>
      <c r="LRA1642" s="21"/>
      <c r="LRB1642" s="21"/>
      <c r="LRC1642" s="21"/>
      <c r="LRD1642" s="21"/>
      <c r="LRE1642" s="21"/>
      <c r="LRF1642" s="21"/>
      <c r="LRG1642" s="21"/>
      <c r="LRH1642" s="21"/>
      <c r="LRI1642" s="21"/>
      <c r="LRJ1642" s="21"/>
      <c r="LRK1642" s="21"/>
      <c r="LRL1642" s="21"/>
      <c r="LRM1642" s="21"/>
      <c r="LRN1642" s="21"/>
      <c r="LRO1642" s="21"/>
      <c r="LRP1642" s="21"/>
      <c r="LRQ1642" s="21"/>
      <c r="LRR1642" s="21"/>
      <c r="LRS1642" s="21"/>
      <c r="LRT1642" s="21"/>
      <c r="LRU1642" s="21"/>
      <c r="LRV1642" s="21"/>
      <c r="LRW1642" s="21"/>
      <c r="LRX1642" s="21"/>
      <c r="LRY1642" s="21"/>
      <c r="LRZ1642" s="21"/>
      <c r="LSA1642" s="21"/>
      <c r="LSB1642" s="21"/>
      <c r="LSC1642" s="21"/>
      <c r="LSD1642" s="21"/>
      <c r="LSE1642" s="21"/>
      <c r="LSF1642" s="21"/>
      <c r="LSG1642" s="21"/>
      <c r="LSH1642" s="21"/>
      <c r="LSI1642" s="21"/>
      <c r="LSJ1642" s="21"/>
      <c r="LSK1642" s="21"/>
      <c r="LSL1642" s="21"/>
      <c r="LSM1642" s="21"/>
      <c r="LSN1642" s="21"/>
      <c r="LSO1642" s="21"/>
      <c r="LSP1642" s="21"/>
      <c r="LSQ1642" s="21"/>
      <c r="LSR1642" s="21"/>
      <c r="LSS1642" s="21"/>
      <c r="LST1642" s="21"/>
      <c r="LSU1642" s="21"/>
      <c r="LSV1642" s="21"/>
      <c r="LSW1642" s="21"/>
      <c r="LSX1642" s="21"/>
      <c r="LSY1642" s="21"/>
      <c r="LSZ1642" s="21"/>
      <c r="LTA1642" s="21"/>
      <c r="LTB1642" s="21"/>
      <c r="LTC1642" s="21"/>
      <c r="LTD1642" s="21"/>
      <c r="LTE1642" s="21"/>
      <c r="LTF1642" s="21"/>
      <c r="LTG1642" s="21"/>
      <c r="LTH1642" s="21"/>
      <c r="LTI1642" s="21"/>
      <c r="LTJ1642" s="21"/>
      <c r="LTK1642" s="21"/>
      <c r="LTL1642" s="21"/>
      <c r="LTM1642" s="21"/>
      <c r="LTN1642" s="21"/>
      <c r="LTO1642" s="21"/>
      <c r="LTP1642" s="21"/>
      <c r="LTQ1642" s="21"/>
      <c r="LTR1642" s="21"/>
      <c r="LTS1642" s="21"/>
      <c r="LTT1642" s="21"/>
      <c r="LTU1642" s="21"/>
      <c r="LTV1642" s="21"/>
      <c r="LTW1642" s="21"/>
      <c r="LTX1642" s="21"/>
      <c r="LTY1642" s="21"/>
      <c r="LTZ1642" s="21"/>
      <c r="LUA1642" s="21"/>
      <c r="LUB1642" s="21"/>
      <c r="LUC1642" s="21"/>
      <c r="LUD1642" s="21"/>
      <c r="LUE1642" s="21"/>
      <c r="LUF1642" s="21"/>
      <c r="LUG1642" s="21"/>
      <c r="LUH1642" s="21"/>
      <c r="LUI1642" s="21"/>
      <c r="LUJ1642" s="21"/>
      <c r="LUK1642" s="21"/>
      <c r="LUL1642" s="21"/>
      <c r="LUM1642" s="21"/>
      <c r="LUN1642" s="21"/>
      <c r="LUO1642" s="21"/>
      <c r="LUP1642" s="21"/>
      <c r="LUQ1642" s="21"/>
      <c r="LUR1642" s="21"/>
      <c r="LUS1642" s="21"/>
      <c r="LUT1642" s="21"/>
      <c r="LUU1642" s="21"/>
      <c r="LUV1642" s="21"/>
      <c r="LUW1642" s="21"/>
      <c r="LUX1642" s="21"/>
      <c r="LUY1642" s="21"/>
      <c r="LUZ1642" s="21"/>
      <c r="LVA1642" s="21"/>
      <c r="LVB1642" s="21"/>
      <c r="LVC1642" s="21"/>
      <c r="LVD1642" s="21"/>
      <c r="LVE1642" s="21"/>
      <c r="LVF1642" s="21"/>
      <c r="LVG1642" s="21"/>
      <c r="LVH1642" s="21"/>
      <c r="LVI1642" s="21"/>
      <c r="LVJ1642" s="21"/>
      <c r="LVK1642" s="21"/>
      <c r="LVL1642" s="21"/>
      <c r="LVM1642" s="21"/>
      <c r="LVN1642" s="21"/>
      <c r="LVO1642" s="21"/>
      <c r="LVP1642" s="21"/>
      <c r="LVQ1642" s="21"/>
      <c r="LVR1642" s="21"/>
      <c r="LVS1642" s="21"/>
      <c r="LVT1642" s="21"/>
      <c r="LVU1642" s="21"/>
      <c r="LVV1642" s="21"/>
      <c r="LVW1642" s="21"/>
      <c r="LVX1642" s="21"/>
      <c r="LVY1642" s="21"/>
      <c r="LVZ1642" s="21"/>
      <c r="LWA1642" s="21"/>
      <c r="LWB1642" s="21"/>
      <c r="LWC1642" s="21"/>
      <c r="LWD1642" s="21"/>
      <c r="LWE1642" s="21"/>
      <c r="LWF1642" s="21"/>
      <c r="LWG1642" s="21"/>
      <c r="LWH1642" s="21"/>
      <c r="LWI1642" s="21"/>
      <c r="LWJ1642" s="21"/>
      <c r="LWK1642" s="21"/>
      <c r="LWL1642" s="21"/>
      <c r="LWM1642" s="21"/>
      <c r="LWN1642" s="21"/>
      <c r="LWO1642" s="21"/>
      <c r="LWP1642" s="21"/>
      <c r="LWQ1642" s="21"/>
      <c r="LWR1642" s="21"/>
      <c r="LWS1642" s="21"/>
      <c r="LWT1642" s="21"/>
      <c r="LWU1642" s="21"/>
      <c r="LWV1642" s="21"/>
      <c r="LWW1642" s="21"/>
      <c r="LWX1642" s="21"/>
      <c r="LWY1642" s="21"/>
      <c r="LWZ1642" s="21"/>
      <c r="LXA1642" s="21"/>
      <c r="LXB1642" s="21"/>
      <c r="LXC1642" s="21"/>
      <c r="LXD1642" s="21"/>
      <c r="LXE1642" s="21"/>
      <c r="LXF1642" s="21"/>
      <c r="LXG1642" s="21"/>
      <c r="LXH1642" s="21"/>
      <c r="LXI1642" s="21"/>
      <c r="LXJ1642" s="21"/>
      <c r="LXK1642" s="21"/>
      <c r="LXL1642" s="21"/>
      <c r="LXM1642" s="21"/>
      <c r="LXN1642" s="21"/>
      <c r="LXO1642" s="21"/>
      <c r="LXP1642" s="21"/>
      <c r="LXQ1642" s="21"/>
      <c r="LXR1642" s="21"/>
      <c r="LXS1642" s="21"/>
      <c r="LXT1642" s="21"/>
      <c r="LXU1642" s="21"/>
      <c r="LXV1642" s="21"/>
      <c r="LXW1642" s="21"/>
      <c r="LXX1642" s="21"/>
      <c r="LXY1642" s="21"/>
      <c r="LXZ1642" s="21"/>
      <c r="LYA1642" s="21"/>
      <c r="LYB1642" s="21"/>
      <c r="LYC1642" s="21"/>
      <c r="LYD1642" s="21"/>
      <c r="LYE1642" s="21"/>
      <c r="LYF1642" s="21"/>
      <c r="LYG1642" s="21"/>
      <c r="LYH1642" s="21"/>
      <c r="LYI1642" s="21"/>
      <c r="LYJ1642" s="21"/>
      <c r="LYK1642" s="21"/>
      <c r="LYL1642" s="21"/>
      <c r="LYM1642" s="21"/>
      <c r="LYN1642" s="21"/>
      <c r="LYO1642" s="21"/>
      <c r="LYP1642" s="21"/>
      <c r="LYQ1642" s="21"/>
      <c r="LYR1642" s="21"/>
      <c r="LYS1642" s="21"/>
      <c r="LYT1642" s="21"/>
      <c r="LYU1642" s="21"/>
      <c r="LYV1642" s="21"/>
      <c r="LYW1642" s="21"/>
      <c r="LYX1642" s="21"/>
      <c r="LYY1642" s="21"/>
      <c r="LYZ1642" s="21"/>
      <c r="LZA1642" s="21"/>
      <c r="LZB1642" s="21"/>
      <c r="LZC1642" s="21"/>
      <c r="LZD1642" s="21"/>
      <c r="LZE1642" s="21"/>
      <c r="LZF1642" s="21"/>
      <c r="LZG1642" s="21"/>
      <c r="LZH1642" s="21"/>
      <c r="LZI1642" s="21"/>
      <c r="LZJ1642" s="21"/>
      <c r="LZK1642" s="21"/>
      <c r="LZL1642" s="21"/>
      <c r="LZM1642" s="21"/>
      <c r="LZN1642" s="21"/>
      <c r="LZO1642" s="21"/>
      <c r="LZP1642" s="21"/>
      <c r="LZQ1642" s="21"/>
      <c r="LZR1642" s="21"/>
      <c r="LZS1642" s="21"/>
      <c r="LZT1642" s="21"/>
      <c r="LZU1642" s="21"/>
      <c r="LZV1642" s="21"/>
      <c r="LZW1642" s="21"/>
      <c r="LZX1642" s="21"/>
      <c r="LZY1642" s="21"/>
      <c r="LZZ1642" s="21"/>
      <c r="MAA1642" s="21"/>
      <c r="MAB1642" s="21"/>
      <c r="MAC1642" s="21"/>
      <c r="MAD1642" s="21"/>
      <c r="MAE1642" s="21"/>
      <c r="MAF1642" s="21"/>
      <c r="MAG1642" s="21"/>
      <c r="MAH1642" s="21"/>
      <c r="MAI1642" s="21"/>
      <c r="MAJ1642" s="21"/>
      <c r="MAK1642" s="21"/>
      <c r="MAL1642" s="21"/>
      <c r="MAM1642" s="21"/>
      <c r="MAN1642" s="21"/>
      <c r="MAO1642" s="21"/>
      <c r="MAP1642" s="21"/>
      <c r="MAQ1642" s="21"/>
      <c r="MAR1642" s="21"/>
      <c r="MAS1642" s="21"/>
      <c r="MAT1642" s="21"/>
      <c r="MAU1642" s="21"/>
      <c r="MAV1642" s="21"/>
      <c r="MAW1642" s="21"/>
      <c r="MAX1642" s="21"/>
      <c r="MAY1642" s="21"/>
      <c r="MAZ1642" s="21"/>
      <c r="MBA1642" s="21"/>
      <c r="MBB1642" s="21"/>
      <c r="MBC1642" s="21"/>
      <c r="MBD1642" s="21"/>
      <c r="MBE1642" s="21"/>
      <c r="MBF1642" s="21"/>
      <c r="MBG1642" s="21"/>
      <c r="MBH1642" s="21"/>
      <c r="MBI1642" s="21"/>
      <c r="MBJ1642" s="21"/>
      <c r="MBK1642" s="21"/>
      <c r="MBL1642" s="21"/>
      <c r="MBM1642" s="21"/>
      <c r="MBN1642" s="21"/>
      <c r="MBO1642" s="21"/>
      <c r="MBP1642" s="21"/>
      <c r="MBQ1642" s="21"/>
      <c r="MBR1642" s="21"/>
      <c r="MBS1642" s="21"/>
      <c r="MBT1642" s="21"/>
      <c r="MBU1642" s="21"/>
      <c r="MBV1642" s="21"/>
      <c r="MBW1642" s="21"/>
      <c r="MBX1642" s="21"/>
      <c r="MBY1642" s="21"/>
      <c r="MBZ1642" s="21"/>
      <c r="MCA1642" s="21"/>
      <c r="MCB1642" s="21"/>
      <c r="MCC1642" s="21"/>
      <c r="MCD1642" s="21"/>
      <c r="MCE1642" s="21"/>
      <c r="MCF1642" s="21"/>
      <c r="MCG1642" s="21"/>
      <c r="MCH1642" s="21"/>
      <c r="MCI1642" s="21"/>
      <c r="MCJ1642" s="21"/>
      <c r="MCK1642" s="21"/>
      <c r="MCL1642" s="21"/>
      <c r="MCM1642" s="21"/>
      <c r="MCN1642" s="21"/>
      <c r="MCO1642" s="21"/>
      <c r="MCP1642" s="21"/>
      <c r="MCQ1642" s="21"/>
      <c r="MCR1642" s="21"/>
      <c r="MCS1642" s="21"/>
      <c r="MCT1642" s="21"/>
      <c r="MCU1642" s="21"/>
      <c r="MCV1642" s="21"/>
      <c r="MCW1642" s="21"/>
      <c r="MCX1642" s="21"/>
      <c r="MCY1642" s="21"/>
      <c r="MCZ1642" s="21"/>
      <c r="MDA1642" s="21"/>
      <c r="MDB1642" s="21"/>
      <c r="MDC1642" s="21"/>
      <c r="MDD1642" s="21"/>
      <c r="MDE1642" s="21"/>
      <c r="MDF1642" s="21"/>
      <c r="MDG1642" s="21"/>
      <c r="MDH1642" s="21"/>
      <c r="MDI1642" s="21"/>
      <c r="MDJ1642" s="21"/>
      <c r="MDK1642" s="21"/>
      <c r="MDL1642" s="21"/>
      <c r="MDM1642" s="21"/>
      <c r="MDN1642" s="21"/>
      <c r="MDO1642" s="21"/>
      <c r="MDP1642" s="21"/>
      <c r="MDQ1642" s="21"/>
      <c r="MDR1642" s="21"/>
      <c r="MDS1642" s="21"/>
      <c r="MDT1642" s="21"/>
      <c r="MDU1642" s="21"/>
      <c r="MDV1642" s="21"/>
      <c r="MDW1642" s="21"/>
      <c r="MDX1642" s="21"/>
      <c r="MDY1642" s="21"/>
      <c r="MDZ1642" s="21"/>
      <c r="MEA1642" s="21"/>
      <c r="MEB1642" s="21"/>
      <c r="MEC1642" s="21"/>
      <c r="MED1642" s="21"/>
      <c r="MEE1642" s="21"/>
      <c r="MEF1642" s="21"/>
      <c r="MEG1642" s="21"/>
      <c r="MEH1642" s="21"/>
      <c r="MEI1642" s="21"/>
      <c r="MEJ1642" s="21"/>
      <c r="MEK1642" s="21"/>
      <c r="MEL1642" s="21"/>
      <c r="MEM1642" s="21"/>
      <c r="MEN1642" s="21"/>
      <c r="MEO1642" s="21"/>
      <c r="MEP1642" s="21"/>
      <c r="MEQ1642" s="21"/>
      <c r="MER1642" s="21"/>
      <c r="MES1642" s="21"/>
      <c r="MET1642" s="21"/>
      <c r="MEU1642" s="21"/>
      <c r="MEV1642" s="21"/>
      <c r="MEW1642" s="21"/>
      <c r="MEX1642" s="21"/>
      <c r="MEY1642" s="21"/>
      <c r="MEZ1642" s="21"/>
      <c r="MFA1642" s="21"/>
      <c r="MFB1642" s="21"/>
      <c r="MFC1642" s="21"/>
      <c r="MFD1642" s="21"/>
      <c r="MFE1642" s="21"/>
      <c r="MFF1642" s="21"/>
      <c r="MFG1642" s="21"/>
      <c r="MFH1642" s="21"/>
      <c r="MFI1642" s="21"/>
      <c r="MFJ1642" s="21"/>
      <c r="MFK1642" s="21"/>
      <c r="MFL1642" s="21"/>
      <c r="MFM1642" s="21"/>
      <c r="MFN1642" s="21"/>
      <c r="MFO1642" s="21"/>
      <c r="MFP1642" s="21"/>
      <c r="MFQ1642" s="21"/>
      <c r="MFR1642" s="21"/>
      <c r="MFS1642" s="21"/>
      <c r="MFT1642" s="21"/>
      <c r="MFU1642" s="21"/>
      <c r="MFV1642" s="21"/>
      <c r="MFW1642" s="21"/>
      <c r="MFX1642" s="21"/>
      <c r="MFY1642" s="21"/>
      <c r="MFZ1642" s="21"/>
      <c r="MGA1642" s="21"/>
      <c r="MGB1642" s="21"/>
      <c r="MGC1642" s="21"/>
      <c r="MGD1642" s="21"/>
      <c r="MGE1642" s="21"/>
      <c r="MGF1642" s="21"/>
      <c r="MGG1642" s="21"/>
      <c r="MGH1642" s="21"/>
      <c r="MGI1642" s="21"/>
      <c r="MGJ1642" s="21"/>
      <c r="MGK1642" s="21"/>
      <c r="MGL1642" s="21"/>
      <c r="MGM1642" s="21"/>
      <c r="MGN1642" s="21"/>
      <c r="MGO1642" s="21"/>
      <c r="MGP1642" s="21"/>
      <c r="MGQ1642" s="21"/>
      <c r="MGR1642" s="21"/>
      <c r="MGS1642" s="21"/>
      <c r="MGT1642" s="21"/>
      <c r="MGU1642" s="21"/>
      <c r="MGV1642" s="21"/>
      <c r="MGW1642" s="21"/>
      <c r="MGX1642" s="21"/>
      <c r="MGY1642" s="21"/>
      <c r="MGZ1642" s="21"/>
      <c r="MHA1642" s="21"/>
      <c r="MHB1642" s="21"/>
      <c r="MHC1642" s="21"/>
      <c r="MHD1642" s="21"/>
      <c r="MHE1642" s="21"/>
      <c r="MHF1642" s="21"/>
      <c r="MHG1642" s="21"/>
      <c r="MHH1642" s="21"/>
      <c r="MHI1642" s="21"/>
      <c r="MHJ1642" s="21"/>
      <c r="MHK1642" s="21"/>
      <c r="MHL1642" s="21"/>
      <c r="MHM1642" s="21"/>
      <c r="MHN1642" s="21"/>
      <c r="MHO1642" s="21"/>
      <c r="MHP1642" s="21"/>
      <c r="MHQ1642" s="21"/>
      <c r="MHR1642" s="21"/>
      <c r="MHS1642" s="21"/>
      <c r="MHT1642" s="21"/>
      <c r="MHU1642" s="21"/>
      <c r="MHV1642" s="21"/>
      <c r="MHW1642" s="21"/>
      <c r="MHX1642" s="21"/>
      <c r="MHY1642" s="21"/>
      <c r="MHZ1642" s="21"/>
      <c r="MIA1642" s="21"/>
      <c r="MIB1642" s="21"/>
      <c r="MIC1642" s="21"/>
      <c r="MID1642" s="21"/>
      <c r="MIE1642" s="21"/>
      <c r="MIF1642" s="21"/>
      <c r="MIG1642" s="21"/>
      <c r="MIH1642" s="21"/>
      <c r="MII1642" s="21"/>
      <c r="MIJ1642" s="21"/>
      <c r="MIK1642" s="21"/>
      <c r="MIL1642" s="21"/>
      <c r="MIM1642" s="21"/>
      <c r="MIN1642" s="21"/>
      <c r="MIO1642" s="21"/>
      <c r="MIP1642" s="21"/>
      <c r="MIQ1642" s="21"/>
      <c r="MIR1642" s="21"/>
      <c r="MIS1642" s="21"/>
      <c r="MIT1642" s="21"/>
      <c r="MIU1642" s="21"/>
      <c r="MIV1642" s="21"/>
      <c r="MIW1642" s="21"/>
      <c r="MIX1642" s="21"/>
      <c r="MIY1642" s="21"/>
      <c r="MIZ1642" s="21"/>
      <c r="MJA1642" s="21"/>
      <c r="MJB1642" s="21"/>
      <c r="MJC1642" s="21"/>
      <c r="MJD1642" s="21"/>
      <c r="MJE1642" s="21"/>
      <c r="MJF1642" s="21"/>
      <c r="MJG1642" s="21"/>
      <c r="MJH1642" s="21"/>
      <c r="MJI1642" s="21"/>
      <c r="MJJ1642" s="21"/>
      <c r="MJK1642" s="21"/>
      <c r="MJL1642" s="21"/>
      <c r="MJM1642" s="21"/>
      <c r="MJN1642" s="21"/>
      <c r="MJO1642" s="21"/>
      <c r="MJP1642" s="21"/>
      <c r="MJQ1642" s="21"/>
      <c r="MJR1642" s="21"/>
      <c r="MJS1642" s="21"/>
      <c r="MJT1642" s="21"/>
      <c r="MJU1642" s="21"/>
      <c r="MJV1642" s="21"/>
      <c r="MJW1642" s="21"/>
      <c r="MJX1642" s="21"/>
      <c r="MJY1642" s="21"/>
      <c r="MJZ1642" s="21"/>
      <c r="MKA1642" s="21"/>
      <c r="MKB1642" s="21"/>
      <c r="MKC1642" s="21"/>
      <c r="MKD1642" s="21"/>
      <c r="MKE1642" s="21"/>
      <c r="MKF1642" s="21"/>
      <c r="MKG1642" s="21"/>
      <c r="MKH1642" s="21"/>
      <c r="MKI1642" s="21"/>
      <c r="MKJ1642" s="21"/>
      <c r="MKK1642" s="21"/>
      <c r="MKL1642" s="21"/>
      <c r="MKM1642" s="21"/>
      <c r="MKN1642" s="21"/>
      <c r="MKO1642" s="21"/>
      <c r="MKP1642" s="21"/>
      <c r="MKQ1642" s="21"/>
      <c r="MKR1642" s="21"/>
      <c r="MKS1642" s="21"/>
      <c r="MKT1642" s="21"/>
      <c r="MKU1642" s="21"/>
      <c r="MKV1642" s="21"/>
      <c r="MKW1642" s="21"/>
      <c r="MKX1642" s="21"/>
      <c r="MKY1642" s="21"/>
      <c r="MKZ1642" s="21"/>
      <c r="MLA1642" s="21"/>
      <c r="MLB1642" s="21"/>
      <c r="MLC1642" s="21"/>
      <c r="MLD1642" s="21"/>
      <c r="MLE1642" s="21"/>
      <c r="MLF1642" s="21"/>
      <c r="MLG1642" s="21"/>
      <c r="MLH1642" s="21"/>
      <c r="MLI1642" s="21"/>
      <c r="MLJ1642" s="21"/>
      <c r="MLK1642" s="21"/>
      <c r="MLL1642" s="21"/>
      <c r="MLM1642" s="21"/>
      <c r="MLN1642" s="21"/>
      <c r="MLO1642" s="21"/>
      <c r="MLP1642" s="21"/>
      <c r="MLQ1642" s="21"/>
      <c r="MLR1642" s="21"/>
      <c r="MLS1642" s="21"/>
      <c r="MLT1642" s="21"/>
      <c r="MLU1642" s="21"/>
      <c r="MLV1642" s="21"/>
      <c r="MLW1642" s="21"/>
      <c r="MLX1642" s="21"/>
      <c r="MLY1642" s="21"/>
      <c r="MLZ1642" s="21"/>
      <c r="MMA1642" s="21"/>
      <c r="MMB1642" s="21"/>
      <c r="MMC1642" s="21"/>
      <c r="MMD1642" s="21"/>
      <c r="MME1642" s="21"/>
      <c r="MMF1642" s="21"/>
      <c r="MMG1642" s="21"/>
      <c r="MMH1642" s="21"/>
      <c r="MMI1642" s="21"/>
      <c r="MMJ1642" s="21"/>
      <c r="MMK1642" s="21"/>
      <c r="MML1642" s="21"/>
      <c r="MMM1642" s="21"/>
      <c r="MMN1642" s="21"/>
      <c r="MMO1642" s="21"/>
      <c r="MMP1642" s="21"/>
      <c r="MMQ1642" s="21"/>
      <c r="MMR1642" s="21"/>
      <c r="MMS1642" s="21"/>
      <c r="MMT1642" s="21"/>
      <c r="MMU1642" s="21"/>
      <c r="MMV1642" s="21"/>
      <c r="MMW1642" s="21"/>
      <c r="MMX1642" s="21"/>
      <c r="MMY1642" s="21"/>
      <c r="MMZ1642" s="21"/>
      <c r="MNA1642" s="21"/>
      <c r="MNB1642" s="21"/>
      <c r="MNC1642" s="21"/>
      <c r="MND1642" s="21"/>
      <c r="MNE1642" s="21"/>
      <c r="MNF1642" s="21"/>
      <c r="MNG1642" s="21"/>
      <c r="MNH1642" s="21"/>
      <c r="MNI1642" s="21"/>
      <c r="MNJ1642" s="21"/>
      <c r="MNK1642" s="21"/>
      <c r="MNL1642" s="21"/>
      <c r="MNM1642" s="21"/>
      <c r="MNN1642" s="21"/>
      <c r="MNO1642" s="21"/>
      <c r="MNP1642" s="21"/>
      <c r="MNQ1642" s="21"/>
      <c r="MNR1642" s="21"/>
      <c r="MNS1642" s="21"/>
      <c r="MNT1642" s="21"/>
      <c r="MNU1642" s="21"/>
      <c r="MNV1642" s="21"/>
      <c r="MNW1642" s="21"/>
      <c r="MNX1642" s="21"/>
      <c r="MNY1642" s="21"/>
      <c r="MNZ1642" s="21"/>
      <c r="MOA1642" s="21"/>
      <c r="MOB1642" s="21"/>
      <c r="MOC1642" s="21"/>
      <c r="MOD1642" s="21"/>
      <c r="MOE1642" s="21"/>
      <c r="MOF1642" s="21"/>
      <c r="MOG1642" s="21"/>
      <c r="MOH1642" s="21"/>
      <c r="MOI1642" s="21"/>
      <c r="MOJ1642" s="21"/>
      <c r="MOK1642" s="21"/>
      <c r="MOL1642" s="21"/>
      <c r="MOM1642" s="21"/>
      <c r="MON1642" s="21"/>
      <c r="MOO1642" s="21"/>
      <c r="MOP1642" s="21"/>
      <c r="MOQ1642" s="21"/>
      <c r="MOR1642" s="21"/>
      <c r="MOS1642" s="21"/>
      <c r="MOT1642" s="21"/>
      <c r="MOU1642" s="21"/>
      <c r="MOV1642" s="21"/>
      <c r="MOW1642" s="21"/>
      <c r="MOX1642" s="21"/>
      <c r="MOY1642" s="21"/>
      <c r="MOZ1642" s="21"/>
      <c r="MPA1642" s="21"/>
      <c r="MPB1642" s="21"/>
      <c r="MPC1642" s="21"/>
      <c r="MPD1642" s="21"/>
      <c r="MPE1642" s="21"/>
      <c r="MPF1642" s="21"/>
      <c r="MPG1642" s="21"/>
      <c r="MPH1642" s="21"/>
      <c r="MPI1642" s="21"/>
      <c r="MPJ1642" s="21"/>
      <c r="MPK1642" s="21"/>
      <c r="MPL1642" s="21"/>
      <c r="MPM1642" s="21"/>
      <c r="MPN1642" s="21"/>
      <c r="MPO1642" s="21"/>
      <c r="MPP1642" s="21"/>
      <c r="MPQ1642" s="21"/>
      <c r="MPR1642" s="21"/>
      <c r="MPS1642" s="21"/>
      <c r="MPT1642" s="21"/>
      <c r="MPU1642" s="21"/>
      <c r="MPV1642" s="21"/>
      <c r="MPW1642" s="21"/>
      <c r="MPX1642" s="21"/>
      <c r="MPY1642" s="21"/>
      <c r="MPZ1642" s="21"/>
      <c r="MQA1642" s="21"/>
      <c r="MQB1642" s="21"/>
      <c r="MQC1642" s="21"/>
      <c r="MQD1642" s="21"/>
      <c r="MQE1642" s="21"/>
      <c r="MQF1642" s="21"/>
      <c r="MQG1642" s="21"/>
      <c r="MQH1642" s="21"/>
      <c r="MQI1642" s="21"/>
      <c r="MQJ1642" s="21"/>
      <c r="MQK1642" s="21"/>
      <c r="MQL1642" s="21"/>
      <c r="MQM1642" s="21"/>
      <c r="MQN1642" s="21"/>
      <c r="MQO1642" s="21"/>
      <c r="MQP1642" s="21"/>
      <c r="MQQ1642" s="21"/>
      <c r="MQR1642" s="21"/>
      <c r="MQS1642" s="21"/>
      <c r="MQT1642" s="21"/>
      <c r="MQU1642" s="21"/>
      <c r="MQV1642" s="21"/>
      <c r="MQW1642" s="21"/>
      <c r="MQX1642" s="21"/>
      <c r="MQY1642" s="21"/>
      <c r="MQZ1642" s="21"/>
      <c r="MRA1642" s="21"/>
      <c r="MRB1642" s="21"/>
      <c r="MRC1642" s="21"/>
      <c r="MRD1642" s="21"/>
      <c r="MRE1642" s="21"/>
      <c r="MRF1642" s="21"/>
      <c r="MRG1642" s="21"/>
      <c r="MRH1642" s="21"/>
      <c r="MRI1642" s="21"/>
      <c r="MRJ1642" s="21"/>
      <c r="MRK1642" s="21"/>
      <c r="MRL1642" s="21"/>
      <c r="MRM1642" s="21"/>
      <c r="MRN1642" s="21"/>
      <c r="MRO1642" s="21"/>
      <c r="MRP1642" s="21"/>
      <c r="MRQ1642" s="21"/>
      <c r="MRR1642" s="21"/>
      <c r="MRS1642" s="21"/>
      <c r="MRT1642" s="21"/>
      <c r="MRU1642" s="21"/>
      <c r="MRV1642" s="21"/>
      <c r="MRW1642" s="21"/>
      <c r="MRX1642" s="21"/>
      <c r="MRY1642" s="21"/>
      <c r="MRZ1642" s="21"/>
      <c r="MSA1642" s="21"/>
      <c r="MSB1642" s="21"/>
      <c r="MSC1642" s="21"/>
      <c r="MSD1642" s="21"/>
      <c r="MSE1642" s="21"/>
      <c r="MSF1642" s="21"/>
      <c r="MSG1642" s="21"/>
      <c r="MSH1642" s="21"/>
      <c r="MSI1642" s="21"/>
      <c r="MSJ1642" s="21"/>
      <c r="MSK1642" s="21"/>
      <c r="MSL1642" s="21"/>
      <c r="MSM1642" s="21"/>
      <c r="MSN1642" s="21"/>
      <c r="MSO1642" s="21"/>
      <c r="MSP1642" s="21"/>
      <c r="MSQ1642" s="21"/>
      <c r="MSR1642" s="21"/>
      <c r="MSS1642" s="21"/>
      <c r="MST1642" s="21"/>
      <c r="MSU1642" s="21"/>
      <c r="MSV1642" s="21"/>
      <c r="MSW1642" s="21"/>
      <c r="MSX1642" s="21"/>
      <c r="MSY1642" s="21"/>
      <c r="MSZ1642" s="21"/>
      <c r="MTA1642" s="21"/>
      <c r="MTB1642" s="21"/>
      <c r="MTC1642" s="21"/>
      <c r="MTD1642" s="21"/>
      <c r="MTE1642" s="21"/>
      <c r="MTF1642" s="21"/>
      <c r="MTG1642" s="21"/>
      <c r="MTH1642" s="21"/>
      <c r="MTI1642" s="21"/>
      <c r="MTJ1642" s="21"/>
      <c r="MTK1642" s="21"/>
      <c r="MTL1642" s="21"/>
      <c r="MTM1642" s="21"/>
      <c r="MTN1642" s="21"/>
      <c r="MTO1642" s="21"/>
      <c r="MTP1642" s="21"/>
      <c r="MTQ1642" s="21"/>
      <c r="MTR1642" s="21"/>
      <c r="MTS1642" s="21"/>
      <c r="MTT1642" s="21"/>
      <c r="MTU1642" s="21"/>
      <c r="MTV1642" s="21"/>
      <c r="MTW1642" s="21"/>
      <c r="MTX1642" s="21"/>
      <c r="MTY1642" s="21"/>
      <c r="MTZ1642" s="21"/>
      <c r="MUA1642" s="21"/>
      <c r="MUB1642" s="21"/>
      <c r="MUC1642" s="21"/>
      <c r="MUD1642" s="21"/>
      <c r="MUE1642" s="21"/>
      <c r="MUF1642" s="21"/>
      <c r="MUG1642" s="21"/>
      <c r="MUH1642" s="21"/>
      <c r="MUI1642" s="21"/>
      <c r="MUJ1642" s="21"/>
      <c r="MUK1642" s="21"/>
      <c r="MUL1642" s="21"/>
      <c r="MUM1642" s="21"/>
      <c r="MUN1642" s="21"/>
      <c r="MUO1642" s="21"/>
      <c r="MUP1642" s="21"/>
      <c r="MUQ1642" s="21"/>
      <c r="MUR1642" s="21"/>
      <c r="MUS1642" s="21"/>
      <c r="MUT1642" s="21"/>
      <c r="MUU1642" s="21"/>
      <c r="MUV1642" s="21"/>
      <c r="MUW1642" s="21"/>
      <c r="MUX1642" s="21"/>
      <c r="MUY1642" s="21"/>
      <c r="MUZ1642" s="21"/>
      <c r="MVA1642" s="21"/>
      <c r="MVB1642" s="21"/>
      <c r="MVC1642" s="21"/>
      <c r="MVD1642" s="21"/>
      <c r="MVE1642" s="21"/>
      <c r="MVF1642" s="21"/>
      <c r="MVG1642" s="21"/>
      <c r="MVH1642" s="21"/>
      <c r="MVI1642" s="21"/>
      <c r="MVJ1642" s="21"/>
      <c r="MVK1642" s="21"/>
      <c r="MVL1642" s="21"/>
      <c r="MVM1642" s="21"/>
      <c r="MVN1642" s="21"/>
      <c r="MVO1642" s="21"/>
      <c r="MVP1642" s="21"/>
      <c r="MVQ1642" s="21"/>
      <c r="MVR1642" s="21"/>
      <c r="MVS1642" s="21"/>
      <c r="MVT1642" s="21"/>
      <c r="MVU1642" s="21"/>
      <c r="MVV1642" s="21"/>
      <c r="MVW1642" s="21"/>
      <c r="MVX1642" s="21"/>
      <c r="MVY1642" s="21"/>
      <c r="MVZ1642" s="21"/>
      <c r="MWA1642" s="21"/>
      <c r="MWB1642" s="21"/>
      <c r="MWC1642" s="21"/>
      <c r="MWD1642" s="21"/>
      <c r="MWE1642" s="21"/>
      <c r="MWF1642" s="21"/>
      <c r="MWG1642" s="21"/>
      <c r="MWH1642" s="21"/>
      <c r="MWI1642" s="21"/>
      <c r="MWJ1642" s="21"/>
      <c r="MWK1642" s="21"/>
      <c r="MWL1642" s="21"/>
      <c r="MWM1642" s="21"/>
      <c r="MWN1642" s="21"/>
      <c r="MWO1642" s="21"/>
      <c r="MWP1642" s="21"/>
      <c r="MWQ1642" s="21"/>
      <c r="MWR1642" s="21"/>
      <c r="MWS1642" s="21"/>
      <c r="MWT1642" s="21"/>
      <c r="MWU1642" s="21"/>
      <c r="MWV1642" s="21"/>
      <c r="MWW1642" s="21"/>
      <c r="MWX1642" s="21"/>
      <c r="MWY1642" s="21"/>
      <c r="MWZ1642" s="21"/>
      <c r="MXA1642" s="21"/>
      <c r="MXB1642" s="21"/>
      <c r="MXC1642" s="21"/>
      <c r="MXD1642" s="21"/>
      <c r="MXE1642" s="21"/>
      <c r="MXF1642" s="21"/>
      <c r="MXG1642" s="21"/>
      <c r="MXH1642" s="21"/>
      <c r="MXI1642" s="21"/>
      <c r="MXJ1642" s="21"/>
      <c r="MXK1642" s="21"/>
      <c r="MXL1642" s="21"/>
      <c r="MXM1642" s="21"/>
      <c r="MXN1642" s="21"/>
      <c r="MXO1642" s="21"/>
      <c r="MXP1642" s="21"/>
      <c r="MXQ1642" s="21"/>
      <c r="MXR1642" s="21"/>
      <c r="MXS1642" s="21"/>
      <c r="MXT1642" s="21"/>
      <c r="MXU1642" s="21"/>
      <c r="MXV1642" s="21"/>
      <c r="MXW1642" s="21"/>
      <c r="MXX1642" s="21"/>
      <c r="MXY1642" s="21"/>
      <c r="MXZ1642" s="21"/>
      <c r="MYA1642" s="21"/>
      <c r="MYB1642" s="21"/>
      <c r="MYC1642" s="21"/>
      <c r="MYD1642" s="21"/>
      <c r="MYE1642" s="21"/>
      <c r="MYF1642" s="21"/>
      <c r="MYG1642" s="21"/>
      <c r="MYH1642" s="21"/>
      <c r="MYI1642" s="21"/>
      <c r="MYJ1642" s="21"/>
      <c r="MYK1642" s="21"/>
      <c r="MYL1642" s="21"/>
      <c r="MYM1642" s="21"/>
      <c r="MYN1642" s="21"/>
      <c r="MYO1642" s="21"/>
      <c r="MYP1642" s="21"/>
      <c r="MYQ1642" s="21"/>
      <c r="MYR1642" s="21"/>
      <c r="MYS1642" s="21"/>
      <c r="MYT1642" s="21"/>
      <c r="MYU1642" s="21"/>
      <c r="MYV1642" s="21"/>
      <c r="MYW1642" s="21"/>
      <c r="MYX1642" s="21"/>
      <c r="MYY1642" s="21"/>
      <c r="MYZ1642" s="21"/>
      <c r="MZA1642" s="21"/>
      <c r="MZB1642" s="21"/>
      <c r="MZC1642" s="21"/>
      <c r="MZD1642" s="21"/>
      <c r="MZE1642" s="21"/>
      <c r="MZF1642" s="21"/>
      <c r="MZG1642" s="21"/>
      <c r="MZH1642" s="21"/>
      <c r="MZI1642" s="21"/>
      <c r="MZJ1642" s="21"/>
      <c r="MZK1642" s="21"/>
      <c r="MZL1642" s="21"/>
      <c r="MZM1642" s="21"/>
      <c r="MZN1642" s="21"/>
      <c r="MZO1642" s="21"/>
      <c r="MZP1642" s="21"/>
      <c r="MZQ1642" s="21"/>
      <c r="MZR1642" s="21"/>
      <c r="MZS1642" s="21"/>
      <c r="MZT1642" s="21"/>
      <c r="MZU1642" s="21"/>
      <c r="MZV1642" s="21"/>
      <c r="MZW1642" s="21"/>
      <c r="MZX1642" s="21"/>
      <c r="MZY1642" s="21"/>
      <c r="MZZ1642" s="21"/>
      <c r="NAA1642" s="21"/>
      <c r="NAB1642" s="21"/>
      <c r="NAC1642" s="21"/>
      <c r="NAD1642" s="21"/>
      <c r="NAE1642" s="21"/>
      <c r="NAF1642" s="21"/>
      <c r="NAG1642" s="21"/>
      <c r="NAH1642" s="21"/>
      <c r="NAI1642" s="21"/>
      <c r="NAJ1642" s="21"/>
      <c r="NAK1642" s="21"/>
      <c r="NAL1642" s="21"/>
      <c r="NAM1642" s="21"/>
      <c r="NAN1642" s="21"/>
      <c r="NAO1642" s="21"/>
      <c r="NAP1642" s="21"/>
      <c r="NAQ1642" s="21"/>
      <c r="NAR1642" s="21"/>
      <c r="NAS1642" s="21"/>
      <c r="NAT1642" s="21"/>
      <c r="NAU1642" s="21"/>
      <c r="NAV1642" s="21"/>
      <c r="NAW1642" s="21"/>
      <c r="NAX1642" s="21"/>
      <c r="NAY1642" s="21"/>
      <c r="NAZ1642" s="21"/>
      <c r="NBA1642" s="21"/>
      <c r="NBB1642" s="21"/>
      <c r="NBC1642" s="21"/>
      <c r="NBD1642" s="21"/>
      <c r="NBE1642" s="21"/>
      <c r="NBF1642" s="21"/>
      <c r="NBG1642" s="21"/>
      <c r="NBH1642" s="21"/>
      <c r="NBI1642" s="21"/>
      <c r="NBJ1642" s="21"/>
      <c r="NBK1642" s="21"/>
      <c r="NBL1642" s="21"/>
      <c r="NBM1642" s="21"/>
      <c r="NBN1642" s="21"/>
      <c r="NBO1642" s="21"/>
      <c r="NBP1642" s="21"/>
      <c r="NBQ1642" s="21"/>
      <c r="NBR1642" s="21"/>
      <c r="NBS1642" s="21"/>
      <c r="NBT1642" s="21"/>
      <c r="NBU1642" s="21"/>
      <c r="NBV1642" s="21"/>
      <c r="NBW1642" s="21"/>
      <c r="NBX1642" s="21"/>
      <c r="NBY1642" s="21"/>
      <c r="NBZ1642" s="21"/>
      <c r="NCA1642" s="21"/>
      <c r="NCB1642" s="21"/>
      <c r="NCC1642" s="21"/>
      <c r="NCD1642" s="21"/>
      <c r="NCE1642" s="21"/>
      <c r="NCF1642" s="21"/>
      <c r="NCG1642" s="21"/>
      <c r="NCH1642" s="21"/>
      <c r="NCI1642" s="21"/>
      <c r="NCJ1642" s="21"/>
      <c r="NCK1642" s="21"/>
      <c r="NCL1642" s="21"/>
      <c r="NCM1642" s="21"/>
      <c r="NCN1642" s="21"/>
      <c r="NCO1642" s="21"/>
      <c r="NCP1642" s="21"/>
      <c r="NCQ1642" s="21"/>
      <c r="NCR1642" s="21"/>
      <c r="NCS1642" s="21"/>
      <c r="NCT1642" s="21"/>
      <c r="NCU1642" s="21"/>
      <c r="NCV1642" s="21"/>
      <c r="NCW1642" s="21"/>
      <c r="NCX1642" s="21"/>
      <c r="NCY1642" s="21"/>
      <c r="NCZ1642" s="21"/>
      <c r="NDA1642" s="21"/>
      <c r="NDB1642" s="21"/>
      <c r="NDC1642" s="21"/>
      <c r="NDD1642" s="21"/>
      <c r="NDE1642" s="21"/>
      <c r="NDF1642" s="21"/>
      <c r="NDG1642" s="21"/>
      <c r="NDH1642" s="21"/>
      <c r="NDI1642" s="21"/>
      <c r="NDJ1642" s="21"/>
      <c r="NDK1642" s="21"/>
      <c r="NDL1642" s="21"/>
      <c r="NDM1642" s="21"/>
      <c r="NDN1642" s="21"/>
      <c r="NDO1642" s="21"/>
      <c r="NDP1642" s="21"/>
      <c r="NDQ1642" s="21"/>
      <c r="NDR1642" s="21"/>
      <c r="NDS1642" s="21"/>
      <c r="NDT1642" s="21"/>
      <c r="NDU1642" s="21"/>
      <c r="NDV1642" s="21"/>
      <c r="NDW1642" s="21"/>
      <c r="NDX1642" s="21"/>
      <c r="NDY1642" s="21"/>
      <c r="NDZ1642" s="21"/>
      <c r="NEA1642" s="21"/>
      <c r="NEB1642" s="21"/>
      <c r="NEC1642" s="21"/>
      <c r="NED1642" s="21"/>
      <c r="NEE1642" s="21"/>
      <c r="NEF1642" s="21"/>
      <c r="NEG1642" s="21"/>
      <c r="NEH1642" s="21"/>
      <c r="NEI1642" s="21"/>
      <c r="NEJ1642" s="21"/>
      <c r="NEK1642" s="21"/>
      <c r="NEL1642" s="21"/>
      <c r="NEM1642" s="21"/>
      <c r="NEN1642" s="21"/>
      <c r="NEO1642" s="21"/>
      <c r="NEP1642" s="21"/>
      <c r="NEQ1642" s="21"/>
      <c r="NER1642" s="21"/>
      <c r="NES1642" s="21"/>
      <c r="NET1642" s="21"/>
      <c r="NEU1642" s="21"/>
      <c r="NEV1642" s="21"/>
      <c r="NEW1642" s="21"/>
      <c r="NEX1642" s="21"/>
      <c r="NEY1642" s="21"/>
      <c r="NEZ1642" s="21"/>
      <c r="NFA1642" s="21"/>
      <c r="NFB1642" s="21"/>
      <c r="NFC1642" s="21"/>
      <c r="NFD1642" s="21"/>
      <c r="NFE1642" s="21"/>
      <c r="NFF1642" s="21"/>
      <c r="NFG1642" s="21"/>
      <c r="NFH1642" s="21"/>
      <c r="NFI1642" s="21"/>
      <c r="NFJ1642" s="21"/>
      <c r="NFK1642" s="21"/>
      <c r="NFL1642" s="21"/>
      <c r="NFM1642" s="21"/>
      <c r="NFN1642" s="21"/>
      <c r="NFO1642" s="21"/>
      <c r="NFP1642" s="21"/>
      <c r="NFQ1642" s="21"/>
      <c r="NFR1642" s="21"/>
      <c r="NFS1642" s="21"/>
      <c r="NFT1642" s="21"/>
      <c r="NFU1642" s="21"/>
      <c r="NFV1642" s="21"/>
      <c r="NFW1642" s="21"/>
      <c r="NFX1642" s="21"/>
      <c r="NFY1642" s="21"/>
      <c r="NFZ1642" s="21"/>
      <c r="NGA1642" s="21"/>
      <c r="NGB1642" s="21"/>
      <c r="NGC1642" s="21"/>
      <c r="NGD1642" s="21"/>
      <c r="NGE1642" s="21"/>
      <c r="NGF1642" s="21"/>
      <c r="NGG1642" s="21"/>
      <c r="NGH1642" s="21"/>
      <c r="NGI1642" s="21"/>
      <c r="NGJ1642" s="21"/>
      <c r="NGK1642" s="21"/>
      <c r="NGL1642" s="21"/>
      <c r="NGM1642" s="21"/>
      <c r="NGN1642" s="21"/>
      <c r="NGO1642" s="21"/>
      <c r="NGP1642" s="21"/>
      <c r="NGQ1642" s="21"/>
      <c r="NGR1642" s="21"/>
      <c r="NGS1642" s="21"/>
      <c r="NGT1642" s="21"/>
      <c r="NGU1642" s="21"/>
      <c r="NGV1642" s="21"/>
      <c r="NGW1642" s="21"/>
      <c r="NGX1642" s="21"/>
      <c r="NGY1642" s="21"/>
      <c r="NGZ1642" s="21"/>
      <c r="NHA1642" s="21"/>
      <c r="NHB1642" s="21"/>
      <c r="NHC1642" s="21"/>
      <c r="NHD1642" s="21"/>
      <c r="NHE1642" s="21"/>
      <c r="NHF1642" s="21"/>
      <c r="NHG1642" s="21"/>
      <c r="NHH1642" s="21"/>
      <c r="NHI1642" s="21"/>
      <c r="NHJ1642" s="21"/>
      <c r="NHK1642" s="21"/>
      <c r="NHL1642" s="21"/>
      <c r="NHM1642" s="21"/>
      <c r="NHN1642" s="21"/>
      <c r="NHO1642" s="21"/>
      <c r="NHP1642" s="21"/>
      <c r="NHQ1642" s="21"/>
      <c r="NHR1642" s="21"/>
      <c r="NHS1642" s="21"/>
      <c r="NHT1642" s="21"/>
      <c r="NHU1642" s="21"/>
      <c r="NHV1642" s="21"/>
      <c r="NHW1642" s="21"/>
      <c r="NHX1642" s="21"/>
      <c r="NHY1642" s="21"/>
      <c r="NHZ1642" s="21"/>
      <c r="NIA1642" s="21"/>
      <c r="NIB1642" s="21"/>
      <c r="NIC1642" s="21"/>
      <c r="NID1642" s="21"/>
      <c r="NIE1642" s="21"/>
      <c r="NIF1642" s="21"/>
      <c r="NIG1642" s="21"/>
      <c r="NIH1642" s="21"/>
      <c r="NII1642" s="21"/>
      <c r="NIJ1642" s="21"/>
      <c r="NIK1642" s="21"/>
      <c r="NIL1642" s="21"/>
      <c r="NIM1642" s="21"/>
      <c r="NIN1642" s="21"/>
      <c r="NIO1642" s="21"/>
      <c r="NIP1642" s="21"/>
      <c r="NIQ1642" s="21"/>
      <c r="NIR1642" s="21"/>
      <c r="NIS1642" s="21"/>
      <c r="NIT1642" s="21"/>
      <c r="NIU1642" s="21"/>
      <c r="NIV1642" s="21"/>
      <c r="NIW1642" s="21"/>
      <c r="NIX1642" s="21"/>
      <c r="NIY1642" s="21"/>
      <c r="NIZ1642" s="21"/>
      <c r="NJA1642" s="21"/>
      <c r="NJB1642" s="21"/>
      <c r="NJC1642" s="21"/>
      <c r="NJD1642" s="21"/>
      <c r="NJE1642" s="21"/>
      <c r="NJF1642" s="21"/>
      <c r="NJG1642" s="21"/>
      <c r="NJH1642" s="21"/>
      <c r="NJI1642" s="21"/>
      <c r="NJJ1642" s="21"/>
      <c r="NJK1642" s="21"/>
      <c r="NJL1642" s="21"/>
      <c r="NJM1642" s="21"/>
      <c r="NJN1642" s="21"/>
      <c r="NJO1642" s="21"/>
      <c r="NJP1642" s="21"/>
      <c r="NJQ1642" s="21"/>
      <c r="NJR1642" s="21"/>
      <c r="NJS1642" s="21"/>
      <c r="NJT1642" s="21"/>
      <c r="NJU1642" s="21"/>
      <c r="NJV1642" s="21"/>
      <c r="NJW1642" s="21"/>
      <c r="NJX1642" s="21"/>
      <c r="NJY1642" s="21"/>
      <c r="NJZ1642" s="21"/>
      <c r="NKA1642" s="21"/>
      <c r="NKB1642" s="21"/>
      <c r="NKC1642" s="21"/>
      <c r="NKD1642" s="21"/>
      <c r="NKE1642" s="21"/>
      <c r="NKF1642" s="21"/>
      <c r="NKG1642" s="21"/>
      <c r="NKH1642" s="21"/>
      <c r="NKI1642" s="21"/>
      <c r="NKJ1642" s="21"/>
      <c r="NKK1642" s="21"/>
      <c r="NKL1642" s="21"/>
      <c r="NKM1642" s="21"/>
      <c r="NKN1642" s="21"/>
      <c r="NKO1642" s="21"/>
      <c r="NKP1642" s="21"/>
      <c r="NKQ1642" s="21"/>
      <c r="NKR1642" s="21"/>
      <c r="NKS1642" s="21"/>
      <c r="NKT1642" s="21"/>
      <c r="NKU1642" s="21"/>
      <c r="NKV1642" s="21"/>
      <c r="NKW1642" s="21"/>
      <c r="NKX1642" s="21"/>
      <c r="NKY1642" s="21"/>
      <c r="NKZ1642" s="21"/>
      <c r="NLA1642" s="21"/>
      <c r="NLB1642" s="21"/>
      <c r="NLC1642" s="21"/>
      <c r="NLD1642" s="21"/>
      <c r="NLE1642" s="21"/>
      <c r="NLF1642" s="21"/>
      <c r="NLG1642" s="21"/>
      <c r="NLH1642" s="21"/>
      <c r="NLI1642" s="21"/>
      <c r="NLJ1642" s="21"/>
      <c r="NLK1642" s="21"/>
      <c r="NLL1642" s="21"/>
      <c r="NLM1642" s="21"/>
      <c r="NLN1642" s="21"/>
      <c r="NLO1642" s="21"/>
      <c r="NLP1642" s="21"/>
      <c r="NLQ1642" s="21"/>
      <c r="NLR1642" s="21"/>
      <c r="NLS1642" s="21"/>
      <c r="NLT1642" s="21"/>
      <c r="NLU1642" s="21"/>
      <c r="NLV1642" s="21"/>
      <c r="NLW1642" s="21"/>
      <c r="NLX1642" s="21"/>
      <c r="NLY1642" s="21"/>
      <c r="NLZ1642" s="21"/>
      <c r="NMA1642" s="21"/>
      <c r="NMB1642" s="21"/>
      <c r="NMC1642" s="21"/>
      <c r="NMD1642" s="21"/>
      <c r="NME1642" s="21"/>
      <c r="NMF1642" s="21"/>
      <c r="NMG1642" s="21"/>
      <c r="NMH1642" s="21"/>
      <c r="NMI1642" s="21"/>
      <c r="NMJ1642" s="21"/>
      <c r="NMK1642" s="21"/>
      <c r="NML1642" s="21"/>
      <c r="NMM1642" s="21"/>
      <c r="NMN1642" s="21"/>
      <c r="NMO1642" s="21"/>
      <c r="NMP1642" s="21"/>
      <c r="NMQ1642" s="21"/>
      <c r="NMR1642" s="21"/>
      <c r="NMS1642" s="21"/>
      <c r="NMT1642" s="21"/>
      <c r="NMU1642" s="21"/>
      <c r="NMV1642" s="21"/>
      <c r="NMW1642" s="21"/>
      <c r="NMX1642" s="21"/>
      <c r="NMY1642" s="21"/>
      <c r="NMZ1642" s="21"/>
      <c r="NNA1642" s="21"/>
      <c r="NNB1642" s="21"/>
      <c r="NNC1642" s="21"/>
      <c r="NND1642" s="21"/>
      <c r="NNE1642" s="21"/>
      <c r="NNF1642" s="21"/>
      <c r="NNG1642" s="21"/>
      <c r="NNH1642" s="21"/>
      <c r="NNI1642" s="21"/>
      <c r="NNJ1642" s="21"/>
      <c r="NNK1642" s="21"/>
      <c r="NNL1642" s="21"/>
      <c r="NNM1642" s="21"/>
      <c r="NNN1642" s="21"/>
      <c r="NNO1642" s="21"/>
      <c r="NNP1642" s="21"/>
      <c r="NNQ1642" s="21"/>
      <c r="NNR1642" s="21"/>
      <c r="NNS1642" s="21"/>
      <c r="NNT1642" s="21"/>
      <c r="NNU1642" s="21"/>
      <c r="NNV1642" s="21"/>
      <c r="NNW1642" s="21"/>
      <c r="NNX1642" s="21"/>
      <c r="NNY1642" s="21"/>
      <c r="NNZ1642" s="21"/>
      <c r="NOA1642" s="21"/>
      <c r="NOB1642" s="21"/>
      <c r="NOC1642" s="21"/>
      <c r="NOD1642" s="21"/>
      <c r="NOE1642" s="21"/>
      <c r="NOF1642" s="21"/>
      <c r="NOG1642" s="21"/>
      <c r="NOH1642" s="21"/>
      <c r="NOI1642" s="21"/>
      <c r="NOJ1642" s="21"/>
      <c r="NOK1642" s="21"/>
      <c r="NOL1642" s="21"/>
      <c r="NOM1642" s="21"/>
      <c r="NON1642" s="21"/>
      <c r="NOO1642" s="21"/>
      <c r="NOP1642" s="21"/>
      <c r="NOQ1642" s="21"/>
      <c r="NOR1642" s="21"/>
      <c r="NOS1642" s="21"/>
      <c r="NOT1642" s="21"/>
      <c r="NOU1642" s="21"/>
      <c r="NOV1642" s="21"/>
      <c r="NOW1642" s="21"/>
      <c r="NOX1642" s="21"/>
      <c r="NOY1642" s="21"/>
      <c r="NOZ1642" s="21"/>
      <c r="NPA1642" s="21"/>
      <c r="NPB1642" s="21"/>
      <c r="NPC1642" s="21"/>
      <c r="NPD1642" s="21"/>
      <c r="NPE1642" s="21"/>
      <c r="NPF1642" s="21"/>
      <c r="NPG1642" s="21"/>
      <c r="NPH1642" s="21"/>
      <c r="NPI1642" s="21"/>
      <c r="NPJ1642" s="21"/>
      <c r="NPK1642" s="21"/>
      <c r="NPL1642" s="21"/>
      <c r="NPM1642" s="21"/>
      <c r="NPN1642" s="21"/>
      <c r="NPO1642" s="21"/>
      <c r="NPP1642" s="21"/>
      <c r="NPQ1642" s="21"/>
      <c r="NPR1642" s="21"/>
      <c r="NPS1642" s="21"/>
      <c r="NPT1642" s="21"/>
      <c r="NPU1642" s="21"/>
      <c r="NPV1642" s="21"/>
      <c r="NPW1642" s="21"/>
      <c r="NPX1642" s="21"/>
      <c r="NPY1642" s="21"/>
      <c r="NPZ1642" s="21"/>
      <c r="NQA1642" s="21"/>
      <c r="NQB1642" s="21"/>
      <c r="NQC1642" s="21"/>
      <c r="NQD1642" s="21"/>
      <c r="NQE1642" s="21"/>
      <c r="NQF1642" s="21"/>
      <c r="NQG1642" s="21"/>
      <c r="NQH1642" s="21"/>
      <c r="NQI1642" s="21"/>
      <c r="NQJ1642" s="21"/>
      <c r="NQK1642" s="21"/>
      <c r="NQL1642" s="21"/>
      <c r="NQM1642" s="21"/>
      <c r="NQN1642" s="21"/>
      <c r="NQO1642" s="21"/>
      <c r="NQP1642" s="21"/>
      <c r="NQQ1642" s="21"/>
      <c r="NQR1642" s="21"/>
      <c r="NQS1642" s="21"/>
      <c r="NQT1642" s="21"/>
      <c r="NQU1642" s="21"/>
      <c r="NQV1642" s="21"/>
      <c r="NQW1642" s="21"/>
      <c r="NQX1642" s="21"/>
      <c r="NQY1642" s="21"/>
      <c r="NQZ1642" s="21"/>
      <c r="NRA1642" s="21"/>
      <c r="NRB1642" s="21"/>
      <c r="NRC1642" s="21"/>
      <c r="NRD1642" s="21"/>
      <c r="NRE1642" s="21"/>
      <c r="NRF1642" s="21"/>
      <c r="NRG1642" s="21"/>
      <c r="NRH1642" s="21"/>
      <c r="NRI1642" s="21"/>
      <c r="NRJ1642" s="21"/>
      <c r="NRK1642" s="21"/>
      <c r="NRL1642" s="21"/>
      <c r="NRM1642" s="21"/>
      <c r="NRN1642" s="21"/>
      <c r="NRO1642" s="21"/>
      <c r="NRP1642" s="21"/>
      <c r="NRQ1642" s="21"/>
      <c r="NRR1642" s="21"/>
      <c r="NRS1642" s="21"/>
      <c r="NRT1642" s="21"/>
      <c r="NRU1642" s="21"/>
      <c r="NRV1642" s="21"/>
      <c r="NRW1642" s="21"/>
      <c r="NRX1642" s="21"/>
      <c r="NRY1642" s="21"/>
      <c r="NRZ1642" s="21"/>
      <c r="NSA1642" s="21"/>
      <c r="NSB1642" s="21"/>
      <c r="NSC1642" s="21"/>
      <c r="NSD1642" s="21"/>
      <c r="NSE1642" s="21"/>
      <c r="NSF1642" s="21"/>
      <c r="NSG1642" s="21"/>
      <c r="NSH1642" s="21"/>
      <c r="NSI1642" s="21"/>
      <c r="NSJ1642" s="21"/>
      <c r="NSK1642" s="21"/>
      <c r="NSL1642" s="21"/>
      <c r="NSM1642" s="21"/>
      <c r="NSN1642" s="21"/>
      <c r="NSO1642" s="21"/>
      <c r="NSP1642" s="21"/>
      <c r="NSQ1642" s="21"/>
      <c r="NSR1642" s="21"/>
      <c r="NSS1642" s="21"/>
      <c r="NST1642" s="21"/>
      <c r="NSU1642" s="21"/>
      <c r="NSV1642" s="21"/>
      <c r="NSW1642" s="21"/>
      <c r="NSX1642" s="21"/>
      <c r="NSY1642" s="21"/>
      <c r="NSZ1642" s="21"/>
      <c r="NTA1642" s="21"/>
      <c r="NTB1642" s="21"/>
      <c r="NTC1642" s="21"/>
      <c r="NTD1642" s="21"/>
      <c r="NTE1642" s="21"/>
      <c r="NTF1642" s="21"/>
      <c r="NTG1642" s="21"/>
      <c r="NTH1642" s="21"/>
      <c r="NTI1642" s="21"/>
      <c r="NTJ1642" s="21"/>
      <c r="NTK1642" s="21"/>
      <c r="NTL1642" s="21"/>
      <c r="NTM1642" s="21"/>
      <c r="NTN1642" s="21"/>
      <c r="NTO1642" s="21"/>
      <c r="NTP1642" s="21"/>
      <c r="NTQ1642" s="21"/>
      <c r="NTR1642" s="21"/>
      <c r="NTS1642" s="21"/>
      <c r="NTT1642" s="21"/>
      <c r="NTU1642" s="21"/>
      <c r="NTV1642" s="21"/>
      <c r="NTW1642" s="21"/>
      <c r="NTX1642" s="21"/>
      <c r="NTY1642" s="21"/>
      <c r="NTZ1642" s="21"/>
      <c r="NUA1642" s="21"/>
      <c r="NUB1642" s="21"/>
      <c r="NUC1642" s="21"/>
      <c r="NUD1642" s="21"/>
      <c r="NUE1642" s="21"/>
      <c r="NUF1642" s="21"/>
      <c r="NUG1642" s="21"/>
      <c r="NUH1642" s="21"/>
      <c r="NUI1642" s="21"/>
      <c r="NUJ1642" s="21"/>
      <c r="NUK1642" s="21"/>
      <c r="NUL1642" s="21"/>
      <c r="NUM1642" s="21"/>
      <c r="NUN1642" s="21"/>
      <c r="NUO1642" s="21"/>
      <c r="NUP1642" s="21"/>
      <c r="NUQ1642" s="21"/>
      <c r="NUR1642" s="21"/>
      <c r="NUS1642" s="21"/>
      <c r="NUT1642" s="21"/>
      <c r="NUU1642" s="21"/>
      <c r="NUV1642" s="21"/>
      <c r="NUW1642" s="21"/>
      <c r="NUX1642" s="21"/>
      <c r="NUY1642" s="21"/>
      <c r="NUZ1642" s="21"/>
      <c r="NVA1642" s="21"/>
      <c r="NVB1642" s="21"/>
      <c r="NVC1642" s="21"/>
      <c r="NVD1642" s="21"/>
      <c r="NVE1642" s="21"/>
      <c r="NVF1642" s="21"/>
      <c r="NVG1642" s="21"/>
      <c r="NVH1642" s="21"/>
      <c r="NVI1642" s="21"/>
      <c r="NVJ1642" s="21"/>
      <c r="NVK1642" s="21"/>
      <c r="NVL1642" s="21"/>
      <c r="NVM1642" s="21"/>
      <c r="NVN1642" s="21"/>
      <c r="NVO1642" s="21"/>
      <c r="NVP1642" s="21"/>
      <c r="NVQ1642" s="21"/>
      <c r="NVR1642" s="21"/>
      <c r="NVS1642" s="21"/>
      <c r="NVT1642" s="21"/>
      <c r="NVU1642" s="21"/>
      <c r="NVV1642" s="21"/>
      <c r="NVW1642" s="21"/>
      <c r="NVX1642" s="21"/>
      <c r="NVY1642" s="21"/>
      <c r="NVZ1642" s="21"/>
      <c r="NWA1642" s="21"/>
      <c r="NWB1642" s="21"/>
      <c r="NWC1642" s="21"/>
      <c r="NWD1642" s="21"/>
      <c r="NWE1642" s="21"/>
      <c r="NWF1642" s="21"/>
      <c r="NWG1642" s="21"/>
      <c r="NWH1642" s="21"/>
      <c r="NWI1642" s="21"/>
      <c r="NWJ1642" s="21"/>
      <c r="NWK1642" s="21"/>
      <c r="NWL1642" s="21"/>
      <c r="NWM1642" s="21"/>
      <c r="NWN1642" s="21"/>
      <c r="NWO1642" s="21"/>
      <c r="NWP1642" s="21"/>
      <c r="NWQ1642" s="21"/>
      <c r="NWR1642" s="21"/>
      <c r="NWS1642" s="21"/>
      <c r="NWT1642" s="21"/>
      <c r="NWU1642" s="21"/>
      <c r="NWV1642" s="21"/>
      <c r="NWW1642" s="21"/>
      <c r="NWX1642" s="21"/>
      <c r="NWY1642" s="21"/>
      <c r="NWZ1642" s="21"/>
      <c r="NXA1642" s="21"/>
      <c r="NXB1642" s="21"/>
      <c r="NXC1642" s="21"/>
      <c r="NXD1642" s="21"/>
      <c r="NXE1642" s="21"/>
      <c r="NXF1642" s="21"/>
      <c r="NXG1642" s="21"/>
      <c r="NXH1642" s="21"/>
      <c r="NXI1642" s="21"/>
      <c r="NXJ1642" s="21"/>
      <c r="NXK1642" s="21"/>
      <c r="NXL1642" s="21"/>
      <c r="NXM1642" s="21"/>
      <c r="NXN1642" s="21"/>
      <c r="NXO1642" s="21"/>
      <c r="NXP1642" s="21"/>
      <c r="NXQ1642" s="21"/>
      <c r="NXR1642" s="21"/>
      <c r="NXS1642" s="21"/>
      <c r="NXT1642" s="21"/>
      <c r="NXU1642" s="21"/>
      <c r="NXV1642" s="21"/>
      <c r="NXW1642" s="21"/>
      <c r="NXX1642" s="21"/>
      <c r="NXY1642" s="21"/>
      <c r="NXZ1642" s="21"/>
      <c r="NYA1642" s="21"/>
      <c r="NYB1642" s="21"/>
      <c r="NYC1642" s="21"/>
      <c r="NYD1642" s="21"/>
      <c r="NYE1642" s="21"/>
      <c r="NYF1642" s="21"/>
      <c r="NYG1642" s="21"/>
      <c r="NYH1642" s="21"/>
      <c r="NYI1642" s="21"/>
      <c r="NYJ1642" s="21"/>
      <c r="NYK1642" s="21"/>
      <c r="NYL1642" s="21"/>
      <c r="NYM1642" s="21"/>
      <c r="NYN1642" s="21"/>
      <c r="NYO1642" s="21"/>
      <c r="NYP1642" s="21"/>
      <c r="NYQ1642" s="21"/>
      <c r="NYR1642" s="21"/>
      <c r="NYS1642" s="21"/>
      <c r="NYT1642" s="21"/>
      <c r="NYU1642" s="21"/>
      <c r="NYV1642" s="21"/>
      <c r="NYW1642" s="21"/>
      <c r="NYX1642" s="21"/>
      <c r="NYY1642" s="21"/>
      <c r="NYZ1642" s="21"/>
      <c r="NZA1642" s="21"/>
      <c r="NZB1642" s="21"/>
      <c r="NZC1642" s="21"/>
      <c r="NZD1642" s="21"/>
      <c r="NZE1642" s="21"/>
      <c r="NZF1642" s="21"/>
      <c r="NZG1642" s="21"/>
      <c r="NZH1642" s="21"/>
      <c r="NZI1642" s="21"/>
      <c r="NZJ1642" s="21"/>
      <c r="NZK1642" s="21"/>
      <c r="NZL1642" s="21"/>
      <c r="NZM1642" s="21"/>
      <c r="NZN1642" s="21"/>
      <c r="NZO1642" s="21"/>
      <c r="NZP1642" s="21"/>
      <c r="NZQ1642" s="21"/>
      <c r="NZR1642" s="21"/>
      <c r="NZS1642" s="21"/>
      <c r="NZT1642" s="21"/>
      <c r="NZU1642" s="21"/>
      <c r="NZV1642" s="21"/>
      <c r="NZW1642" s="21"/>
      <c r="NZX1642" s="21"/>
      <c r="NZY1642" s="21"/>
      <c r="NZZ1642" s="21"/>
      <c r="OAA1642" s="21"/>
      <c r="OAB1642" s="21"/>
      <c r="OAC1642" s="21"/>
      <c r="OAD1642" s="21"/>
      <c r="OAE1642" s="21"/>
      <c r="OAF1642" s="21"/>
      <c r="OAG1642" s="21"/>
      <c r="OAH1642" s="21"/>
      <c r="OAI1642" s="21"/>
      <c r="OAJ1642" s="21"/>
      <c r="OAK1642" s="21"/>
      <c r="OAL1642" s="21"/>
      <c r="OAM1642" s="21"/>
      <c r="OAN1642" s="21"/>
      <c r="OAO1642" s="21"/>
      <c r="OAP1642" s="21"/>
      <c r="OAQ1642" s="21"/>
      <c r="OAR1642" s="21"/>
      <c r="OAS1642" s="21"/>
      <c r="OAT1642" s="21"/>
      <c r="OAU1642" s="21"/>
      <c r="OAV1642" s="21"/>
      <c r="OAW1642" s="21"/>
      <c r="OAX1642" s="21"/>
      <c r="OAY1642" s="21"/>
      <c r="OAZ1642" s="21"/>
      <c r="OBA1642" s="21"/>
      <c r="OBB1642" s="21"/>
      <c r="OBC1642" s="21"/>
      <c r="OBD1642" s="21"/>
      <c r="OBE1642" s="21"/>
      <c r="OBF1642" s="21"/>
      <c r="OBG1642" s="21"/>
      <c r="OBH1642" s="21"/>
      <c r="OBI1642" s="21"/>
      <c r="OBJ1642" s="21"/>
      <c r="OBK1642" s="21"/>
      <c r="OBL1642" s="21"/>
      <c r="OBM1642" s="21"/>
      <c r="OBN1642" s="21"/>
      <c r="OBO1642" s="21"/>
      <c r="OBP1642" s="21"/>
      <c r="OBQ1642" s="21"/>
      <c r="OBR1642" s="21"/>
      <c r="OBS1642" s="21"/>
      <c r="OBT1642" s="21"/>
      <c r="OBU1642" s="21"/>
      <c r="OBV1642" s="21"/>
      <c r="OBW1642" s="21"/>
      <c r="OBX1642" s="21"/>
      <c r="OBY1642" s="21"/>
      <c r="OBZ1642" s="21"/>
      <c r="OCA1642" s="21"/>
      <c r="OCB1642" s="21"/>
      <c r="OCC1642" s="21"/>
      <c r="OCD1642" s="21"/>
      <c r="OCE1642" s="21"/>
      <c r="OCF1642" s="21"/>
      <c r="OCG1642" s="21"/>
      <c r="OCH1642" s="21"/>
      <c r="OCI1642" s="21"/>
      <c r="OCJ1642" s="21"/>
      <c r="OCK1642" s="21"/>
      <c r="OCL1642" s="21"/>
      <c r="OCM1642" s="21"/>
      <c r="OCN1642" s="21"/>
      <c r="OCO1642" s="21"/>
      <c r="OCP1642" s="21"/>
      <c r="OCQ1642" s="21"/>
      <c r="OCR1642" s="21"/>
      <c r="OCS1642" s="21"/>
      <c r="OCT1642" s="21"/>
      <c r="OCU1642" s="21"/>
      <c r="OCV1642" s="21"/>
      <c r="OCW1642" s="21"/>
      <c r="OCX1642" s="21"/>
      <c r="OCY1642" s="21"/>
      <c r="OCZ1642" s="21"/>
      <c r="ODA1642" s="21"/>
      <c r="ODB1642" s="21"/>
      <c r="ODC1642" s="21"/>
      <c r="ODD1642" s="21"/>
      <c r="ODE1642" s="21"/>
      <c r="ODF1642" s="21"/>
      <c r="ODG1642" s="21"/>
      <c r="ODH1642" s="21"/>
      <c r="ODI1642" s="21"/>
      <c r="ODJ1642" s="21"/>
      <c r="ODK1642" s="21"/>
      <c r="ODL1642" s="21"/>
      <c r="ODM1642" s="21"/>
      <c r="ODN1642" s="21"/>
      <c r="ODO1642" s="21"/>
      <c r="ODP1642" s="21"/>
      <c r="ODQ1642" s="21"/>
      <c r="ODR1642" s="21"/>
      <c r="ODS1642" s="21"/>
      <c r="ODT1642" s="21"/>
      <c r="ODU1642" s="21"/>
      <c r="ODV1642" s="21"/>
      <c r="ODW1642" s="21"/>
      <c r="ODX1642" s="21"/>
      <c r="ODY1642" s="21"/>
      <c r="ODZ1642" s="21"/>
      <c r="OEA1642" s="21"/>
      <c r="OEB1642" s="21"/>
      <c r="OEC1642" s="21"/>
      <c r="OED1642" s="21"/>
      <c r="OEE1642" s="21"/>
      <c r="OEF1642" s="21"/>
      <c r="OEG1642" s="21"/>
      <c r="OEH1642" s="21"/>
      <c r="OEI1642" s="21"/>
      <c r="OEJ1642" s="21"/>
      <c r="OEK1642" s="21"/>
      <c r="OEL1642" s="21"/>
      <c r="OEM1642" s="21"/>
      <c r="OEN1642" s="21"/>
      <c r="OEO1642" s="21"/>
      <c r="OEP1642" s="21"/>
      <c r="OEQ1642" s="21"/>
      <c r="OER1642" s="21"/>
      <c r="OES1642" s="21"/>
      <c r="OET1642" s="21"/>
      <c r="OEU1642" s="21"/>
      <c r="OEV1642" s="21"/>
      <c r="OEW1642" s="21"/>
      <c r="OEX1642" s="21"/>
      <c r="OEY1642" s="21"/>
      <c r="OEZ1642" s="21"/>
      <c r="OFA1642" s="21"/>
      <c r="OFB1642" s="21"/>
      <c r="OFC1642" s="21"/>
      <c r="OFD1642" s="21"/>
      <c r="OFE1642" s="21"/>
      <c r="OFF1642" s="21"/>
      <c r="OFG1642" s="21"/>
      <c r="OFH1642" s="21"/>
      <c r="OFI1642" s="21"/>
      <c r="OFJ1642" s="21"/>
      <c r="OFK1642" s="21"/>
      <c r="OFL1642" s="21"/>
      <c r="OFM1642" s="21"/>
      <c r="OFN1642" s="21"/>
      <c r="OFO1642" s="21"/>
      <c r="OFP1642" s="21"/>
      <c r="OFQ1642" s="21"/>
      <c r="OFR1642" s="21"/>
      <c r="OFS1642" s="21"/>
      <c r="OFT1642" s="21"/>
      <c r="OFU1642" s="21"/>
      <c r="OFV1642" s="21"/>
      <c r="OFW1642" s="21"/>
      <c r="OFX1642" s="21"/>
      <c r="OFY1642" s="21"/>
      <c r="OFZ1642" s="21"/>
      <c r="OGA1642" s="21"/>
      <c r="OGB1642" s="21"/>
      <c r="OGC1642" s="21"/>
      <c r="OGD1642" s="21"/>
      <c r="OGE1642" s="21"/>
      <c r="OGF1642" s="21"/>
      <c r="OGG1642" s="21"/>
      <c r="OGH1642" s="21"/>
      <c r="OGI1642" s="21"/>
      <c r="OGJ1642" s="21"/>
      <c r="OGK1642" s="21"/>
      <c r="OGL1642" s="21"/>
      <c r="OGM1642" s="21"/>
      <c r="OGN1642" s="21"/>
      <c r="OGO1642" s="21"/>
      <c r="OGP1642" s="21"/>
      <c r="OGQ1642" s="21"/>
      <c r="OGR1642" s="21"/>
      <c r="OGS1642" s="21"/>
      <c r="OGT1642" s="21"/>
      <c r="OGU1642" s="21"/>
      <c r="OGV1642" s="21"/>
      <c r="OGW1642" s="21"/>
      <c r="OGX1642" s="21"/>
      <c r="OGY1642" s="21"/>
      <c r="OGZ1642" s="21"/>
      <c r="OHA1642" s="21"/>
      <c r="OHB1642" s="21"/>
      <c r="OHC1642" s="21"/>
      <c r="OHD1642" s="21"/>
      <c r="OHE1642" s="21"/>
      <c r="OHF1642" s="21"/>
      <c r="OHG1642" s="21"/>
      <c r="OHH1642" s="21"/>
      <c r="OHI1642" s="21"/>
      <c r="OHJ1642" s="21"/>
      <c r="OHK1642" s="21"/>
      <c r="OHL1642" s="21"/>
      <c r="OHM1642" s="21"/>
      <c r="OHN1642" s="21"/>
      <c r="OHO1642" s="21"/>
      <c r="OHP1642" s="21"/>
      <c r="OHQ1642" s="21"/>
      <c r="OHR1642" s="21"/>
      <c r="OHS1642" s="21"/>
      <c r="OHT1642" s="21"/>
      <c r="OHU1642" s="21"/>
      <c r="OHV1642" s="21"/>
      <c r="OHW1642" s="21"/>
      <c r="OHX1642" s="21"/>
      <c r="OHY1642" s="21"/>
      <c r="OHZ1642" s="21"/>
      <c r="OIA1642" s="21"/>
      <c r="OIB1642" s="21"/>
      <c r="OIC1642" s="21"/>
      <c r="OID1642" s="21"/>
      <c r="OIE1642" s="21"/>
      <c r="OIF1642" s="21"/>
      <c r="OIG1642" s="21"/>
      <c r="OIH1642" s="21"/>
      <c r="OII1642" s="21"/>
      <c r="OIJ1642" s="21"/>
      <c r="OIK1642" s="21"/>
      <c r="OIL1642" s="21"/>
      <c r="OIM1642" s="21"/>
      <c r="OIN1642" s="21"/>
      <c r="OIO1642" s="21"/>
      <c r="OIP1642" s="21"/>
      <c r="OIQ1642" s="21"/>
      <c r="OIR1642" s="21"/>
      <c r="OIS1642" s="21"/>
      <c r="OIT1642" s="21"/>
      <c r="OIU1642" s="21"/>
      <c r="OIV1642" s="21"/>
      <c r="OIW1642" s="21"/>
      <c r="OIX1642" s="21"/>
      <c r="OIY1642" s="21"/>
      <c r="OIZ1642" s="21"/>
      <c r="OJA1642" s="21"/>
      <c r="OJB1642" s="21"/>
      <c r="OJC1642" s="21"/>
      <c r="OJD1642" s="21"/>
      <c r="OJE1642" s="21"/>
      <c r="OJF1642" s="21"/>
      <c r="OJG1642" s="21"/>
      <c r="OJH1642" s="21"/>
      <c r="OJI1642" s="21"/>
      <c r="OJJ1642" s="21"/>
      <c r="OJK1642" s="21"/>
      <c r="OJL1642" s="21"/>
      <c r="OJM1642" s="21"/>
      <c r="OJN1642" s="21"/>
      <c r="OJO1642" s="21"/>
      <c r="OJP1642" s="21"/>
      <c r="OJQ1642" s="21"/>
      <c r="OJR1642" s="21"/>
      <c r="OJS1642" s="21"/>
      <c r="OJT1642" s="21"/>
      <c r="OJU1642" s="21"/>
      <c r="OJV1642" s="21"/>
      <c r="OJW1642" s="21"/>
      <c r="OJX1642" s="21"/>
      <c r="OJY1642" s="21"/>
      <c r="OJZ1642" s="21"/>
      <c r="OKA1642" s="21"/>
      <c r="OKB1642" s="21"/>
      <c r="OKC1642" s="21"/>
      <c r="OKD1642" s="21"/>
      <c r="OKE1642" s="21"/>
      <c r="OKF1642" s="21"/>
      <c r="OKG1642" s="21"/>
      <c r="OKH1642" s="21"/>
      <c r="OKI1642" s="21"/>
      <c r="OKJ1642" s="21"/>
      <c r="OKK1642" s="21"/>
      <c r="OKL1642" s="21"/>
      <c r="OKM1642" s="21"/>
      <c r="OKN1642" s="21"/>
      <c r="OKO1642" s="21"/>
      <c r="OKP1642" s="21"/>
      <c r="OKQ1642" s="21"/>
      <c r="OKR1642" s="21"/>
      <c r="OKS1642" s="21"/>
      <c r="OKT1642" s="21"/>
      <c r="OKU1642" s="21"/>
      <c r="OKV1642" s="21"/>
      <c r="OKW1642" s="21"/>
      <c r="OKX1642" s="21"/>
      <c r="OKY1642" s="21"/>
      <c r="OKZ1642" s="21"/>
      <c r="OLA1642" s="21"/>
      <c r="OLB1642" s="21"/>
      <c r="OLC1642" s="21"/>
      <c r="OLD1642" s="21"/>
      <c r="OLE1642" s="21"/>
      <c r="OLF1642" s="21"/>
      <c r="OLG1642" s="21"/>
      <c r="OLH1642" s="21"/>
      <c r="OLI1642" s="21"/>
      <c r="OLJ1642" s="21"/>
      <c r="OLK1642" s="21"/>
      <c r="OLL1642" s="21"/>
      <c r="OLM1642" s="21"/>
      <c r="OLN1642" s="21"/>
      <c r="OLO1642" s="21"/>
      <c r="OLP1642" s="21"/>
      <c r="OLQ1642" s="21"/>
      <c r="OLR1642" s="21"/>
      <c r="OLS1642" s="21"/>
      <c r="OLT1642" s="21"/>
      <c r="OLU1642" s="21"/>
      <c r="OLV1642" s="21"/>
      <c r="OLW1642" s="21"/>
      <c r="OLX1642" s="21"/>
      <c r="OLY1642" s="21"/>
      <c r="OLZ1642" s="21"/>
      <c r="OMA1642" s="21"/>
      <c r="OMB1642" s="21"/>
      <c r="OMC1642" s="21"/>
      <c r="OMD1642" s="21"/>
      <c r="OME1642" s="21"/>
      <c r="OMF1642" s="21"/>
      <c r="OMG1642" s="21"/>
      <c r="OMH1642" s="21"/>
      <c r="OMI1642" s="21"/>
      <c r="OMJ1642" s="21"/>
      <c r="OMK1642" s="21"/>
      <c r="OML1642" s="21"/>
      <c r="OMM1642" s="21"/>
      <c r="OMN1642" s="21"/>
      <c r="OMO1642" s="21"/>
      <c r="OMP1642" s="21"/>
      <c r="OMQ1642" s="21"/>
      <c r="OMR1642" s="21"/>
      <c r="OMS1642" s="21"/>
      <c r="OMT1642" s="21"/>
      <c r="OMU1642" s="21"/>
      <c r="OMV1642" s="21"/>
      <c r="OMW1642" s="21"/>
      <c r="OMX1642" s="21"/>
      <c r="OMY1642" s="21"/>
      <c r="OMZ1642" s="21"/>
      <c r="ONA1642" s="21"/>
      <c r="ONB1642" s="21"/>
      <c r="ONC1642" s="21"/>
      <c r="OND1642" s="21"/>
      <c r="ONE1642" s="21"/>
      <c r="ONF1642" s="21"/>
      <c r="ONG1642" s="21"/>
      <c r="ONH1642" s="21"/>
      <c r="ONI1642" s="21"/>
      <c r="ONJ1642" s="21"/>
      <c r="ONK1642" s="21"/>
      <c r="ONL1642" s="21"/>
      <c r="ONM1642" s="21"/>
      <c r="ONN1642" s="21"/>
      <c r="ONO1642" s="21"/>
      <c r="ONP1642" s="21"/>
      <c r="ONQ1642" s="21"/>
      <c r="ONR1642" s="21"/>
      <c r="ONS1642" s="21"/>
      <c r="ONT1642" s="21"/>
      <c r="ONU1642" s="21"/>
      <c r="ONV1642" s="21"/>
      <c r="ONW1642" s="21"/>
      <c r="ONX1642" s="21"/>
      <c r="ONY1642" s="21"/>
      <c r="ONZ1642" s="21"/>
      <c r="OOA1642" s="21"/>
      <c r="OOB1642" s="21"/>
      <c r="OOC1642" s="21"/>
      <c r="OOD1642" s="21"/>
      <c r="OOE1642" s="21"/>
      <c r="OOF1642" s="21"/>
      <c r="OOG1642" s="21"/>
      <c r="OOH1642" s="21"/>
      <c r="OOI1642" s="21"/>
      <c r="OOJ1642" s="21"/>
      <c r="OOK1642" s="21"/>
      <c r="OOL1642" s="21"/>
      <c r="OOM1642" s="21"/>
      <c r="OON1642" s="21"/>
      <c r="OOO1642" s="21"/>
      <c r="OOP1642" s="21"/>
      <c r="OOQ1642" s="21"/>
      <c r="OOR1642" s="21"/>
      <c r="OOS1642" s="21"/>
      <c r="OOT1642" s="21"/>
      <c r="OOU1642" s="21"/>
      <c r="OOV1642" s="21"/>
      <c r="OOW1642" s="21"/>
      <c r="OOX1642" s="21"/>
      <c r="OOY1642" s="21"/>
      <c r="OOZ1642" s="21"/>
      <c r="OPA1642" s="21"/>
      <c r="OPB1642" s="21"/>
      <c r="OPC1642" s="21"/>
      <c r="OPD1642" s="21"/>
      <c r="OPE1642" s="21"/>
      <c r="OPF1642" s="21"/>
      <c r="OPG1642" s="21"/>
      <c r="OPH1642" s="21"/>
      <c r="OPI1642" s="21"/>
      <c r="OPJ1642" s="21"/>
      <c r="OPK1642" s="21"/>
      <c r="OPL1642" s="21"/>
      <c r="OPM1642" s="21"/>
      <c r="OPN1642" s="21"/>
      <c r="OPO1642" s="21"/>
      <c r="OPP1642" s="21"/>
      <c r="OPQ1642" s="21"/>
      <c r="OPR1642" s="21"/>
      <c r="OPS1642" s="21"/>
      <c r="OPT1642" s="21"/>
      <c r="OPU1642" s="21"/>
      <c r="OPV1642" s="21"/>
      <c r="OPW1642" s="21"/>
      <c r="OPX1642" s="21"/>
      <c r="OPY1642" s="21"/>
      <c r="OPZ1642" s="21"/>
      <c r="OQA1642" s="21"/>
      <c r="OQB1642" s="21"/>
      <c r="OQC1642" s="21"/>
      <c r="OQD1642" s="21"/>
      <c r="OQE1642" s="21"/>
      <c r="OQF1642" s="21"/>
      <c r="OQG1642" s="21"/>
      <c r="OQH1642" s="21"/>
      <c r="OQI1642" s="21"/>
      <c r="OQJ1642" s="21"/>
      <c r="OQK1642" s="21"/>
      <c r="OQL1642" s="21"/>
      <c r="OQM1642" s="21"/>
      <c r="OQN1642" s="21"/>
      <c r="OQO1642" s="21"/>
      <c r="OQP1642" s="21"/>
      <c r="OQQ1642" s="21"/>
      <c r="OQR1642" s="21"/>
      <c r="OQS1642" s="21"/>
      <c r="OQT1642" s="21"/>
      <c r="OQU1642" s="21"/>
      <c r="OQV1642" s="21"/>
      <c r="OQW1642" s="21"/>
      <c r="OQX1642" s="21"/>
      <c r="OQY1642" s="21"/>
      <c r="OQZ1642" s="21"/>
      <c r="ORA1642" s="21"/>
      <c r="ORB1642" s="21"/>
      <c r="ORC1642" s="21"/>
      <c r="ORD1642" s="21"/>
      <c r="ORE1642" s="21"/>
      <c r="ORF1642" s="21"/>
      <c r="ORG1642" s="21"/>
      <c r="ORH1642" s="21"/>
      <c r="ORI1642" s="21"/>
      <c r="ORJ1642" s="21"/>
      <c r="ORK1642" s="21"/>
      <c r="ORL1642" s="21"/>
      <c r="ORM1642" s="21"/>
      <c r="ORN1642" s="21"/>
      <c r="ORO1642" s="21"/>
      <c r="ORP1642" s="21"/>
      <c r="ORQ1642" s="21"/>
      <c r="ORR1642" s="21"/>
      <c r="ORS1642" s="21"/>
      <c r="ORT1642" s="21"/>
      <c r="ORU1642" s="21"/>
      <c r="ORV1642" s="21"/>
      <c r="ORW1642" s="21"/>
      <c r="ORX1642" s="21"/>
      <c r="ORY1642" s="21"/>
      <c r="ORZ1642" s="21"/>
      <c r="OSA1642" s="21"/>
      <c r="OSB1642" s="21"/>
      <c r="OSC1642" s="21"/>
      <c r="OSD1642" s="21"/>
      <c r="OSE1642" s="21"/>
      <c r="OSF1642" s="21"/>
      <c r="OSG1642" s="21"/>
      <c r="OSH1642" s="21"/>
      <c r="OSI1642" s="21"/>
      <c r="OSJ1642" s="21"/>
      <c r="OSK1642" s="21"/>
      <c r="OSL1642" s="21"/>
      <c r="OSM1642" s="21"/>
      <c r="OSN1642" s="21"/>
      <c r="OSO1642" s="21"/>
      <c r="OSP1642" s="21"/>
      <c r="OSQ1642" s="21"/>
      <c r="OSR1642" s="21"/>
      <c r="OSS1642" s="21"/>
      <c r="OST1642" s="21"/>
      <c r="OSU1642" s="21"/>
      <c r="OSV1642" s="21"/>
      <c r="OSW1642" s="21"/>
      <c r="OSX1642" s="21"/>
      <c r="OSY1642" s="21"/>
      <c r="OSZ1642" s="21"/>
      <c r="OTA1642" s="21"/>
      <c r="OTB1642" s="21"/>
      <c r="OTC1642" s="21"/>
      <c r="OTD1642" s="21"/>
      <c r="OTE1642" s="21"/>
      <c r="OTF1642" s="21"/>
      <c r="OTG1642" s="21"/>
      <c r="OTH1642" s="21"/>
      <c r="OTI1642" s="21"/>
      <c r="OTJ1642" s="21"/>
      <c r="OTK1642" s="21"/>
      <c r="OTL1642" s="21"/>
      <c r="OTM1642" s="21"/>
      <c r="OTN1642" s="21"/>
      <c r="OTO1642" s="21"/>
      <c r="OTP1642" s="21"/>
      <c r="OTQ1642" s="21"/>
      <c r="OTR1642" s="21"/>
      <c r="OTS1642" s="21"/>
      <c r="OTT1642" s="21"/>
      <c r="OTU1642" s="21"/>
      <c r="OTV1642" s="21"/>
      <c r="OTW1642" s="21"/>
      <c r="OTX1642" s="21"/>
      <c r="OTY1642" s="21"/>
      <c r="OTZ1642" s="21"/>
      <c r="OUA1642" s="21"/>
      <c r="OUB1642" s="21"/>
      <c r="OUC1642" s="21"/>
      <c r="OUD1642" s="21"/>
      <c r="OUE1642" s="21"/>
      <c r="OUF1642" s="21"/>
      <c r="OUG1642" s="21"/>
      <c r="OUH1642" s="21"/>
      <c r="OUI1642" s="21"/>
      <c r="OUJ1642" s="21"/>
      <c r="OUK1642" s="21"/>
      <c r="OUL1642" s="21"/>
      <c r="OUM1642" s="21"/>
      <c r="OUN1642" s="21"/>
      <c r="OUO1642" s="21"/>
      <c r="OUP1642" s="21"/>
      <c r="OUQ1642" s="21"/>
      <c r="OUR1642" s="21"/>
      <c r="OUS1642" s="21"/>
      <c r="OUT1642" s="21"/>
      <c r="OUU1642" s="21"/>
      <c r="OUV1642" s="21"/>
      <c r="OUW1642" s="21"/>
      <c r="OUX1642" s="21"/>
      <c r="OUY1642" s="21"/>
      <c r="OUZ1642" s="21"/>
      <c r="OVA1642" s="21"/>
      <c r="OVB1642" s="21"/>
      <c r="OVC1642" s="21"/>
      <c r="OVD1642" s="21"/>
      <c r="OVE1642" s="21"/>
      <c r="OVF1642" s="21"/>
      <c r="OVG1642" s="21"/>
      <c r="OVH1642" s="21"/>
      <c r="OVI1642" s="21"/>
      <c r="OVJ1642" s="21"/>
      <c r="OVK1642" s="21"/>
      <c r="OVL1642" s="21"/>
      <c r="OVM1642" s="21"/>
      <c r="OVN1642" s="21"/>
      <c r="OVO1642" s="21"/>
      <c r="OVP1642" s="21"/>
      <c r="OVQ1642" s="21"/>
      <c r="OVR1642" s="21"/>
      <c r="OVS1642" s="21"/>
      <c r="OVT1642" s="21"/>
      <c r="OVU1642" s="21"/>
      <c r="OVV1642" s="21"/>
      <c r="OVW1642" s="21"/>
      <c r="OVX1642" s="21"/>
      <c r="OVY1642" s="21"/>
      <c r="OVZ1642" s="21"/>
      <c r="OWA1642" s="21"/>
      <c r="OWB1642" s="21"/>
      <c r="OWC1642" s="21"/>
      <c r="OWD1642" s="21"/>
      <c r="OWE1642" s="21"/>
      <c r="OWF1642" s="21"/>
      <c r="OWG1642" s="21"/>
      <c r="OWH1642" s="21"/>
      <c r="OWI1642" s="21"/>
      <c r="OWJ1642" s="21"/>
      <c r="OWK1642" s="21"/>
      <c r="OWL1642" s="21"/>
      <c r="OWM1642" s="21"/>
      <c r="OWN1642" s="21"/>
      <c r="OWO1642" s="21"/>
      <c r="OWP1642" s="21"/>
      <c r="OWQ1642" s="21"/>
      <c r="OWR1642" s="21"/>
      <c r="OWS1642" s="21"/>
      <c r="OWT1642" s="21"/>
      <c r="OWU1642" s="21"/>
      <c r="OWV1642" s="21"/>
      <c r="OWW1642" s="21"/>
      <c r="OWX1642" s="21"/>
      <c r="OWY1642" s="21"/>
      <c r="OWZ1642" s="21"/>
      <c r="OXA1642" s="21"/>
      <c r="OXB1642" s="21"/>
      <c r="OXC1642" s="21"/>
      <c r="OXD1642" s="21"/>
      <c r="OXE1642" s="21"/>
      <c r="OXF1642" s="21"/>
      <c r="OXG1642" s="21"/>
      <c r="OXH1642" s="21"/>
      <c r="OXI1642" s="21"/>
      <c r="OXJ1642" s="21"/>
      <c r="OXK1642" s="21"/>
      <c r="OXL1642" s="21"/>
      <c r="OXM1642" s="21"/>
      <c r="OXN1642" s="21"/>
      <c r="OXO1642" s="21"/>
      <c r="OXP1642" s="21"/>
      <c r="OXQ1642" s="21"/>
      <c r="OXR1642" s="21"/>
      <c r="OXS1642" s="21"/>
      <c r="OXT1642" s="21"/>
      <c r="OXU1642" s="21"/>
      <c r="OXV1642" s="21"/>
      <c r="OXW1642" s="21"/>
      <c r="OXX1642" s="21"/>
      <c r="OXY1642" s="21"/>
      <c r="OXZ1642" s="21"/>
      <c r="OYA1642" s="21"/>
      <c r="OYB1642" s="21"/>
      <c r="OYC1642" s="21"/>
      <c r="OYD1642" s="21"/>
      <c r="OYE1642" s="21"/>
      <c r="OYF1642" s="21"/>
      <c r="OYG1642" s="21"/>
      <c r="OYH1642" s="21"/>
      <c r="OYI1642" s="21"/>
      <c r="OYJ1642" s="21"/>
      <c r="OYK1642" s="21"/>
      <c r="OYL1642" s="21"/>
      <c r="OYM1642" s="21"/>
      <c r="OYN1642" s="21"/>
      <c r="OYO1642" s="21"/>
      <c r="OYP1642" s="21"/>
      <c r="OYQ1642" s="21"/>
      <c r="OYR1642" s="21"/>
      <c r="OYS1642" s="21"/>
      <c r="OYT1642" s="21"/>
      <c r="OYU1642" s="21"/>
      <c r="OYV1642" s="21"/>
      <c r="OYW1642" s="21"/>
      <c r="OYX1642" s="21"/>
      <c r="OYY1642" s="21"/>
      <c r="OYZ1642" s="21"/>
      <c r="OZA1642" s="21"/>
      <c r="OZB1642" s="21"/>
      <c r="OZC1642" s="21"/>
      <c r="OZD1642" s="21"/>
      <c r="OZE1642" s="21"/>
      <c r="OZF1642" s="21"/>
      <c r="OZG1642" s="21"/>
      <c r="OZH1642" s="21"/>
      <c r="OZI1642" s="21"/>
      <c r="OZJ1642" s="21"/>
      <c r="OZK1642" s="21"/>
      <c r="OZL1642" s="21"/>
      <c r="OZM1642" s="21"/>
      <c r="OZN1642" s="21"/>
      <c r="OZO1642" s="21"/>
      <c r="OZP1642" s="21"/>
      <c r="OZQ1642" s="21"/>
      <c r="OZR1642" s="21"/>
      <c r="OZS1642" s="21"/>
      <c r="OZT1642" s="21"/>
      <c r="OZU1642" s="21"/>
      <c r="OZV1642" s="21"/>
      <c r="OZW1642" s="21"/>
      <c r="OZX1642" s="21"/>
      <c r="OZY1642" s="21"/>
      <c r="OZZ1642" s="21"/>
      <c r="PAA1642" s="21"/>
      <c r="PAB1642" s="21"/>
      <c r="PAC1642" s="21"/>
      <c r="PAD1642" s="21"/>
      <c r="PAE1642" s="21"/>
      <c r="PAF1642" s="21"/>
      <c r="PAG1642" s="21"/>
      <c r="PAH1642" s="21"/>
      <c r="PAI1642" s="21"/>
      <c r="PAJ1642" s="21"/>
      <c r="PAK1642" s="21"/>
      <c r="PAL1642" s="21"/>
      <c r="PAM1642" s="21"/>
      <c r="PAN1642" s="21"/>
      <c r="PAO1642" s="21"/>
      <c r="PAP1642" s="21"/>
      <c r="PAQ1642" s="21"/>
      <c r="PAR1642" s="21"/>
      <c r="PAS1642" s="21"/>
      <c r="PAT1642" s="21"/>
      <c r="PAU1642" s="21"/>
      <c r="PAV1642" s="21"/>
      <c r="PAW1642" s="21"/>
      <c r="PAX1642" s="21"/>
      <c r="PAY1642" s="21"/>
      <c r="PAZ1642" s="21"/>
      <c r="PBA1642" s="21"/>
      <c r="PBB1642" s="21"/>
      <c r="PBC1642" s="21"/>
      <c r="PBD1642" s="21"/>
      <c r="PBE1642" s="21"/>
      <c r="PBF1642" s="21"/>
      <c r="PBG1642" s="21"/>
      <c r="PBH1642" s="21"/>
      <c r="PBI1642" s="21"/>
      <c r="PBJ1642" s="21"/>
      <c r="PBK1642" s="21"/>
      <c r="PBL1642" s="21"/>
      <c r="PBM1642" s="21"/>
      <c r="PBN1642" s="21"/>
      <c r="PBO1642" s="21"/>
      <c r="PBP1642" s="21"/>
      <c r="PBQ1642" s="21"/>
      <c r="PBR1642" s="21"/>
      <c r="PBS1642" s="21"/>
      <c r="PBT1642" s="21"/>
      <c r="PBU1642" s="21"/>
      <c r="PBV1642" s="21"/>
      <c r="PBW1642" s="21"/>
      <c r="PBX1642" s="21"/>
      <c r="PBY1642" s="21"/>
      <c r="PBZ1642" s="21"/>
      <c r="PCA1642" s="21"/>
      <c r="PCB1642" s="21"/>
      <c r="PCC1642" s="21"/>
      <c r="PCD1642" s="21"/>
      <c r="PCE1642" s="21"/>
      <c r="PCF1642" s="21"/>
      <c r="PCG1642" s="21"/>
      <c r="PCH1642" s="21"/>
      <c r="PCI1642" s="21"/>
      <c r="PCJ1642" s="21"/>
      <c r="PCK1642" s="21"/>
      <c r="PCL1642" s="21"/>
      <c r="PCM1642" s="21"/>
      <c r="PCN1642" s="21"/>
      <c r="PCO1642" s="21"/>
      <c r="PCP1642" s="21"/>
      <c r="PCQ1642" s="21"/>
      <c r="PCR1642" s="21"/>
      <c r="PCS1642" s="21"/>
      <c r="PCT1642" s="21"/>
      <c r="PCU1642" s="21"/>
      <c r="PCV1642" s="21"/>
      <c r="PCW1642" s="21"/>
      <c r="PCX1642" s="21"/>
      <c r="PCY1642" s="21"/>
      <c r="PCZ1642" s="21"/>
      <c r="PDA1642" s="21"/>
      <c r="PDB1642" s="21"/>
      <c r="PDC1642" s="21"/>
      <c r="PDD1642" s="21"/>
      <c r="PDE1642" s="21"/>
      <c r="PDF1642" s="21"/>
      <c r="PDG1642" s="21"/>
      <c r="PDH1642" s="21"/>
      <c r="PDI1642" s="21"/>
      <c r="PDJ1642" s="21"/>
      <c r="PDK1642" s="21"/>
      <c r="PDL1642" s="21"/>
      <c r="PDM1642" s="21"/>
      <c r="PDN1642" s="21"/>
      <c r="PDO1642" s="21"/>
      <c r="PDP1642" s="21"/>
      <c r="PDQ1642" s="21"/>
      <c r="PDR1642" s="21"/>
      <c r="PDS1642" s="21"/>
      <c r="PDT1642" s="21"/>
      <c r="PDU1642" s="21"/>
      <c r="PDV1642" s="21"/>
      <c r="PDW1642" s="21"/>
      <c r="PDX1642" s="21"/>
      <c r="PDY1642" s="21"/>
      <c r="PDZ1642" s="21"/>
      <c r="PEA1642" s="21"/>
      <c r="PEB1642" s="21"/>
      <c r="PEC1642" s="21"/>
      <c r="PED1642" s="21"/>
      <c r="PEE1642" s="21"/>
      <c r="PEF1642" s="21"/>
      <c r="PEG1642" s="21"/>
      <c r="PEH1642" s="21"/>
      <c r="PEI1642" s="21"/>
      <c r="PEJ1642" s="21"/>
      <c r="PEK1642" s="21"/>
      <c r="PEL1642" s="21"/>
      <c r="PEM1642" s="21"/>
      <c r="PEN1642" s="21"/>
      <c r="PEO1642" s="21"/>
      <c r="PEP1642" s="21"/>
      <c r="PEQ1642" s="21"/>
      <c r="PER1642" s="21"/>
      <c r="PES1642" s="21"/>
      <c r="PET1642" s="21"/>
      <c r="PEU1642" s="21"/>
      <c r="PEV1642" s="21"/>
      <c r="PEW1642" s="21"/>
      <c r="PEX1642" s="21"/>
      <c r="PEY1642" s="21"/>
      <c r="PEZ1642" s="21"/>
      <c r="PFA1642" s="21"/>
      <c r="PFB1642" s="21"/>
      <c r="PFC1642" s="21"/>
      <c r="PFD1642" s="21"/>
      <c r="PFE1642" s="21"/>
      <c r="PFF1642" s="21"/>
      <c r="PFG1642" s="21"/>
      <c r="PFH1642" s="21"/>
      <c r="PFI1642" s="21"/>
      <c r="PFJ1642" s="21"/>
      <c r="PFK1642" s="21"/>
      <c r="PFL1642" s="21"/>
      <c r="PFM1642" s="21"/>
      <c r="PFN1642" s="21"/>
      <c r="PFO1642" s="21"/>
      <c r="PFP1642" s="21"/>
      <c r="PFQ1642" s="21"/>
      <c r="PFR1642" s="21"/>
      <c r="PFS1642" s="21"/>
      <c r="PFT1642" s="21"/>
      <c r="PFU1642" s="21"/>
      <c r="PFV1642" s="21"/>
      <c r="PFW1642" s="21"/>
      <c r="PFX1642" s="21"/>
      <c r="PFY1642" s="21"/>
      <c r="PFZ1642" s="21"/>
      <c r="PGA1642" s="21"/>
      <c r="PGB1642" s="21"/>
      <c r="PGC1642" s="21"/>
      <c r="PGD1642" s="21"/>
      <c r="PGE1642" s="21"/>
      <c r="PGF1642" s="21"/>
      <c r="PGG1642" s="21"/>
      <c r="PGH1642" s="21"/>
      <c r="PGI1642" s="21"/>
      <c r="PGJ1642" s="21"/>
      <c r="PGK1642" s="21"/>
      <c r="PGL1642" s="21"/>
      <c r="PGM1642" s="21"/>
      <c r="PGN1642" s="21"/>
      <c r="PGO1642" s="21"/>
      <c r="PGP1642" s="21"/>
      <c r="PGQ1642" s="21"/>
      <c r="PGR1642" s="21"/>
      <c r="PGS1642" s="21"/>
      <c r="PGT1642" s="21"/>
      <c r="PGU1642" s="21"/>
      <c r="PGV1642" s="21"/>
      <c r="PGW1642" s="21"/>
      <c r="PGX1642" s="21"/>
      <c r="PGY1642" s="21"/>
      <c r="PGZ1642" s="21"/>
      <c r="PHA1642" s="21"/>
      <c r="PHB1642" s="21"/>
      <c r="PHC1642" s="21"/>
      <c r="PHD1642" s="21"/>
      <c r="PHE1642" s="21"/>
      <c r="PHF1642" s="21"/>
      <c r="PHG1642" s="21"/>
      <c r="PHH1642" s="21"/>
      <c r="PHI1642" s="21"/>
      <c r="PHJ1642" s="21"/>
      <c r="PHK1642" s="21"/>
      <c r="PHL1642" s="21"/>
      <c r="PHM1642" s="21"/>
      <c r="PHN1642" s="21"/>
      <c r="PHO1642" s="21"/>
      <c r="PHP1642" s="21"/>
      <c r="PHQ1642" s="21"/>
      <c r="PHR1642" s="21"/>
      <c r="PHS1642" s="21"/>
      <c r="PHT1642" s="21"/>
      <c r="PHU1642" s="21"/>
      <c r="PHV1642" s="21"/>
      <c r="PHW1642" s="21"/>
      <c r="PHX1642" s="21"/>
      <c r="PHY1642" s="21"/>
      <c r="PHZ1642" s="21"/>
      <c r="PIA1642" s="21"/>
      <c r="PIB1642" s="21"/>
      <c r="PIC1642" s="21"/>
      <c r="PID1642" s="21"/>
      <c r="PIE1642" s="21"/>
      <c r="PIF1642" s="21"/>
      <c r="PIG1642" s="21"/>
      <c r="PIH1642" s="21"/>
      <c r="PII1642" s="21"/>
      <c r="PIJ1642" s="21"/>
      <c r="PIK1642" s="21"/>
      <c r="PIL1642" s="21"/>
      <c r="PIM1642" s="21"/>
      <c r="PIN1642" s="21"/>
      <c r="PIO1642" s="21"/>
      <c r="PIP1642" s="21"/>
      <c r="PIQ1642" s="21"/>
      <c r="PIR1642" s="21"/>
      <c r="PIS1642" s="21"/>
      <c r="PIT1642" s="21"/>
      <c r="PIU1642" s="21"/>
      <c r="PIV1642" s="21"/>
      <c r="PIW1642" s="21"/>
      <c r="PIX1642" s="21"/>
      <c r="PIY1642" s="21"/>
      <c r="PIZ1642" s="21"/>
      <c r="PJA1642" s="21"/>
      <c r="PJB1642" s="21"/>
      <c r="PJC1642" s="21"/>
      <c r="PJD1642" s="21"/>
      <c r="PJE1642" s="21"/>
      <c r="PJF1642" s="21"/>
      <c r="PJG1642" s="21"/>
      <c r="PJH1642" s="21"/>
      <c r="PJI1642" s="21"/>
      <c r="PJJ1642" s="21"/>
      <c r="PJK1642" s="21"/>
      <c r="PJL1642" s="21"/>
      <c r="PJM1642" s="21"/>
      <c r="PJN1642" s="21"/>
      <c r="PJO1642" s="21"/>
      <c r="PJP1642" s="21"/>
      <c r="PJQ1642" s="21"/>
      <c r="PJR1642" s="21"/>
      <c r="PJS1642" s="21"/>
      <c r="PJT1642" s="21"/>
      <c r="PJU1642" s="21"/>
      <c r="PJV1642" s="21"/>
      <c r="PJW1642" s="21"/>
      <c r="PJX1642" s="21"/>
      <c r="PJY1642" s="21"/>
      <c r="PJZ1642" s="21"/>
      <c r="PKA1642" s="21"/>
      <c r="PKB1642" s="21"/>
      <c r="PKC1642" s="21"/>
      <c r="PKD1642" s="21"/>
      <c r="PKE1642" s="21"/>
      <c r="PKF1642" s="21"/>
      <c r="PKG1642" s="21"/>
      <c r="PKH1642" s="21"/>
      <c r="PKI1642" s="21"/>
      <c r="PKJ1642" s="21"/>
      <c r="PKK1642" s="21"/>
      <c r="PKL1642" s="21"/>
      <c r="PKM1642" s="21"/>
      <c r="PKN1642" s="21"/>
      <c r="PKO1642" s="21"/>
      <c r="PKP1642" s="21"/>
      <c r="PKQ1642" s="21"/>
      <c r="PKR1642" s="21"/>
      <c r="PKS1642" s="21"/>
      <c r="PKT1642" s="21"/>
      <c r="PKU1642" s="21"/>
      <c r="PKV1642" s="21"/>
      <c r="PKW1642" s="21"/>
      <c r="PKX1642" s="21"/>
      <c r="PKY1642" s="21"/>
      <c r="PKZ1642" s="21"/>
      <c r="PLA1642" s="21"/>
      <c r="PLB1642" s="21"/>
      <c r="PLC1642" s="21"/>
      <c r="PLD1642" s="21"/>
      <c r="PLE1642" s="21"/>
      <c r="PLF1642" s="21"/>
      <c r="PLG1642" s="21"/>
      <c r="PLH1642" s="21"/>
      <c r="PLI1642" s="21"/>
      <c r="PLJ1642" s="21"/>
      <c r="PLK1642" s="21"/>
      <c r="PLL1642" s="21"/>
      <c r="PLM1642" s="21"/>
      <c r="PLN1642" s="21"/>
      <c r="PLO1642" s="21"/>
      <c r="PLP1642" s="21"/>
      <c r="PLQ1642" s="21"/>
      <c r="PLR1642" s="21"/>
      <c r="PLS1642" s="21"/>
      <c r="PLT1642" s="21"/>
      <c r="PLU1642" s="21"/>
      <c r="PLV1642" s="21"/>
      <c r="PLW1642" s="21"/>
      <c r="PLX1642" s="21"/>
      <c r="PLY1642" s="21"/>
      <c r="PLZ1642" s="21"/>
      <c r="PMA1642" s="21"/>
      <c r="PMB1642" s="21"/>
      <c r="PMC1642" s="21"/>
      <c r="PMD1642" s="21"/>
      <c r="PME1642" s="21"/>
      <c r="PMF1642" s="21"/>
      <c r="PMG1642" s="21"/>
      <c r="PMH1642" s="21"/>
      <c r="PMI1642" s="21"/>
      <c r="PMJ1642" s="21"/>
      <c r="PMK1642" s="21"/>
      <c r="PML1642" s="21"/>
      <c r="PMM1642" s="21"/>
      <c r="PMN1642" s="21"/>
      <c r="PMO1642" s="21"/>
      <c r="PMP1642" s="21"/>
      <c r="PMQ1642" s="21"/>
      <c r="PMR1642" s="21"/>
      <c r="PMS1642" s="21"/>
      <c r="PMT1642" s="21"/>
      <c r="PMU1642" s="21"/>
      <c r="PMV1642" s="21"/>
      <c r="PMW1642" s="21"/>
      <c r="PMX1642" s="21"/>
      <c r="PMY1642" s="21"/>
      <c r="PMZ1642" s="21"/>
      <c r="PNA1642" s="21"/>
      <c r="PNB1642" s="21"/>
      <c r="PNC1642" s="21"/>
      <c r="PND1642" s="21"/>
      <c r="PNE1642" s="21"/>
      <c r="PNF1642" s="21"/>
      <c r="PNG1642" s="21"/>
      <c r="PNH1642" s="21"/>
      <c r="PNI1642" s="21"/>
      <c r="PNJ1642" s="21"/>
      <c r="PNK1642" s="21"/>
      <c r="PNL1642" s="21"/>
      <c r="PNM1642" s="21"/>
      <c r="PNN1642" s="21"/>
      <c r="PNO1642" s="21"/>
      <c r="PNP1642" s="21"/>
      <c r="PNQ1642" s="21"/>
      <c r="PNR1642" s="21"/>
      <c r="PNS1642" s="21"/>
      <c r="PNT1642" s="21"/>
      <c r="PNU1642" s="21"/>
      <c r="PNV1642" s="21"/>
      <c r="PNW1642" s="21"/>
      <c r="PNX1642" s="21"/>
      <c r="PNY1642" s="21"/>
      <c r="PNZ1642" s="21"/>
      <c r="POA1642" s="21"/>
      <c r="POB1642" s="21"/>
      <c r="POC1642" s="21"/>
      <c r="POD1642" s="21"/>
      <c r="POE1642" s="21"/>
      <c r="POF1642" s="21"/>
      <c r="POG1642" s="21"/>
      <c r="POH1642" s="21"/>
      <c r="POI1642" s="21"/>
      <c r="POJ1642" s="21"/>
      <c r="POK1642" s="21"/>
      <c r="POL1642" s="21"/>
      <c r="POM1642" s="21"/>
      <c r="PON1642" s="21"/>
      <c r="POO1642" s="21"/>
      <c r="POP1642" s="21"/>
      <c r="POQ1642" s="21"/>
      <c r="POR1642" s="21"/>
      <c r="POS1642" s="21"/>
      <c r="POT1642" s="21"/>
      <c r="POU1642" s="21"/>
      <c r="POV1642" s="21"/>
      <c r="POW1642" s="21"/>
      <c r="POX1642" s="21"/>
      <c r="POY1642" s="21"/>
      <c r="POZ1642" s="21"/>
      <c r="PPA1642" s="21"/>
      <c r="PPB1642" s="21"/>
      <c r="PPC1642" s="21"/>
      <c r="PPD1642" s="21"/>
      <c r="PPE1642" s="21"/>
      <c r="PPF1642" s="21"/>
      <c r="PPG1642" s="21"/>
      <c r="PPH1642" s="21"/>
      <c r="PPI1642" s="21"/>
      <c r="PPJ1642" s="21"/>
      <c r="PPK1642" s="21"/>
      <c r="PPL1642" s="21"/>
      <c r="PPM1642" s="21"/>
      <c r="PPN1642" s="21"/>
      <c r="PPO1642" s="21"/>
      <c r="PPP1642" s="21"/>
      <c r="PPQ1642" s="21"/>
      <c r="PPR1642" s="21"/>
      <c r="PPS1642" s="21"/>
      <c r="PPT1642" s="21"/>
      <c r="PPU1642" s="21"/>
      <c r="PPV1642" s="21"/>
      <c r="PPW1642" s="21"/>
      <c r="PPX1642" s="21"/>
      <c r="PPY1642" s="21"/>
      <c r="PPZ1642" s="21"/>
      <c r="PQA1642" s="21"/>
      <c r="PQB1642" s="21"/>
      <c r="PQC1642" s="21"/>
      <c r="PQD1642" s="21"/>
      <c r="PQE1642" s="21"/>
      <c r="PQF1642" s="21"/>
      <c r="PQG1642" s="21"/>
      <c r="PQH1642" s="21"/>
      <c r="PQI1642" s="21"/>
      <c r="PQJ1642" s="21"/>
      <c r="PQK1642" s="21"/>
      <c r="PQL1642" s="21"/>
      <c r="PQM1642" s="21"/>
      <c r="PQN1642" s="21"/>
      <c r="PQO1642" s="21"/>
      <c r="PQP1642" s="21"/>
      <c r="PQQ1642" s="21"/>
      <c r="PQR1642" s="21"/>
      <c r="PQS1642" s="21"/>
      <c r="PQT1642" s="21"/>
      <c r="PQU1642" s="21"/>
      <c r="PQV1642" s="21"/>
      <c r="PQW1642" s="21"/>
      <c r="PQX1642" s="21"/>
      <c r="PQY1642" s="21"/>
      <c r="PQZ1642" s="21"/>
      <c r="PRA1642" s="21"/>
      <c r="PRB1642" s="21"/>
      <c r="PRC1642" s="21"/>
      <c r="PRD1642" s="21"/>
      <c r="PRE1642" s="21"/>
      <c r="PRF1642" s="21"/>
      <c r="PRG1642" s="21"/>
      <c r="PRH1642" s="21"/>
      <c r="PRI1642" s="21"/>
      <c r="PRJ1642" s="21"/>
      <c r="PRK1642" s="21"/>
      <c r="PRL1642" s="21"/>
      <c r="PRM1642" s="21"/>
      <c r="PRN1642" s="21"/>
      <c r="PRO1642" s="21"/>
      <c r="PRP1642" s="21"/>
      <c r="PRQ1642" s="21"/>
      <c r="PRR1642" s="21"/>
      <c r="PRS1642" s="21"/>
      <c r="PRT1642" s="21"/>
      <c r="PRU1642" s="21"/>
      <c r="PRV1642" s="21"/>
      <c r="PRW1642" s="21"/>
      <c r="PRX1642" s="21"/>
      <c r="PRY1642" s="21"/>
      <c r="PRZ1642" s="21"/>
      <c r="PSA1642" s="21"/>
      <c r="PSB1642" s="21"/>
      <c r="PSC1642" s="21"/>
      <c r="PSD1642" s="21"/>
      <c r="PSE1642" s="21"/>
      <c r="PSF1642" s="21"/>
      <c r="PSG1642" s="21"/>
      <c r="PSH1642" s="21"/>
      <c r="PSI1642" s="21"/>
      <c r="PSJ1642" s="21"/>
      <c r="PSK1642" s="21"/>
      <c r="PSL1642" s="21"/>
      <c r="PSM1642" s="21"/>
      <c r="PSN1642" s="21"/>
      <c r="PSO1642" s="21"/>
      <c r="PSP1642" s="21"/>
      <c r="PSQ1642" s="21"/>
      <c r="PSR1642" s="21"/>
      <c r="PSS1642" s="21"/>
      <c r="PST1642" s="21"/>
      <c r="PSU1642" s="21"/>
      <c r="PSV1642" s="21"/>
      <c r="PSW1642" s="21"/>
      <c r="PSX1642" s="21"/>
      <c r="PSY1642" s="21"/>
      <c r="PSZ1642" s="21"/>
      <c r="PTA1642" s="21"/>
      <c r="PTB1642" s="21"/>
      <c r="PTC1642" s="21"/>
      <c r="PTD1642" s="21"/>
      <c r="PTE1642" s="21"/>
      <c r="PTF1642" s="21"/>
      <c r="PTG1642" s="21"/>
      <c r="PTH1642" s="21"/>
      <c r="PTI1642" s="21"/>
      <c r="PTJ1642" s="21"/>
      <c r="PTK1642" s="21"/>
      <c r="PTL1642" s="21"/>
      <c r="PTM1642" s="21"/>
      <c r="PTN1642" s="21"/>
      <c r="PTO1642" s="21"/>
      <c r="PTP1642" s="21"/>
      <c r="PTQ1642" s="21"/>
      <c r="PTR1642" s="21"/>
      <c r="PTS1642" s="21"/>
      <c r="PTT1642" s="21"/>
      <c r="PTU1642" s="21"/>
      <c r="PTV1642" s="21"/>
      <c r="PTW1642" s="21"/>
      <c r="PTX1642" s="21"/>
      <c r="PTY1642" s="21"/>
      <c r="PTZ1642" s="21"/>
      <c r="PUA1642" s="21"/>
      <c r="PUB1642" s="21"/>
      <c r="PUC1642" s="21"/>
      <c r="PUD1642" s="21"/>
      <c r="PUE1642" s="21"/>
      <c r="PUF1642" s="21"/>
      <c r="PUG1642" s="21"/>
      <c r="PUH1642" s="21"/>
      <c r="PUI1642" s="21"/>
      <c r="PUJ1642" s="21"/>
      <c r="PUK1642" s="21"/>
      <c r="PUL1642" s="21"/>
      <c r="PUM1642" s="21"/>
      <c r="PUN1642" s="21"/>
      <c r="PUO1642" s="21"/>
      <c r="PUP1642" s="21"/>
      <c r="PUQ1642" s="21"/>
      <c r="PUR1642" s="21"/>
      <c r="PUS1642" s="21"/>
      <c r="PUT1642" s="21"/>
      <c r="PUU1642" s="21"/>
      <c r="PUV1642" s="21"/>
      <c r="PUW1642" s="21"/>
      <c r="PUX1642" s="21"/>
      <c r="PUY1642" s="21"/>
      <c r="PUZ1642" s="21"/>
      <c r="PVA1642" s="21"/>
      <c r="PVB1642" s="21"/>
      <c r="PVC1642" s="21"/>
      <c r="PVD1642" s="21"/>
      <c r="PVE1642" s="21"/>
      <c r="PVF1642" s="21"/>
      <c r="PVG1642" s="21"/>
      <c r="PVH1642" s="21"/>
      <c r="PVI1642" s="21"/>
      <c r="PVJ1642" s="21"/>
      <c r="PVK1642" s="21"/>
      <c r="PVL1642" s="21"/>
      <c r="PVM1642" s="21"/>
      <c r="PVN1642" s="21"/>
      <c r="PVO1642" s="21"/>
      <c r="PVP1642" s="21"/>
      <c r="PVQ1642" s="21"/>
      <c r="PVR1642" s="21"/>
      <c r="PVS1642" s="21"/>
      <c r="PVT1642" s="21"/>
      <c r="PVU1642" s="21"/>
      <c r="PVV1642" s="21"/>
      <c r="PVW1642" s="21"/>
      <c r="PVX1642" s="21"/>
      <c r="PVY1642" s="21"/>
      <c r="PVZ1642" s="21"/>
      <c r="PWA1642" s="21"/>
      <c r="PWB1642" s="21"/>
      <c r="PWC1642" s="21"/>
      <c r="PWD1642" s="21"/>
      <c r="PWE1642" s="21"/>
      <c r="PWF1642" s="21"/>
      <c r="PWG1642" s="21"/>
      <c r="PWH1642" s="21"/>
      <c r="PWI1642" s="21"/>
      <c r="PWJ1642" s="21"/>
      <c r="PWK1642" s="21"/>
      <c r="PWL1642" s="21"/>
      <c r="PWM1642" s="21"/>
      <c r="PWN1642" s="21"/>
      <c r="PWO1642" s="21"/>
      <c r="PWP1642" s="21"/>
      <c r="PWQ1642" s="21"/>
      <c r="PWR1642" s="21"/>
      <c r="PWS1642" s="21"/>
      <c r="PWT1642" s="21"/>
      <c r="PWU1642" s="21"/>
      <c r="PWV1642" s="21"/>
      <c r="PWW1642" s="21"/>
      <c r="PWX1642" s="21"/>
      <c r="PWY1642" s="21"/>
      <c r="PWZ1642" s="21"/>
      <c r="PXA1642" s="21"/>
      <c r="PXB1642" s="21"/>
      <c r="PXC1642" s="21"/>
      <c r="PXD1642" s="21"/>
      <c r="PXE1642" s="21"/>
      <c r="PXF1642" s="21"/>
      <c r="PXG1642" s="21"/>
      <c r="PXH1642" s="21"/>
      <c r="PXI1642" s="21"/>
      <c r="PXJ1642" s="21"/>
      <c r="PXK1642" s="21"/>
      <c r="PXL1642" s="21"/>
      <c r="PXM1642" s="21"/>
      <c r="PXN1642" s="21"/>
      <c r="PXO1642" s="21"/>
      <c r="PXP1642" s="21"/>
      <c r="PXQ1642" s="21"/>
      <c r="PXR1642" s="21"/>
      <c r="PXS1642" s="21"/>
      <c r="PXT1642" s="21"/>
      <c r="PXU1642" s="21"/>
      <c r="PXV1642" s="21"/>
      <c r="PXW1642" s="21"/>
      <c r="PXX1642" s="21"/>
      <c r="PXY1642" s="21"/>
      <c r="PXZ1642" s="21"/>
      <c r="PYA1642" s="21"/>
      <c r="PYB1642" s="21"/>
      <c r="PYC1642" s="21"/>
      <c r="PYD1642" s="21"/>
      <c r="PYE1642" s="21"/>
      <c r="PYF1642" s="21"/>
      <c r="PYG1642" s="21"/>
      <c r="PYH1642" s="21"/>
      <c r="PYI1642" s="21"/>
      <c r="PYJ1642" s="21"/>
      <c r="PYK1642" s="21"/>
      <c r="PYL1642" s="21"/>
      <c r="PYM1642" s="21"/>
      <c r="PYN1642" s="21"/>
      <c r="PYO1642" s="21"/>
      <c r="PYP1642" s="21"/>
      <c r="PYQ1642" s="21"/>
      <c r="PYR1642" s="21"/>
      <c r="PYS1642" s="21"/>
      <c r="PYT1642" s="21"/>
      <c r="PYU1642" s="21"/>
      <c r="PYV1642" s="21"/>
      <c r="PYW1642" s="21"/>
      <c r="PYX1642" s="21"/>
      <c r="PYY1642" s="21"/>
      <c r="PYZ1642" s="21"/>
      <c r="PZA1642" s="21"/>
      <c r="PZB1642" s="21"/>
      <c r="PZC1642" s="21"/>
      <c r="PZD1642" s="21"/>
      <c r="PZE1642" s="21"/>
      <c r="PZF1642" s="21"/>
      <c r="PZG1642" s="21"/>
      <c r="PZH1642" s="21"/>
      <c r="PZI1642" s="21"/>
      <c r="PZJ1642" s="21"/>
      <c r="PZK1642" s="21"/>
      <c r="PZL1642" s="21"/>
      <c r="PZM1642" s="21"/>
      <c r="PZN1642" s="21"/>
      <c r="PZO1642" s="21"/>
      <c r="PZP1642" s="21"/>
      <c r="PZQ1642" s="21"/>
      <c r="PZR1642" s="21"/>
      <c r="PZS1642" s="21"/>
      <c r="PZT1642" s="21"/>
      <c r="PZU1642" s="21"/>
      <c r="PZV1642" s="21"/>
      <c r="PZW1642" s="21"/>
      <c r="PZX1642" s="21"/>
      <c r="PZY1642" s="21"/>
      <c r="PZZ1642" s="21"/>
      <c r="QAA1642" s="21"/>
      <c r="QAB1642" s="21"/>
      <c r="QAC1642" s="21"/>
      <c r="QAD1642" s="21"/>
      <c r="QAE1642" s="21"/>
      <c r="QAF1642" s="21"/>
      <c r="QAG1642" s="21"/>
      <c r="QAH1642" s="21"/>
      <c r="QAI1642" s="21"/>
      <c r="QAJ1642" s="21"/>
      <c r="QAK1642" s="21"/>
      <c r="QAL1642" s="21"/>
      <c r="QAM1642" s="21"/>
      <c r="QAN1642" s="21"/>
      <c r="QAO1642" s="21"/>
      <c r="QAP1642" s="21"/>
      <c r="QAQ1642" s="21"/>
      <c r="QAR1642" s="21"/>
      <c r="QAS1642" s="21"/>
      <c r="QAT1642" s="21"/>
      <c r="QAU1642" s="21"/>
      <c r="QAV1642" s="21"/>
      <c r="QAW1642" s="21"/>
      <c r="QAX1642" s="21"/>
      <c r="QAY1642" s="21"/>
      <c r="QAZ1642" s="21"/>
      <c r="QBA1642" s="21"/>
      <c r="QBB1642" s="21"/>
      <c r="QBC1642" s="21"/>
      <c r="QBD1642" s="21"/>
      <c r="QBE1642" s="21"/>
      <c r="QBF1642" s="21"/>
      <c r="QBG1642" s="21"/>
      <c r="QBH1642" s="21"/>
      <c r="QBI1642" s="21"/>
      <c r="QBJ1642" s="21"/>
      <c r="QBK1642" s="21"/>
      <c r="QBL1642" s="21"/>
      <c r="QBM1642" s="21"/>
      <c r="QBN1642" s="21"/>
      <c r="QBO1642" s="21"/>
      <c r="QBP1642" s="21"/>
      <c r="QBQ1642" s="21"/>
      <c r="QBR1642" s="21"/>
      <c r="QBS1642" s="21"/>
      <c r="QBT1642" s="21"/>
      <c r="QBU1642" s="21"/>
      <c r="QBV1642" s="21"/>
      <c r="QBW1642" s="21"/>
      <c r="QBX1642" s="21"/>
      <c r="QBY1642" s="21"/>
      <c r="QBZ1642" s="21"/>
      <c r="QCA1642" s="21"/>
      <c r="QCB1642" s="21"/>
      <c r="QCC1642" s="21"/>
      <c r="QCD1642" s="21"/>
      <c r="QCE1642" s="21"/>
      <c r="QCF1642" s="21"/>
      <c r="QCG1642" s="21"/>
      <c r="QCH1642" s="21"/>
      <c r="QCI1642" s="21"/>
      <c r="QCJ1642" s="21"/>
      <c r="QCK1642" s="21"/>
      <c r="QCL1642" s="21"/>
      <c r="QCM1642" s="21"/>
      <c r="QCN1642" s="21"/>
      <c r="QCO1642" s="21"/>
      <c r="QCP1642" s="21"/>
      <c r="QCQ1642" s="21"/>
      <c r="QCR1642" s="21"/>
      <c r="QCS1642" s="21"/>
      <c r="QCT1642" s="21"/>
      <c r="QCU1642" s="21"/>
      <c r="QCV1642" s="21"/>
      <c r="QCW1642" s="21"/>
      <c r="QCX1642" s="21"/>
      <c r="QCY1642" s="21"/>
      <c r="QCZ1642" s="21"/>
      <c r="QDA1642" s="21"/>
      <c r="QDB1642" s="21"/>
      <c r="QDC1642" s="21"/>
      <c r="QDD1642" s="21"/>
      <c r="QDE1642" s="21"/>
      <c r="QDF1642" s="21"/>
      <c r="QDG1642" s="21"/>
      <c r="QDH1642" s="21"/>
      <c r="QDI1642" s="21"/>
      <c r="QDJ1642" s="21"/>
      <c r="QDK1642" s="21"/>
      <c r="QDL1642" s="21"/>
      <c r="QDM1642" s="21"/>
      <c r="QDN1642" s="21"/>
      <c r="QDO1642" s="21"/>
      <c r="QDP1642" s="21"/>
      <c r="QDQ1642" s="21"/>
      <c r="QDR1642" s="21"/>
      <c r="QDS1642" s="21"/>
      <c r="QDT1642" s="21"/>
      <c r="QDU1642" s="21"/>
      <c r="QDV1642" s="21"/>
      <c r="QDW1642" s="21"/>
      <c r="QDX1642" s="21"/>
      <c r="QDY1642" s="21"/>
      <c r="QDZ1642" s="21"/>
      <c r="QEA1642" s="21"/>
      <c r="QEB1642" s="21"/>
      <c r="QEC1642" s="21"/>
      <c r="QED1642" s="21"/>
      <c r="QEE1642" s="21"/>
      <c r="QEF1642" s="21"/>
      <c r="QEG1642" s="21"/>
      <c r="QEH1642" s="21"/>
      <c r="QEI1642" s="21"/>
      <c r="QEJ1642" s="21"/>
      <c r="QEK1642" s="21"/>
      <c r="QEL1642" s="21"/>
      <c r="QEM1642" s="21"/>
      <c r="QEN1642" s="21"/>
      <c r="QEO1642" s="21"/>
      <c r="QEP1642" s="21"/>
      <c r="QEQ1642" s="21"/>
      <c r="QER1642" s="21"/>
      <c r="QES1642" s="21"/>
      <c r="QET1642" s="21"/>
      <c r="QEU1642" s="21"/>
      <c r="QEV1642" s="21"/>
      <c r="QEW1642" s="21"/>
      <c r="QEX1642" s="21"/>
      <c r="QEY1642" s="21"/>
      <c r="QEZ1642" s="21"/>
      <c r="QFA1642" s="21"/>
      <c r="QFB1642" s="21"/>
      <c r="QFC1642" s="21"/>
      <c r="QFD1642" s="21"/>
      <c r="QFE1642" s="21"/>
      <c r="QFF1642" s="21"/>
      <c r="QFG1642" s="21"/>
      <c r="QFH1642" s="21"/>
      <c r="QFI1642" s="21"/>
      <c r="QFJ1642" s="21"/>
      <c r="QFK1642" s="21"/>
      <c r="QFL1642" s="21"/>
      <c r="QFM1642" s="21"/>
      <c r="QFN1642" s="21"/>
      <c r="QFO1642" s="21"/>
      <c r="QFP1642" s="21"/>
      <c r="QFQ1642" s="21"/>
      <c r="QFR1642" s="21"/>
      <c r="QFS1642" s="21"/>
      <c r="QFT1642" s="21"/>
      <c r="QFU1642" s="21"/>
      <c r="QFV1642" s="21"/>
      <c r="QFW1642" s="21"/>
      <c r="QFX1642" s="21"/>
      <c r="QFY1642" s="21"/>
      <c r="QFZ1642" s="21"/>
      <c r="QGA1642" s="21"/>
      <c r="QGB1642" s="21"/>
      <c r="QGC1642" s="21"/>
      <c r="QGD1642" s="21"/>
      <c r="QGE1642" s="21"/>
      <c r="QGF1642" s="21"/>
      <c r="QGG1642" s="21"/>
      <c r="QGH1642" s="21"/>
      <c r="QGI1642" s="21"/>
      <c r="QGJ1642" s="21"/>
      <c r="QGK1642" s="21"/>
      <c r="QGL1642" s="21"/>
      <c r="QGM1642" s="21"/>
      <c r="QGN1642" s="21"/>
      <c r="QGO1642" s="21"/>
      <c r="QGP1642" s="21"/>
      <c r="QGQ1642" s="21"/>
      <c r="QGR1642" s="21"/>
      <c r="QGS1642" s="21"/>
      <c r="QGT1642" s="21"/>
      <c r="QGU1642" s="21"/>
      <c r="QGV1642" s="21"/>
      <c r="QGW1642" s="21"/>
      <c r="QGX1642" s="21"/>
      <c r="QGY1642" s="21"/>
      <c r="QGZ1642" s="21"/>
      <c r="QHA1642" s="21"/>
      <c r="QHB1642" s="21"/>
      <c r="QHC1642" s="21"/>
      <c r="QHD1642" s="21"/>
      <c r="QHE1642" s="21"/>
      <c r="QHF1642" s="21"/>
      <c r="QHG1642" s="21"/>
      <c r="QHH1642" s="21"/>
      <c r="QHI1642" s="21"/>
      <c r="QHJ1642" s="21"/>
      <c r="QHK1642" s="21"/>
      <c r="QHL1642" s="21"/>
      <c r="QHM1642" s="21"/>
      <c r="QHN1642" s="21"/>
      <c r="QHO1642" s="21"/>
      <c r="QHP1642" s="21"/>
      <c r="QHQ1642" s="21"/>
      <c r="QHR1642" s="21"/>
      <c r="QHS1642" s="21"/>
      <c r="QHT1642" s="21"/>
      <c r="QHU1642" s="21"/>
      <c r="QHV1642" s="21"/>
      <c r="QHW1642" s="21"/>
      <c r="QHX1642" s="21"/>
      <c r="QHY1642" s="21"/>
      <c r="QHZ1642" s="21"/>
      <c r="QIA1642" s="21"/>
      <c r="QIB1642" s="21"/>
      <c r="QIC1642" s="21"/>
      <c r="QID1642" s="21"/>
      <c r="QIE1642" s="21"/>
      <c r="QIF1642" s="21"/>
      <c r="QIG1642" s="21"/>
      <c r="QIH1642" s="21"/>
      <c r="QII1642" s="21"/>
      <c r="QIJ1642" s="21"/>
      <c r="QIK1642" s="21"/>
      <c r="QIL1642" s="21"/>
      <c r="QIM1642" s="21"/>
      <c r="QIN1642" s="21"/>
      <c r="QIO1642" s="21"/>
      <c r="QIP1642" s="21"/>
      <c r="QIQ1642" s="21"/>
      <c r="QIR1642" s="21"/>
      <c r="QIS1642" s="21"/>
      <c r="QIT1642" s="21"/>
      <c r="QIU1642" s="21"/>
      <c r="QIV1642" s="21"/>
      <c r="QIW1642" s="21"/>
      <c r="QIX1642" s="21"/>
      <c r="QIY1642" s="21"/>
      <c r="QIZ1642" s="21"/>
      <c r="QJA1642" s="21"/>
      <c r="QJB1642" s="21"/>
      <c r="QJC1642" s="21"/>
      <c r="QJD1642" s="21"/>
      <c r="QJE1642" s="21"/>
      <c r="QJF1642" s="21"/>
      <c r="QJG1642" s="21"/>
      <c r="QJH1642" s="21"/>
      <c r="QJI1642" s="21"/>
      <c r="QJJ1642" s="21"/>
      <c r="QJK1642" s="21"/>
      <c r="QJL1642" s="21"/>
      <c r="QJM1642" s="21"/>
      <c r="QJN1642" s="21"/>
      <c r="QJO1642" s="21"/>
      <c r="QJP1642" s="21"/>
      <c r="QJQ1642" s="21"/>
      <c r="QJR1642" s="21"/>
      <c r="QJS1642" s="21"/>
      <c r="QJT1642" s="21"/>
      <c r="QJU1642" s="21"/>
      <c r="QJV1642" s="21"/>
      <c r="QJW1642" s="21"/>
      <c r="QJX1642" s="21"/>
      <c r="QJY1642" s="21"/>
      <c r="QJZ1642" s="21"/>
      <c r="QKA1642" s="21"/>
      <c r="QKB1642" s="21"/>
      <c r="QKC1642" s="21"/>
      <c r="QKD1642" s="21"/>
      <c r="QKE1642" s="21"/>
      <c r="QKF1642" s="21"/>
      <c r="QKG1642" s="21"/>
      <c r="QKH1642" s="21"/>
      <c r="QKI1642" s="21"/>
      <c r="QKJ1642" s="21"/>
      <c r="QKK1642" s="21"/>
      <c r="QKL1642" s="21"/>
      <c r="QKM1642" s="21"/>
      <c r="QKN1642" s="21"/>
      <c r="QKO1642" s="21"/>
      <c r="QKP1642" s="21"/>
      <c r="QKQ1642" s="21"/>
      <c r="QKR1642" s="21"/>
      <c r="QKS1642" s="21"/>
      <c r="QKT1642" s="21"/>
      <c r="QKU1642" s="21"/>
      <c r="QKV1642" s="21"/>
      <c r="QKW1642" s="21"/>
      <c r="QKX1642" s="21"/>
      <c r="QKY1642" s="21"/>
      <c r="QKZ1642" s="21"/>
      <c r="QLA1642" s="21"/>
      <c r="QLB1642" s="21"/>
      <c r="QLC1642" s="21"/>
      <c r="QLD1642" s="21"/>
      <c r="QLE1642" s="21"/>
      <c r="QLF1642" s="21"/>
      <c r="QLG1642" s="21"/>
      <c r="QLH1642" s="21"/>
      <c r="QLI1642" s="21"/>
      <c r="QLJ1642" s="21"/>
      <c r="QLK1642" s="21"/>
      <c r="QLL1642" s="21"/>
      <c r="QLM1642" s="21"/>
      <c r="QLN1642" s="21"/>
      <c r="QLO1642" s="21"/>
      <c r="QLP1642" s="21"/>
      <c r="QLQ1642" s="21"/>
      <c r="QLR1642" s="21"/>
      <c r="QLS1642" s="21"/>
      <c r="QLT1642" s="21"/>
      <c r="QLU1642" s="21"/>
      <c r="QLV1642" s="21"/>
      <c r="QLW1642" s="21"/>
      <c r="QLX1642" s="21"/>
      <c r="QLY1642" s="21"/>
      <c r="QLZ1642" s="21"/>
      <c r="QMA1642" s="21"/>
      <c r="QMB1642" s="21"/>
      <c r="QMC1642" s="21"/>
      <c r="QMD1642" s="21"/>
      <c r="QME1642" s="21"/>
      <c r="QMF1642" s="21"/>
      <c r="QMG1642" s="21"/>
      <c r="QMH1642" s="21"/>
      <c r="QMI1642" s="21"/>
      <c r="QMJ1642" s="21"/>
      <c r="QMK1642" s="21"/>
      <c r="QML1642" s="21"/>
      <c r="QMM1642" s="21"/>
      <c r="QMN1642" s="21"/>
      <c r="QMO1642" s="21"/>
      <c r="QMP1642" s="21"/>
      <c r="QMQ1642" s="21"/>
      <c r="QMR1642" s="21"/>
      <c r="QMS1642" s="21"/>
      <c r="QMT1642" s="21"/>
      <c r="QMU1642" s="21"/>
      <c r="QMV1642" s="21"/>
      <c r="QMW1642" s="21"/>
      <c r="QMX1642" s="21"/>
      <c r="QMY1642" s="21"/>
      <c r="QMZ1642" s="21"/>
      <c r="QNA1642" s="21"/>
      <c r="QNB1642" s="21"/>
      <c r="QNC1642" s="21"/>
      <c r="QND1642" s="21"/>
      <c r="QNE1642" s="21"/>
      <c r="QNF1642" s="21"/>
      <c r="QNG1642" s="21"/>
      <c r="QNH1642" s="21"/>
      <c r="QNI1642" s="21"/>
      <c r="QNJ1642" s="21"/>
      <c r="QNK1642" s="21"/>
      <c r="QNL1642" s="21"/>
      <c r="QNM1642" s="21"/>
      <c r="QNN1642" s="21"/>
      <c r="QNO1642" s="21"/>
      <c r="QNP1642" s="21"/>
      <c r="QNQ1642" s="21"/>
      <c r="QNR1642" s="21"/>
      <c r="QNS1642" s="21"/>
      <c r="QNT1642" s="21"/>
      <c r="QNU1642" s="21"/>
      <c r="QNV1642" s="21"/>
      <c r="QNW1642" s="21"/>
      <c r="QNX1642" s="21"/>
      <c r="QNY1642" s="21"/>
      <c r="QNZ1642" s="21"/>
      <c r="QOA1642" s="21"/>
      <c r="QOB1642" s="21"/>
      <c r="QOC1642" s="21"/>
      <c r="QOD1642" s="21"/>
      <c r="QOE1642" s="21"/>
      <c r="QOF1642" s="21"/>
      <c r="QOG1642" s="21"/>
      <c r="QOH1642" s="21"/>
      <c r="QOI1642" s="21"/>
      <c r="QOJ1642" s="21"/>
      <c r="QOK1642" s="21"/>
      <c r="QOL1642" s="21"/>
      <c r="QOM1642" s="21"/>
      <c r="QON1642" s="21"/>
      <c r="QOO1642" s="21"/>
      <c r="QOP1642" s="21"/>
      <c r="QOQ1642" s="21"/>
      <c r="QOR1642" s="21"/>
      <c r="QOS1642" s="21"/>
      <c r="QOT1642" s="21"/>
      <c r="QOU1642" s="21"/>
      <c r="QOV1642" s="21"/>
      <c r="QOW1642" s="21"/>
      <c r="QOX1642" s="21"/>
      <c r="QOY1642" s="21"/>
      <c r="QOZ1642" s="21"/>
      <c r="QPA1642" s="21"/>
      <c r="QPB1642" s="21"/>
      <c r="QPC1642" s="21"/>
      <c r="QPD1642" s="21"/>
      <c r="QPE1642" s="21"/>
      <c r="QPF1642" s="21"/>
      <c r="QPG1642" s="21"/>
      <c r="QPH1642" s="21"/>
      <c r="QPI1642" s="21"/>
      <c r="QPJ1642" s="21"/>
      <c r="QPK1642" s="21"/>
      <c r="QPL1642" s="21"/>
      <c r="QPM1642" s="21"/>
      <c r="QPN1642" s="21"/>
      <c r="QPO1642" s="21"/>
      <c r="QPP1642" s="21"/>
      <c r="QPQ1642" s="21"/>
      <c r="QPR1642" s="21"/>
      <c r="QPS1642" s="21"/>
      <c r="QPT1642" s="21"/>
      <c r="QPU1642" s="21"/>
      <c r="QPV1642" s="21"/>
      <c r="QPW1642" s="21"/>
      <c r="QPX1642" s="21"/>
      <c r="QPY1642" s="21"/>
      <c r="QPZ1642" s="21"/>
      <c r="QQA1642" s="21"/>
      <c r="QQB1642" s="21"/>
      <c r="QQC1642" s="21"/>
      <c r="QQD1642" s="21"/>
      <c r="QQE1642" s="21"/>
      <c r="QQF1642" s="21"/>
      <c r="QQG1642" s="21"/>
      <c r="QQH1642" s="21"/>
      <c r="QQI1642" s="21"/>
      <c r="QQJ1642" s="21"/>
      <c r="QQK1642" s="21"/>
      <c r="QQL1642" s="21"/>
      <c r="QQM1642" s="21"/>
      <c r="QQN1642" s="21"/>
      <c r="QQO1642" s="21"/>
      <c r="QQP1642" s="21"/>
      <c r="QQQ1642" s="21"/>
      <c r="QQR1642" s="21"/>
      <c r="QQS1642" s="21"/>
      <c r="QQT1642" s="21"/>
      <c r="QQU1642" s="21"/>
      <c r="QQV1642" s="21"/>
      <c r="QQW1642" s="21"/>
      <c r="QQX1642" s="21"/>
      <c r="QQY1642" s="21"/>
      <c r="QQZ1642" s="21"/>
      <c r="QRA1642" s="21"/>
      <c r="QRB1642" s="21"/>
      <c r="QRC1642" s="21"/>
      <c r="QRD1642" s="21"/>
      <c r="QRE1642" s="21"/>
      <c r="QRF1642" s="21"/>
      <c r="QRG1642" s="21"/>
      <c r="QRH1642" s="21"/>
      <c r="QRI1642" s="21"/>
      <c r="QRJ1642" s="21"/>
      <c r="QRK1642" s="21"/>
      <c r="QRL1642" s="21"/>
      <c r="QRM1642" s="21"/>
      <c r="QRN1642" s="21"/>
      <c r="QRO1642" s="21"/>
      <c r="QRP1642" s="21"/>
      <c r="QRQ1642" s="21"/>
      <c r="QRR1642" s="21"/>
      <c r="QRS1642" s="21"/>
      <c r="QRT1642" s="21"/>
      <c r="QRU1642" s="21"/>
      <c r="QRV1642" s="21"/>
      <c r="QRW1642" s="21"/>
      <c r="QRX1642" s="21"/>
      <c r="QRY1642" s="21"/>
      <c r="QRZ1642" s="21"/>
      <c r="QSA1642" s="21"/>
      <c r="QSB1642" s="21"/>
      <c r="QSC1642" s="21"/>
      <c r="QSD1642" s="21"/>
      <c r="QSE1642" s="21"/>
      <c r="QSF1642" s="21"/>
      <c r="QSG1642" s="21"/>
      <c r="QSH1642" s="21"/>
      <c r="QSI1642" s="21"/>
      <c r="QSJ1642" s="21"/>
      <c r="QSK1642" s="21"/>
      <c r="QSL1642" s="21"/>
      <c r="QSM1642" s="21"/>
      <c r="QSN1642" s="21"/>
      <c r="QSO1642" s="21"/>
      <c r="QSP1642" s="21"/>
      <c r="QSQ1642" s="21"/>
      <c r="QSR1642" s="21"/>
      <c r="QSS1642" s="21"/>
      <c r="QST1642" s="21"/>
      <c r="QSU1642" s="21"/>
      <c r="QSV1642" s="21"/>
      <c r="QSW1642" s="21"/>
      <c r="QSX1642" s="21"/>
      <c r="QSY1642" s="21"/>
      <c r="QSZ1642" s="21"/>
      <c r="QTA1642" s="21"/>
      <c r="QTB1642" s="21"/>
      <c r="QTC1642" s="21"/>
      <c r="QTD1642" s="21"/>
      <c r="QTE1642" s="21"/>
      <c r="QTF1642" s="21"/>
      <c r="QTG1642" s="21"/>
      <c r="QTH1642" s="21"/>
      <c r="QTI1642" s="21"/>
      <c r="QTJ1642" s="21"/>
      <c r="QTK1642" s="21"/>
      <c r="QTL1642" s="21"/>
      <c r="QTM1642" s="21"/>
      <c r="QTN1642" s="21"/>
      <c r="QTO1642" s="21"/>
      <c r="QTP1642" s="21"/>
      <c r="QTQ1642" s="21"/>
      <c r="QTR1642" s="21"/>
      <c r="QTS1642" s="21"/>
      <c r="QTT1642" s="21"/>
      <c r="QTU1642" s="21"/>
      <c r="QTV1642" s="21"/>
      <c r="QTW1642" s="21"/>
      <c r="QTX1642" s="21"/>
      <c r="QTY1642" s="21"/>
      <c r="QTZ1642" s="21"/>
      <c r="QUA1642" s="21"/>
      <c r="QUB1642" s="21"/>
      <c r="QUC1642" s="21"/>
      <c r="QUD1642" s="21"/>
      <c r="QUE1642" s="21"/>
      <c r="QUF1642" s="21"/>
      <c r="QUG1642" s="21"/>
      <c r="QUH1642" s="21"/>
      <c r="QUI1642" s="21"/>
      <c r="QUJ1642" s="21"/>
      <c r="QUK1642" s="21"/>
      <c r="QUL1642" s="21"/>
      <c r="QUM1642" s="21"/>
      <c r="QUN1642" s="21"/>
      <c r="QUO1642" s="21"/>
      <c r="QUP1642" s="21"/>
      <c r="QUQ1642" s="21"/>
      <c r="QUR1642" s="21"/>
      <c r="QUS1642" s="21"/>
      <c r="QUT1642" s="21"/>
      <c r="QUU1642" s="21"/>
      <c r="QUV1642" s="21"/>
      <c r="QUW1642" s="21"/>
      <c r="QUX1642" s="21"/>
      <c r="QUY1642" s="21"/>
      <c r="QUZ1642" s="21"/>
      <c r="QVA1642" s="21"/>
      <c r="QVB1642" s="21"/>
      <c r="QVC1642" s="21"/>
      <c r="QVD1642" s="21"/>
      <c r="QVE1642" s="21"/>
      <c r="QVF1642" s="21"/>
      <c r="QVG1642" s="21"/>
      <c r="QVH1642" s="21"/>
      <c r="QVI1642" s="21"/>
      <c r="QVJ1642" s="21"/>
      <c r="QVK1642" s="21"/>
      <c r="QVL1642" s="21"/>
      <c r="QVM1642" s="21"/>
      <c r="QVN1642" s="21"/>
      <c r="QVO1642" s="21"/>
      <c r="QVP1642" s="21"/>
      <c r="QVQ1642" s="21"/>
      <c r="QVR1642" s="21"/>
      <c r="QVS1642" s="21"/>
      <c r="QVT1642" s="21"/>
      <c r="QVU1642" s="21"/>
      <c r="QVV1642" s="21"/>
      <c r="QVW1642" s="21"/>
      <c r="QVX1642" s="21"/>
      <c r="QVY1642" s="21"/>
      <c r="QVZ1642" s="21"/>
      <c r="QWA1642" s="21"/>
      <c r="QWB1642" s="21"/>
      <c r="QWC1642" s="21"/>
      <c r="QWD1642" s="21"/>
      <c r="QWE1642" s="21"/>
      <c r="QWF1642" s="21"/>
      <c r="QWG1642" s="21"/>
      <c r="QWH1642" s="21"/>
      <c r="QWI1642" s="21"/>
      <c r="QWJ1642" s="21"/>
      <c r="QWK1642" s="21"/>
      <c r="QWL1642" s="21"/>
      <c r="QWM1642" s="21"/>
      <c r="QWN1642" s="21"/>
      <c r="QWO1642" s="21"/>
      <c r="QWP1642" s="21"/>
      <c r="QWQ1642" s="21"/>
      <c r="QWR1642" s="21"/>
      <c r="QWS1642" s="21"/>
      <c r="QWT1642" s="21"/>
      <c r="QWU1642" s="21"/>
      <c r="QWV1642" s="21"/>
      <c r="QWW1642" s="21"/>
      <c r="QWX1642" s="21"/>
      <c r="QWY1642" s="21"/>
      <c r="QWZ1642" s="21"/>
      <c r="QXA1642" s="21"/>
      <c r="QXB1642" s="21"/>
      <c r="QXC1642" s="21"/>
      <c r="QXD1642" s="21"/>
      <c r="QXE1642" s="21"/>
      <c r="QXF1642" s="21"/>
      <c r="QXG1642" s="21"/>
      <c r="QXH1642" s="21"/>
      <c r="QXI1642" s="21"/>
      <c r="QXJ1642" s="21"/>
      <c r="QXK1642" s="21"/>
      <c r="QXL1642" s="21"/>
      <c r="QXM1642" s="21"/>
      <c r="QXN1642" s="21"/>
      <c r="QXO1642" s="21"/>
      <c r="QXP1642" s="21"/>
      <c r="QXQ1642" s="21"/>
      <c r="QXR1642" s="21"/>
      <c r="QXS1642" s="21"/>
      <c r="QXT1642" s="21"/>
      <c r="QXU1642" s="21"/>
      <c r="QXV1642" s="21"/>
      <c r="QXW1642" s="21"/>
      <c r="QXX1642" s="21"/>
      <c r="QXY1642" s="21"/>
      <c r="QXZ1642" s="21"/>
      <c r="QYA1642" s="21"/>
      <c r="QYB1642" s="21"/>
      <c r="QYC1642" s="21"/>
      <c r="QYD1642" s="21"/>
      <c r="QYE1642" s="21"/>
      <c r="QYF1642" s="21"/>
      <c r="QYG1642" s="21"/>
      <c r="QYH1642" s="21"/>
      <c r="QYI1642" s="21"/>
      <c r="QYJ1642" s="21"/>
      <c r="QYK1642" s="21"/>
      <c r="QYL1642" s="21"/>
      <c r="QYM1642" s="21"/>
      <c r="QYN1642" s="21"/>
      <c r="QYO1642" s="21"/>
      <c r="QYP1642" s="21"/>
      <c r="QYQ1642" s="21"/>
      <c r="QYR1642" s="21"/>
      <c r="QYS1642" s="21"/>
      <c r="QYT1642" s="21"/>
      <c r="QYU1642" s="21"/>
      <c r="QYV1642" s="21"/>
      <c r="QYW1642" s="21"/>
      <c r="QYX1642" s="21"/>
      <c r="QYY1642" s="21"/>
      <c r="QYZ1642" s="21"/>
      <c r="QZA1642" s="21"/>
      <c r="QZB1642" s="21"/>
      <c r="QZC1642" s="21"/>
      <c r="QZD1642" s="21"/>
      <c r="QZE1642" s="21"/>
      <c r="QZF1642" s="21"/>
      <c r="QZG1642" s="21"/>
      <c r="QZH1642" s="21"/>
      <c r="QZI1642" s="21"/>
      <c r="QZJ1642" s="21"/>
      <c r="QZK1642" s="21"/>
      <c r="QZL1642" s="21"/>
      <c r="QZM1642" s="21"/>
      <c r="QZN1642" s="21"/>
      <c r="QZO1642" s="21"/>
      <c r="QZP1642" s="21"/>
      <c r="QZQ1642" s="21"/>
      <c r="QZR1642" s="21"/>
      <c r="QZS1642" s="21"/>
      <c r="QZT1642" s="21"/>
      <c r="QZU1642" s="21"/>
      <c r="QZV1642" s="21"/>
      <c r="QZW1642" s="21"/>
      <c r="QZX1642" s="21"/>
      <c r="QZY1642" s="21"/>
      <c r="QZZ1642" s="21"/>
      <c r="RAA1642" s="21"/>
      <c r="RAB1642" s="21"/>
      <c r="RAC1642" s="21"/>
      <c r="RAD1642" s="21"/>
      <c r="RAE1642" s="21"/>
      <c r="RAF1642" s="21"/>
      <c r="RAG1642" s="21"/>
      <c r="RAH1642" s="21"/>
      <c r="RAI1642" s="21"/>
      <c r="RAJ1642" s="21"/>
      <c r="RAK1642" s="21"/>
      <c r="RAL1642" s="21"/>
      <c r="RAM1642" s="21"/>
      <c r="RAN1642" s="21"/>
      <c r="RAO1642" s="21"/>
      <c r="RAP1642" s="21"/>
      <c r="RAQ1642" s="21"/>
      <c r="RAR1642" s="21"/>
      <c r="RAS1642" s="21"/>
      <c r="RAT1642" s="21"/>
      <c r="RAU1642" s="21"/>
      <c r="RAV1642" s="21"/>
      <c r="RAW1642" s="21"/>
      <c r="RAX1642" s="21"/>
      <c r="RAY1642" s="21"/>
      <c r="RAZ1642" s="21"/>
      <c r="RBA1642" s="21"/>
      <c r="RBB1642" s="21"/>
      <c r="RBC1642" s="21"/>
      <c r="RBD1642" s="21"/>
      <c r="RBE1642" s="21"/>
      <c r="RBF1642" s="21"/>
      <c r="RBG1642" s="21"/>
      <c r="RBH1642" s="21"/>
      <c r="RBI1642" s="21"/>
      <c r="RBJ1642" s="21"/>
      <c r="RBK1642" s="21"/>
      <c r="RBL1642" s="21"/>
      <c r="RBM1642" s="21"/>
      <c r="RBN1642" s="21"/>
      <c r="RBO1642" s="21"/>
      <c r="RBP1642" s="21"/>
      <c r="RBQ1642" s="21"/>
      <c r="RBR1642" s="21"/>
      <c r="RBS1642" s="21"/>
      <c r="RBT1642" s="21"/>
      <c r="RBU1642" s="21"/>
      <c r="RBV1642" s="21"/>
      <c r="RBW1642" s="21"/>
      <c r="RBX1642" s="21"/>
      <c r="RBY1642" s="21"/>
      <c r="RBZ1642" s="21"/>
      <c r="RCA1642" s="21"/>
      <c r="RCB1642" s="21"/>
      <c r="RCC1642" s="21"/>
      <c r="RCD1642" s="21"/>
      <c r="RCE1642" s="21"/>
      <c r="RCF1642" s="21"/>
      <c r="RCG1642" s="21"/>
      <c r="RCH1642" s="21"/>
      <c r="RCI1642" s="21"/>
      <c r="RCJ1642" s="21"/>
      <c r="RCK1642" s="21"/>
      <c r="RCL1642" s="21"/>
      <c r="RCM1642" s="21"/>
      <c r="RCN1642" s="21"/>
      <c r="RCO1642" s="21"/>
      <c r="RCP1642" s="21"/>
      <c r="RCQ1642" s="21"/>
      <c r="RCR1642" s="21"/>
      <c r="RCS1642" s="21"/>
      <c r="RCT1642" s="21"/>
      <c r="RCU1642" s="21"/>
      <c r="RCV1642" s="21"/>
      <c r="RCW1642" s="21"/>
      <c r="RCX1642" s="21"/>
      <c r="RCY1642" s="21"/>
      <c r="RCZ1642" s="21"/>
      <c r="RDA1642" s="21"/>
      <c r="RDB1642" s="21"/>
      <c r="RDC1642" s="21"/>
      <c r="RDD1642" s="21"/>
      <c r="RDE1642" s="21"/>
      <c r="RDF1642" s="21"/>
      <c r="RDG1642" s="21"/>
      <c r="RDH1642" s="21"/>
      <c r="RDI1642" s="21"/>
      <c r="RDJ1642" s="21"/>
      <c r="RDK1642" s="21"/>
      <c r="RDL1642" s="21"/>
      <c r="RDM1642" s="21"/>
      <c r="RDN1642" s="21"/>
      <c r="RDO1642" s="21"/>
      <c r="RDP1642" s="21"/>
      <c r="RDQ1642" s="21"/>
      <c r="RDR1642" s="21"/>
      <c r="RDS1642" s="21"/>
      <c r="RDT1642" s="21"/>
      <c r="RDU1642" s="21"/>
      <c r="RDV1642" s="21"/>
      <c r="RDW1642" s="21"/>
      <c r="RDX1642" s="21"/>
      <c r="RDY1642" s="21"/>
      <c r="RDZ1642" s="21"/>
      <c r="REA1642" s="21"/>
      <c r="REB1642" s="21"/>
      <c r="REC1642" s="21"/>
      <c r="RED1642" s="21"/>
      <c r="REE1642" s="21"/>
      <c r="REF1642" s="21"/>
      <c r="REG1642" s="21"/>
      <c r="REH1642" s="21"/>
      <c r="REI1642" s="21"/>
      <c r="REJ1642" s="21"/>
      <c r="REK1642" s="21"/>
      <c r="REL1642" s="21"/>
      <c r="REM1642" s="21"/>
      <c r="REN1642" s="21"/>
      <c r="REO1642" s="21"/>
      <c r="REP1642" s="21"/>
      <c r="REQ1642" s="21"/>
      <c r="RER1642" s="21"/>
      <c r="RES1642" s="21"/>
      <c r="RET1642" s="21"/>
      <c r="REU1642" s="21"/>
      <c r="REV1642" s="21"/>
      <c r="REW1642" s="21"/>
      <c r="REX1642" s="21"/>
      <c r="REY1642" s="21"/>
      <c r="REZ1642" s="21"/>
      <c r="RFA1642" s="21"/>
      <c r="RFB1642" s="21"/>
      <c r="RFC1642" s="21"/>
      <c r="RFD1642" s="21"/>
      <c r="RFE1642" s="21"/>
      <c r="RFF1642" s="21"/>
      <c r="RFG1642" s="21"/>
      <c r="RFH1642" s="21"/>
      <c r="RFI1642" s="21"/>
      <c r="RFJ1642" s="21"/>
      <c r="RFK1642" s="21"/>
      <c r="RFL1642" s="21"/>
      <c r="RFM1642" s="21"/>
      <c r="RFN1642" s="21"/>
      <c r="RFO1642" s="21"/>
      <c r="RFP1642" s="21"/>
      <c r="RFQ1642" s="21"/>
      <c r="RFR1642" s="21"/>
      <c r="RFS1642" s="21"/>
      <c r="RFT1642" s="21"/>
      <c r="RFU1642" s="21"/>
      <c r="RFV1642" s="21"/>
      <c r="RFW1642" s="21"/>
      <c r="RFX1642" s="21"/>
      <c r="RFY1642" s="21"/>
      <c r="RFZ1642" s="21"/>
      <c r="RGA1642" s="21"/>
      <c r="RGB1642" s="21"/>
      <c r="RGC1642" s="21"/>
      <c r="RGD1642" s="21"/>
      <c r="RGE1642" s="21"/>
      <c r="RGF1642" s="21"/>
      <c r="RGG1642" s="21"/>
      <c r="RGH1642" s="21"/>
      <c r="RGI1642" s="21"/>
      <c r="RGJ1642" s="21"/>
      <c r="RGK1642" s="21"/>
      <c r="RGL1642" s="21"/>
      <c r="RGM1642" s="21"/>
      <c r="RGN1642" s="21"/>
      <c r="RGO1642" s="21"/>
      <c r="RGP1642" s="21"/>
      <c r="RGQ1642" s="21"/>
      <c r="RGR1642" s="21"/>
      <c r="RGS1642" s="21"/>
      <c r="RGT1642" s="21"/>
      <c r="RGU1642" s="21"/>
      <c r="RGV1642" s="21"/>
      <c r="RGW1642" s="21"/>
      <c r="RGX1642" s="21"/>
      <c r="RGY1642" s="21"/>
      <c r="RGZ1642" s="21"/>
      <c r="RHA1642" s="21"/>
      <c r="RHB1642" s="21"/>
      <c r="RHC1642" s="21"/>
      <c r="RHD1642" s="21"/>
      <c r="RHE1642" s="21"/>
      <c r="RHF1642" s="21"/>
      <c r="RHG1642" s="21"/>
      <c r="RHH1642" s="21"/>
      <c r="RHI1642" s="21"/>
      <c r="RHJ1642" s="21"/>
      <c r="RHK1642" s="21"/>
      <c r="RHL1642" s="21"/>
      <c r="RHM1642" s="21"/>
      <c r="RHN1642" s="21"/>
      <c r="RHO1642" s="21"/>
      <c r="RHP1642" s="21"/>
      <c r="RHQ1642" s="21"/>
      <c r="RHR1642" s="21"/>
      <c r="RHS1642" s="21"/>
      <c r="RHT1642" s="21"/>
      <c r="RHU1642" s="21"/>
      <c r="RHV1642" s="21"/>
      <c r="RHW1642" s="21"/>
      <c r="RHX1642" s="21"/>
      <c r="RHY1642" s="21"/>
      <c r="RHZ1642" s="21"/>
      <c r="RIA1642" s="21"/>
      <c r="RIB1642" s="21"/>
      <c r="RIC1642" s="21"/>
      <c r="RID1642" s="21"/>
      <c r="RIE1642" s="21"/>
      <c r="RIF1642" s="21"/>
      <c r="RIG1642" s="21"/>
      <c r="RIH1642" s="21"/>
      <c r="RII1642" s="21"/>
      <c r="RIJ1642" s="21"/>
      <c r="RIK1642" s="21"/>
      <c r="RIL1642" s="21"/>
      <c r="RIM1642" s="21"/>
      <c r="RIN1642" s="21"/>
      <c r="RIO1642" s="21"/>
      <c r="RIP1642" s="21"/>
      <c r="RIQ1642" s="21"/>
      <c r="RIR1642" s="21"/>
      <c r="RIS1642" s="21"/>
      <c r="RIT1642" s="21"/>
      <c r="RIU1642" s="21"/>
      <c r="RIV1642" s="21"/>
      <c r="RIW1642" s="21"/>
      <c r="RIX1642" s="21"/>
      <c r="RIY1642" s="21"/>
      <c r="RIZ1642" s="21"/>
      <c r="RJA1642" s="21"/>
      <c r="RJB1642" s="21"/>
      <c r="RJC1642" s="21"/>
      <c r="RJD1642" s="21"/>
      <c r="RJE1642" s="21"/>
      <c r="RJF1642" s="21"/>
      <c r="RJG1642" s="21"/>
      <c r="RJH1642" s="21"/>
      <c r="RJI1642" s="21"/>
      <c r="RJJ1642" s="21"/>
      <c r="RJK1642" s="21"/>
      <c r="RJL1642" s="21"/>
      <c r="RJM1642" s="21"/>
      <c r="RJN1642" s="21"/>
      <c r="RJO1642" s="21"/>
      <c r="RJP1642" s="21"/>
      <c r="RJQ1642" s="21"/>
      <c r="RJR1642" s="21"/>
      <c r="RJS1642" s="21"/>
      <c r="RJT1642" s="21"/>
      <c r="RJU1642" s="21"/>
      <c r="RJV1642" s="21"/>
      <c r="RJW1642" s="21"/>
      <c r="RJX1642" s="21"/>
      <c r="RJY1642" s="21"/>
      <c r="RJZ1642" s="21"/>
      <c r="RKA1642" s="21"/>
      <c r="RKB1642" s="21"/>
      <c r="RKC1642" s="21"/>
      <c r="RKD1642" s="21"/>
      <c r="RKE1642" s="21"/>
      <c r="RKF1642" s="21"/>
      <c r="RKG1642" s="21"/>
      <c r="RKH1642" s="21"/>
      <c r="RKI1642" s="21"/>
      <c r="RKJ1642" s="21"/>
      <c r="RKK1642" s="21"/>
      <c r="RKL1642" s="21"/>
      <c r="RKM1642" s="21"/>
      <c r="RKN1642" s="21"/>
      <c r="RKO1642" s="21"/>
      <c r="RKP1642" s="21"/>
      <c r="RKQ1642" s="21"/>
      <c r="RKR1642" s="21"/>
      <c r="RKS1642" s="21"/>
      <c r="RKT1642" s="21"/>
      <c r="RKU1642" s="21"/>
      <c r="RKV1642" s="21"/>
      <c r="RKW1642" s="21"/>
      <c r="RKX1642" s="21"/>
      <c r="RKY1642" s="21"/>
      <c r="RKZ1642" s="21"/>
      <c r="RLA1642" s="21"/>
      <c r="RLB1642" s="21"/>
      <c r="RLC1642" s="21"/>
      <c r="RLD1642" s="21"/>
      <c r="RLE1642" s="21"/>
      <c r="RLF1642" s="21"/>
      <c r="RLG1642" s="21"/>
      <c r="RLH1642" s="21"/>
      <c r="RLI1642" s="21"/>
      <c r="RLJ1642" s="21"/>
      <c r="RLK1642" s="21"/>
      <c r="RLL1642" s="21"/>
      <c r="RLM1642" s="21"/>
      <c r="RLN1642" s="21"/>
      <c r="RLO1642" s="21"/>
      <c r="RLP1642" s="21"/>
      <c r="RLQ1642" s="21"/>
      <c r="RLR1642" s="21"/>
      <c r="RLS1642" s="21"/>
      <c r="RLT1642" s="21"/>
      <c r="RLU1642" s="21"/>
      <c r="RLV1642" s="21"/>
      <c r="RLW1642" s="21"/>
      <c r="RLX1642" s="21"/>
      <c r="RLY1642" s="21"/>
      <c r="RLZ1642" s="21"/>
      <c r="RMA1642" s="21"/>
      <c r="RMB1642" s="21"/>
      <c r="RMC1642" s="21"/>
      <c r="RMD1642" s="21"/>
      <c r="RME1642" s="21"/>
      <c r="RMF1642" s="21"/>
      <c r="RMG1642" s="21"/>
      <c r="RMH1642" s="21"/>
      <c r="RMI1642" s="21"/>
      <c r="RMJ1642" s="21"/>
      <c r="RMK1642" s="21"/>
      <c r="RML1642" s="21"/>
      <c r="RMM1642" s="21"/>
      <c r="RMN1642" s="21"/>
      <c r="RMO1642" s="21"/>
      <c r="RMP1642" s="21"/>
      <c r="RMQ1642" s="21"/>
      <c r="RMR1642" s="21"/>
      <c r="RMS1642" s="21"/>
      <c r="RMT1642" s="21"/>
      <c r="RMU1642" s="21"/>
      <c r="RMV1642" s="21"/>
      <c r="RMW1642" s="21"/>
      <c r="RMX1642" s="21"/>
      <c r="RMY1642" s="21"/>
      <c r="RMZ1642" s="21"/>
      <c r="RNA1642" s="21"/>
      <c r="RNB1642" s="21"/>
      <c r="RNC1642" s="21"/>
      <c r="RND1642" s="21"/>
      <c r="RNE1642" s="21"/>
      <c r="RNF1642" s="21"/>
      <c r="RNG1642" s="21"/>
      <c r="RNH1642" s="21"/>
      <c r="RNI1642" s="21"/>
      <c r="RNJ1642" s="21"/>
      <c r="RNK1642" s="21"/>
      <c r="RNL1642" s="21"/>
      <c r="RNM1642" s="21"/>
      <c r="RNN1642" s="21"/>
      <c r="RNO1642" s="21"/>
      <c r="RNP1642" s="21"/>
      <c r="RNQ1642" s="21"/>
      <c r="RNR1642" s="21"/>
      <c r="RNS1642" s="21"/>
      <c r="RNT1642" s="21"/>
      <c r="RNU1642" s="21"/>
      <c r="RNV1642" s="21"/>
      <c r="RNW1642" s="21"/>
      <c r="RNX1642" s="21"/>
      <c r="RNY1642" s="21"/>
      <c r="RNZ1642" s="21"/>
      <c r="ROA1642" s="21"/>
      <c r="ROB1642" s="21"/>
      <c r="ROC1642" s="21"/>
      <c r="ROD1642" s="21"/>
      <c r="ROE1642" s="21"/>
      <c r="ROF1642" s="21"/>
      <c r="ROG1642" s="21"/>
      <c r="ROH1642" s="21"/>
      <c r="ROI1642" s="21"/>
      <c r="ROJ1642" s="21"/>
      <c r="ROK1642" s="21"/>
      <c r="ROL1642" s="21"/>
      <c r="ROM1642" s="21"/>
      <c r="RON1642" s="21"/>
      <c r="ROO1642" s="21"/>
      <c r="ROP1642" s="21"/>
      <c r="ROQ1642" s="21"/>
      <c r="ROR1642" s="21"/>
      <c r="ROS1642" s="21"/>
      <c r="ROT1642" s="21"/>
      <c r="ROU1642" s="21"/>
      <c r="ROV1642" s="21"/>
      <c r="ROW1642" s="21"/>
      <c r="ROX1642" s="21"/>
      <c r="ROY1642" s="21"/>
      <c r="ROZ1642" s="21"/>
      <c r="RPA1642" s="21"/>
      <c r="RPB1642" s="21"/>
      <c r="RPC1642" s="21"/>
      <c r="RPD1642" s="21"/>
      <c r="RPE1642" s="21"/>
      <c r="RPF1642" s="21"/>
      <c r="RPG1642" s="21"/>
      <c r="RPH1642" s="21"/>
      <c r="RPI1642" s="21"/>
      <c r="RPJ1642" s="21"/>
      <c r="RPK1642" s="21"/>
      <c r="RPL1642" s="21"/>
      <c r="RPM1642" s="21"/>
      <c r="RPN1642" s="21"/>
      <c r="RPO1642" s="21"/>
      <c r="RPP1642" s="21"/>
      <c r="RPQ1642" s="21"/>
      <c r="RPR1642" s="21"/>
      <c r="RPS1642" s="21"/>
      <c r="RPT1642" s="21"/>
      <c r="RPU1642" s="21"/>
      <c r="RPV1642" s="21"/>
      <c r="RPW1642" s="21"/>
      <c r="RPX1642" s="21"/>
      <c r="RPY1642" s="21"/>
      <c r="RPZ1642" s="21"/>
      <c r="RQA1642" s="21"/>
      <c r="RQB1642" s="21"/>
      <c r="RQC1642" s="21"/>
      <c r="RQD1642" s="21"/>
      <c r="RQE1642" s="21"/>
      <c r="RQF1642" s="21"/>
      <c r="RQG1642" s="21"/>
      <c r="RQH1642" s="21"/>
      <c r="RQI1642" s="21"/>
      <c r="RQJ1642" s="21"/>
      <c r="RQK1642" s="21"/>
      <c r="RQL1642" s="21"/>
      <c r="RQM1642" s="21"/>
      <c r="RQN1642" s="21"/>
      <c r="RQO1642" s="21"/>
      <c r="RQP1642" s="21"/>
      <c r="RQQ1642" s="21"/>
      <c r="RQR1642" s="21"/>
      <c r="RQS1642" s="21"/>
      <c r="RQT1642" s="21"/>
      <c r="RQU1642" s="21"/>
      <c r="RQV1642" s="21"/>
      <c r="RQW1642" s="21"/>
      <c r="RQX1642" s="21"/>
      <c r="RQY1642" s="21"/>
      <c r="RQZ1642" s="21"/>
      <c r="RRA1642" s="21"/>
      <c r="RRB1642" s="21"/>
      <c r="RRC1642" s="21"/>
      <c r="RRD1642" s="21"/>
      <c r="RRE1642" s="21"/>
      <c r="RRF1642" s="21"/>
      <c r="RRG1642" s="21"/>
      <c r="RRH1642" s="21"/>
      <c r="RRI1642" s="21"/>
      <c r="RRJ1642" s="21"/>
      <c r="RRK1642" s="21"/>
      <c r="RRL1642" s="21"/>
      <c r="RRM1642" s="21"/>
      <c r="RRN1642" s="21"/>
      <c r="RRO1642" s="21"/>
      <c r="RRP1642" s="21"/>
      <c r="RRQ1642" s="21"/>
      <c r="RRR1642" s="21"/>
      <c r="RRS1642" s="21"/>
      <c r="RRT1642" s="21"/>
      <c r="RRU1642" s="21"/>
      <c r="RRV1642" s="21"/>
      <c r="RRW1642" s="21"/>
      <c r="RRX1642" s="21"/>
      <c r="RRY1642" s="21"/>
      <c r="RRZ1642" s="21"/>
      <c r="RSA1642" s="21"/>
      <c r="RSB1642" s="21"/>
      <c r="RSC1642" s="21"/>
      <c r="RSD1642" s="21"/>
      <c r="RSE1642" s="21"/>
      <c r="RSF1642" s="21"/>
      <c r="RSG1642" s="21"/>
      <c r="RSH1642" s="21"/>
      <c r="RSI1642" s="21"/>
      <c r="RSJ1642" s="21"/>
      <c r="RSK1642" s="21"/>
      <c r="RSL1642" s="21"/>
      <c r="RSM1642" s="21"/>
      <c r="RSN1642" s="21"/>
      <c r="RSO1642" s="21"/>
      <c r="RSP1642" s="21"/>
      <c r="RSQ1642" s="21"/>
      <c r="RSR1642" s="21"/>
      <c r="RSS1642" s="21"/>
      <c r="RST1642" s="21"/>
      <c r="RSU1642" s="21"/>
      <c r="RSV1642" s="21"/>
      <c r="RSW1642" s="21"/>
      <c r="RSX1642" s="21"/>
      <c r="RSY1642" s="21"/>
      <c r="RSZ1642" s="21"/>
      <c r="RTA1642" s="21"/>
      <c r="RTB1642" s="21"/>
      <c r="RTC1642" s="21"/>
      <c r="RTD1642" s="21"/>
      <c r="RTE1642" s="21"/>
      <c r="RTF1642" s="21"/>
      <c r="RTG1642" s="21"/>
      <c r="RTH1642" s="21"/>
      <c r="RTI1642" s="21"/>
      <c r="RTJ1642" s="21"/>
      <c r="RTK1642" s="21"/>
      <c r="RTL1642" s="21"/>
      <c r="RTM1642" s="21"/>
      <c r="RTN1642" s="21"/>
      <c r="RTO1642" s="21"/>
      <c r="RTP1642" s="21"/>
      <c r="RTQ1642" s="21"/>
      <c r="RTR1642" s="21"/>
      <c r="RTS1642" s="21"/>
      <c r="RTT1642" s="21"/>
      <c r="RTU1642" s="21"/>
      <c r="RTV1642" s="21"/>
      <c r="RTW1642" s="21"/>
      <c r="RTX1642" s="21"/>
      <c r="RTY1642" s="21"/>
      <c r="RTZ1642" s="21"/>
      <c r="RUA1642" s="21"/>
      <c r="RUB1642" s="21"/>
      <c r="RUC1642" s="21"/>
      <c r="RUD1642" s="21"/>
      <c r="RUE1642" s="21"/>
      <c r="RUF1642" s="21"/>
      <c r="RUG1642" s="21"/>
      <c r="RUH1642" s="21"/>
      <c r="RUI1642" s="21"/>
      <c r="RUJ1642" s="21"/>
      <c r="RUK1642" s="21"/>
      <c r="RUL1642" s="21"/>
      <c r="RUM1642" s="21"/>
      <c r="RUN1642" s="21"/>
      <c r="RUO1642" s="21"/>
      <c r="RUP1642" s="21"/>
      <c r="RUQ1642" s="21"/>
      <c r="RUR1642" s="21"/>
      <c r="RUS1642" s="21"/>
      <c r="RUT1642" s="21"/>
      <c r="RUU1642" s="21"/>
      <c r="RUV1642" s="21"/>
      <c r="RUW1642" s="21"/>
      <c r="RUX1642" s="21"/>
      <c r="RUY1642" s="21"/>
      <c r="RUZ1642" s="21"/>
      <c r="RVA1642" s="21"/>
      <c r="RVB1642" s="21"/>
      <c r="RVC1642" s="21"/>
      <c r="RVD1642" s="21"/>
      <c r="RVE1642" s="21"/>
      <c r="RVF1642" s="21"/>
      <c r="RVG1642" s="21"/>
      <c r="RVH1642" s="21"/>
      <c r="RVI1642" s="21"/>
      <c r="RVJ1642" s="21"/>
      <c r="RVK1642" s="21"/>
      <c r="RVL1642" s="21"/>
      <c r="RVM1642" s="21"/>
      <c r="RVN1642" s="21"/>
      <c r="RVO1642" s="21"/>
      <c r="RVP1642" s="21"/>
      <c r="RVQ1642" s="21"/>
      <c r="RVR1642" s="21"/>
      <c r="RVS1642" s="21"/>
      <c r="RVT1642" s="21"/>
      <c r="RVU1642" s="21"/>
      <c r="RVV1642" s="21"/>
      <c r="RVW1642" s="21"/>
      <c r="RVX1642" s="21"/>
      <c r="RVY1642" s="21"/>
      <c r="RVZ1642" s="21"/>
      <c r="RWA1642" s="21"/>
      <c r="RWB1642" s="21"/>
      <c r="RWC1642" s="21"/>
      <c r="RWD1642" s="21"/>
      <c r="RWE1642" s="21"/>
      <c r="RWF1642" s="21"/>
      <c r="RWG1642" s="21"/>
      <c r="RWH1642" s="21"/>
      <c r="RWI1642" s="21"/>
      <c r="RWJ1642" s="21"/>
      <c r="RWK1642" s="21"/>
      <c r="RWL1642" s="21"/>
      <c r="RWM1642" s="21"/>
      <c r="RWN1642" s="21"/>
      <c r="RWO1642" s="21"/>
      <c r="RWP1642" s="21"/>
      <c r="RWQ1642" s="21"/>
      <c r="RWR1642" s="21"/>
      <c r="RWS1642" s="21"/>
      <c r="RWT1642" s="21"/>
      <c r="RWU1642" s="21"/>
      <c r="RWV1642" s="21"/>
      <c r="RWW1642" s="21"/>
      <c r="RWX1642" s="21"/>
      <c r="RWY1642" s="21"/>
      <c r="RWZ1642" s="21"/>
      <c r="RXA1642" s="21"/>
      <c r="RXB1642" s="21"/>
      <c r="RXC1642" s="21"/>
      <c r="RXD1642" s="21"/>
      <c r="RXE1642" s="21"/>
      <c r="RXF1642" s="21"/>
      <c r="RXG1642" s="21"/>
      <c r="RXH1642" s="21"/>
      <c r="RXI1642" s="21"/>
      <c r="RXJ1642" s="21"/>
      <c r="RXK1642" s="21"/>
      <c r="RXL1642" s="21"/>
      <c r="RXM1642" s="21"/>
      <c r="RXN1642" s="21"/>
      <c r="RXO1642" s="21"/>
      <c r="RXP1642" s="21"/>
      <c r="RXQ1642" s="21"/>
      <c r="RXR1642" s="21"/>
      <c r="RXS1642" s="21"/>
      <c r="RXT1642" s="21"/>
      <c r="RXU1642" s="21"/>
      <c r="RXV1642" s="21"/>
      <c r="RXW1642" s="21"/>
      <c r="RXX1642" s="21"/>
      <c r="RXY1642" s="21"/>
      <c r="RXZ1642" s="21"/>
      <c r="RYA1642" s="21"/>
      <c r="RYB1642" s="21"/>
      <c r="RYC1642" s="21"/>
      <c r="RYD1642" s="21"/>
      <c r="RYE1642" s="21"/>
      <c r="RYF1642" s="21"/>
      <c r="RYG1642" s="21"/>
      <c r="RYH1642" s="21"/>
      <c r="RYI1642" s="21"/>
      <c r="RYJ1642" s="21"/>
      <c r="RYK1642" s="21"/>
      <c r="RYL1642" s="21"/>
      <c r="RYM1642" s="21"/>
      <c r="RYN1642" s="21"/>
      <c r="RYO1642" s="21"/>
      <c r="RYP1642" s="21"/>
      <c r="RYQ1642" s="21"/>
      <c r="RYR1642" s="21"/>
      <c r="RYS1642" s="21"/>
      <c r="RYT1642" s="21"/>
      <c r="RYU1642" s="21"/>
      <c r="RYV1642" s="21"/>
      <c r="RYW1642" s="21"/>
      <c r="RYX1642" s="21"/>
      <c r="RYY1642" s="21"/>
      <c r="RYZ1642" s="21"/>
      <c r="RZA1642" s="21"/>
      <c r="RZB1642" s="21"/>
      <c r="RZC1642" s="21"/>
      <c r="RZD1642" s="21"/>
      <c r="RZE1642" s="21"/>
      <c r="RZF1642" s="21"/>
      <c r="RZG1642" s="21"/>
      <c r="RZH1642" s="21"/>
      <c r="RZI1642" s="21"/>
      <c r="RZJ1642" s="21"/>
      <c r="RZK1642" s="21"/>
      <c r="RZL1642" s="21"/>
      <c r="RZM1642" s="21"/>
      <c r="RZN1642" s="21"/>
      <c r="RZO1642" s="21"/>
      <c r="RZP1642" s="21"/>
      <c r="RZQ1642" s="21"/>
      <c r="RZR1642" s="21"/>
      <c r="RZS1642" s="21"/>
      <c r="RZT1642" s="21"/>
      <c r="RZU1642" s="21"/>
      <c r="RZV1642" s="21"/>
      <c r="RZW1642" s="21"/>
      <c r="RZX1642" s="21"/>
      <c r="RZY1642" s="21"/>
      <c r="RZZ1642" s="21"/>
      <c r="SAA1642" s="21"/>
      <c r="SAB1642" s="21"/>
      <c r="SAC1642" s="21"/>
      <c r="SAD1642" s="21"/>
      <c r="SAE1642" s="21"/>
      <c r="SAF1642" s="21"/>
      <c r="SAG1642" s="21"/>
      <c r="SAH1642" s="21"/>
      <c r="SAI1642" s="21"/>
      <c r="SAJ1642" s="21"/>
      <c r="SAK1642" s="21"/>
      <c r="SAL1642" s="21"/>
      <c r="SAM1642" s="21"/>
      <c r="SAN1642" s="21"/>
      <c r="SAO1642" s="21"/>
      <c r="SAP1642" s="21"/>
      <c r="SAQ1642" s="21"/>
      <c r="SAR1642" s="21"/>
      <c r="SAS1642" s="21"/>
      <c r="SAT1642" s="21"/>
      <c r="SAU1642" s="21"/>
      <c r="SAV1642" s="21"/>
      <c r="SAW1642" s="21"/>
      <c r="SAX1642" s="21"/>
      <c r="SAY1642" s="21"/>
      <c r="SAZ1642" s="21"/>
      <c r="SBA1642" s="21"/>
      <c r="SBB1642" s="21"/>
      <c r="SBC1642" s="21"/>
      <c r="SBD1642" s="21"/>
      <c r="SBE1642" s="21"/>
      <c r="SBF1642" s="21"/>
      <c r="SBG1642" s="21"/>
      <c r="SBH1642" s="21"/>
      <c r="SBI1642" s="21"/>
      <c r="SBJ1642" s="21"/>
      <c r="SBK1642" s="21"/>
      <c r="SBL1642" s="21"/>
      <c r="SBM1642" s="21"/>
      <c r="SBN1642" s="21"/>
      <c r="SBO1642" s="21"/>
      <c r="SBP1642" s="21"/>
      <c r="SBQ1642" s="21"/>
      <c r="SBR1642" s="21"/>
      <c r="SBS1642" s="21"/>
      <c r="SBT1642" s="21"/>
      <c r="SBU1642" s="21"/>
      <c r="SBV1642" s="21"/>
      <c r="SBW1642" s="21"/>
      <c r="SBX1642" s="21"/>
      <c r="SBY1642" s="21"/>
      <c r="SBZ1642" s="21"/>
      <c r="SCA1642" s="21"/>
      <c r="SCB1642" s="21"/>
      <c r="SCC1642" s="21"/>
      <c r="SCD1642" s="21"/>
      <c r="SCE1642" s="21"/>
      <c r="SCF1642" s="21"/>
      <c r="SCG1642" s="21"/>
      <c r="SCH1642" s="21"/>
      <c r="SCI1642" s="21"/>
      <c r="SCJ1642" s="21"/>
      <c r="SCK1642" s="21"/>
      <c r="SCL1642" s="21"/>
      <c r="SCM1642" s="21"/>
      <c r="SCN1642" s="21"/>
      <c r="SCO1642" s="21"/>
      <c r="SCP1642" s="21"/>
      <c r="SCQ1642" s="21"/>
      <c r="SCR1642" s="21"/>
      <c r="SCS1642" s="21"/>
      <c r="SCT1642" s="21"/>
      <c r="SCU1642" s="21"/>
      <c r="SCV1642" s="21"/>
      <c r="SCW1642" s="21"/>
      <c r="SCX1642" s="21"/>
      <c r="SCY1642" s="21"/>
      <c r="SCZ1642" s="21"/>
      <c r="SDA1642" s="21"/>
      <c r="SDB1642" s="21"/>
      <c r="SDC1642" s="21"/>
      <c r="SDD1642" s="21"/>
      <c r="SDE1642" s="21"/>
      <c r="SDF1642" s="21"/>
      <c r="SDG1642" s="21"/>
      <c r="SDH1642" s="21"/>
      <c r="SDI1642" s="21"/>
      <c r="SDJ1642" s="21"/>
      <c r="SDK1642" s="21"/>
      <c r="SDL1642" s="21"/>
      <c r="SDM1642" s="21"/>
      <c r="SDN1642" s="21"/>
      <c r="SDO1642" s="21"/>
      <c r="SDP1642" s="21"/>
      <c r="SDQ1642" s="21"/>
      <c r="SDR1642" s="21"/>
      <c r="SDS1642" s="21"/>
      <c r="SDT1642" s="21"/>
      <c r="SDU1642" s="21"/>
      <c r="SDV1642" s="21"/>
      <c r="SDW1642" s="21"/>
      <c r="SDX1642" s="21"/>
      <c r="SDY1642" s="21"/>
      <c r="SDZ1642" s="21"/>
      <c r="SEA1642" s="21"/>
      <c r="SEB1642" s="21"/>
      <c r="SEC1642" s="21"/>
      <c r="SED1642" s="21"/>
      <c r="SEE1642" s="21"/>
      <c r="SEF1642" s="21"/>
      <c r="SEG1642" s="21"/>
      <c r="SEH1642" s="21"/>
      <c r="SEI1642" s="21"/>
      <c r="SEJ1642" s="21"/>
      <c r="SEK1642" s="21"/>
      <c r="SEL1642" s="21"/>
      <c r="SEM1642" s="21"/>
      <c r="SEN1642" s="21"/>
      <c r="SEO1642" s="21"/>
      <c r="SEP1642" s="21"/>
      <c r="SEQ1642" s="21"/>
      <c r="SER1642" s="21"/>
      <c r="SES1642" s="21"/>
      <c r="SET1642" s="21"/>
      <c r="SEU1642" s="21"/>
      <c r="SEV1642" s="21"/>
      <c r="SEW1642" s="21"/>
      <c r="SEX1642" s="21"/>
      <c r="SEY1642" s="21"/>
      <c r="SEZ1642" s="21"/>
      <c r="SFA1642" s="21"/>
      <c r="SFB1642" s="21"/>
      <c r="SFC1642" s="21"/>
      <c r="SFD1642" s="21"/>
      <c r="SFE1642" s="21"/>
      <c r="SFF1642" s="21"/>
      <c r="SFG1642" s="21"/>
      <c r="SFH1642" s="21"/>
      <c r="SFI1642" s="21"/>
      <c r="SFJ1642" s="21"/>
      <c r="SFK1642" s="21"/>
      <c r="SFL1642" s="21"/>
      <c r="SFM1642" s="21"/>
      <c r="SFN1642" s="21"/>
      <c r="SFO1642" s="21"/>
      <c r="SFP1642" s="21"/>
      <c r="SFQ1642" s="21"/>
      <c r="SFR1642" s="21"/>
      <c r="SFS1642" s="21"/>
      <c r="SFT1642" s="21"/>
      <c r="SFU1642" s="21"/>
      <c r="SFV1642" s="21"/>
      <c r="SFW1642" s="21"/>
      <c r="SFX1642" s="21"/>
      <c r="SFY1642" s="21"/>
      <c r="SFZ1642" s="21"/>
      <c r="SGA1642" s="21"/>
      <c r="SGB1642" s="21"/>
      <c r="SGC1642" s="21"/>
      <c r="SGD1642" s="21"/>
      <c r="SGE1642" s="21"/>
      <c r="SGF1642" s="21"/>
      <c r="SGG1642" s="21"/>
      <c r="SGH1642" s="21"/>
      <c r="SGI1642" s="21"/>
      <c r="SGJ1642" s="21"/>
      <c r="SGK1642" s="21"/>
      <c r="SGL1642" s="21"/>
      <c r="SGM1642" s="21"/>
      <c r="SGN1642" s="21"/>
      <c r="SGO1642" s="21"/>
      <c r="SGP1642" s="21"/>
      <c r="SGQ1642" s="21"/>
      <c r="SGR1642" s="21"/>
      <c r="SGS1642" s="21"/>
      <c r="SGT1642" s="21"/>
      <c r="SGU1642" s="21"/>
      <c r="SGV1642" s="21"/>
      <c r="SGW1642" s="21"/>
      <c r="SGX1642" s="21"/>
      <c r="SGY1642" s="21"/>
      <c r="SGZ1642" s="21"/>
      <c r="SHA1642" s="21"/>
      <c r="SHB1642" s="21"/>
      <c r="SHC1642" s="21"/>
      <c r="SHD1642" s="21"/>
      <c r="SHE1642" s="21"/>
      <c r="SHF1642" s="21"/>
      <c r="SHG1642" s="21"/>
      <c r="SHH1642" s="21"/>
      <c r="SHI1642" s="21"/>
      <c r="SHJ1642" s="21"/>
      <c r="SHK1642" s="21"/>
      <c r="SHL1642" s="21"/>
      <c r="SHM1642" s="21"/>
      <c r="SHN1642" s="21"/>
      <c r="SHO1642" s="21"/>
      <c r="SHP1642" s="21"/>
      <c r="SHQ1642" s="21"/>
      <c r="SHR1642" s="21"/>
      <c r="SHS1642" s="21"/>
      <c r="SHT1642" s="21"/>
      <c r="SHU1642" s="21"/>
      <c r="SHV1642" s="21"/>
      <c r="SHW1642" s="21"/>
      <c r="SHX1642" s="21"/>
      <c r="SHY1642" s="21"/>
      <c r="SHZ1642" s="21"/>
      <c r="SIA1642" s="21"/>
      <c r="SIB1642" s="21"/>
      <c r="SIC1642" s="21"/>
      <c r="SID1642" s="21"/>
      <c r="SIE1642" s="21"/>
      <c r="SIF1642" s="21"/>
      <c r="SIG1642" s="21"/>
      <c r="SIH1642" s="21"/>
      <c r="SII1642" s="21"/>
      <c r="SIJ1642" s="21"/>
      <c r="SIK1642" s="21"/>
      <c r="SIL1642" s="21"/>
      <c r="SIM1642" s="21"/>
      <c r="SIN1642" s="21"/>
      <c r="SIO1642" s="21"/>
      <c r="SIP1642" s="21"/>
      <c r="SIQ1642" s="21"/>
      <c r="SIR1642" s="21"/>
      <c r="SIS1642" s="21"/>
      <c r="SIT1642" s="21"/>
      <c r="SIU1642" s="21"/>
      <c r="SIV1642" s="21"/>
      <c r="SIW1642" s="21"/>
      <c r="SIX1642" s="21"/>
      <c r="SIY1642" s="21"/>
      <c r="SIZ1642" s="21"/>
      <c r="SJA1642" s="21"/>
      <c r="SJB1642" s="21"/>
      <c r="SJC1642" s="21"/>
      <c r="SJD1642" s="21"/>
      <c r="SJE1642" s="21"/>
      <c r="SJF1642" s="21"/>
      <c r="SJG1642" s="21"/>
      <c r="SJH1642" s="21"/>
      <c r="SJI1642" s="21"/>
      <c r="SJJ1642" s="21"/>
      <c r="SJK1642" s="21"/>
      <c r="SJL1642" s="21"/>
      <c r="SJM1642" s="21"/>
      <c r="SJN1642" s="21"/>
      <c r="SJO1642" s="21"/>
      <c r="SJP1642" s="21"/>
      <c r="SJQ1642" s="21"/>
      <c r="SJR1642" s="21"/>
      <c r="SJS1642" s="21"/>
      <c r="SJT1642" s="21"/>
      <c r="SJU1642" s="21"/>
      <c r="SJV1642" s="21"/>
      <c r="SJW1642" s="21"/>
      <c r="SJX1642" s="21"/>
      <c r="SJY1642" s="21"/>
      <c r="SJZ1642" s="21"/>
      <c r="SKA1642" s="21"/>
      <c r="SKB1642" s="21"/>
      <c r="SKC1642" s="21"/>
      <c r="SKD1642" s="21"/>
      <c r="SKE1642" s="21"/>
      <c r="SKF1642" s="21"/>
      <c r="SKG1642" s="21"/>
      <c r="SKH1642" s="21"/>
      <c r="SKI1642" s="21"/>
      <c r="SKJ1642" s="21"/>
      <c r="SKK1642" s="21"/>
      <c r="SKL1642" s="21"/>
      <c r="SKM1642" s="21"/>
      <c r="SKN1642" s="21"/>
      <c r="SKO1642" s="21"/>
      <c r="SKP1642" s="21"/>
      <c r="SKQ1642" s="21"/>
      <c r="SKR1642" s="21"/>
      <c r="SKS1642" s="21"/>
      <c r="SKT1642" s="21"/>
      <c r="SKU1642" s="21"/>
      <c r="SKV1642" s="21"/>
      <c r="SKW1642" s="21"/>
      <c r="SKX1642" s="21"/>
      <c r="SKY1642" s="21"/>
      <c r="SKZ1642" s="21"/>
      <c r="SLA1642" s="21"/>
      <c r="SLB1642" s="21"/>
      <c r="SLC1642" s="21"/>
      <c r="SLD1642" s="21"/>
      <c r="SLE1642" s="21"/>
      <c r="SLF1642" s="21"/>
      <c r="SLG1642" s="21"/>
      <c r="SLH1642" s="21"/>
      <c r="SLI1642" s="21"/>
      <c r="SLJ1642" s="21"/>
      <c r="SLK1642" s="21"/>
      <c r="SLL1642" s="21"/>
      <c r="SLM1642" s="21"/>
      <c r="SLN1642" s="21"/>
      <c r="SLO1642" s="21"/>
      <c r="SLP1642" s="21"/>
      <c r="SLQ1642" s="21"/>
      <c r="SLR1642" s="21"/>
      <c r="SLS1642" s="21"/>
      <c r="SLT1642" s="21"/>
      <c r="SLU1642" s="21"/>
      <c r="SLV1642" s="21"/>
      <c r="SLW1642" s="21"/>
      <c r="SLX1642" s="21"/>
      <c r="SLY1642" s="21"/>
      <c r="SLZ1642" s="21"/>
      <c r="SMA1642" s="21"/>
      <c r="SMB1642" s="21"/>
      <c r="SMC1642" s="21"/>
      <c r="SMD1642" s="21"/>
      <c r="SME1642" s="21"/>
      <c r="SMF1642" s="21"/>
      <c r="SMG1642" s="21"/>
      <c r="SMH1642" s="21"/>
      <c r="SMI1642" s="21"/>
      <c r="SMJ1642" s="21"/>
      <c r="SMK1642" s="21"/>
      <c r="SML1642" s="21"/>
      <c r="SMM1642" s="21"/>
      <c r="SMN1642" s="21"/>
      <c r="SMO1642" s="21"/>
      <c r="SMP1642" s="21"/>
      <c r="SMQ1642" s="21"/>
      <c r="SMR1642" s="21"/>
      <c r="SMS1642" s="21"/>
      <c r="SMT1642" s="21"/>
      <c r="SMU1642" s="21"/>
      <c r="SMV1642" s="21"/>
      <c r="SMW1642" s="21"/>
      <c r="SMX1642" s="21"/>
      <c r="SMY1642" s="21"/>
      <c r="SMZ1642" s="21"/>
      <c r="SNA1642" s="21"/>
      <c r="SNB1642" s="21"/>
      <c r="SNC1642" s="21"/>
      <c r="SND1642" s="21"/>
      <c r="SNE1642" s="21"/>
      <c r="SNF1642" s="21"/>
      <c r="SNG1642" s="21"/>
      <c r="SNH1642" s="21"/>
      <c r="SNI1642" s="21"/>
      <c r="SNJ1642" s="21"/>
      <c r="SNK1642" s="21"/>
      <c r="SNL1642" s="21"/>
      <c r="SNM1642" s="21"/>
      <c r="SNN1642" s="21"/>
      <c r="SNO1642" s="21"/>
      <c r="SNP1642" s="21"/>
      <c r="SNQ1642" s="21"/>
      <c r="SNR1642" s="21"/>
      <c r="SNS1642" s="21"/>
      <c r="SNT1642" s="21"/>
      <c r="SNU1642" s="21"/>
      <c r="SNV1642" s="21"/>
      <c r="SNW1642" s="21"/>
      <c r="SNX1642" s="21"/>
      <c r="SNY1642" s="21"/>
      <c r="SNZ1642" s="21"/>
      <c r="SOA1642" s="21"/>
      <c r="SOB1642" s="21"/>
      <c r="SOC1642" s="21"/>
      <c r="SOD1642" s="21"/>
      <c r="SOE1642" s="21"/>
      <c r="SOF1642" s="21"/>
      <c r="SOG1642" s="21"/>
      <c r="SOH1642" s="21"/>
      <c r="SOI1642" s="21"/>
      <c r="SOJ1642" s="21"/>
      <c r="SOK1642" s="21"/>
      <c r="SOL1642" s="21"/>
      <c r="SOM1642" s="21"/>
      <c r="SON1642" s="21"/>
      <c r="SOO1642" s="21"/>
      <c r="SOP1642" s="21"/>
      <c r="SOQ1642" s="21"/>
      <c r="SOR1642" s="21"/>
      <c r="SOS1642" s="21"/>
      <c r="SOT1642" s="21"/>
      <c r="SOU1642" s="21"/>
      <c r="SOV1642" s="21"/>
      <c r="SOW1642" s="21"/>
      <c r="SOX1642" s="21"/>
      <c r="SOY1642" s="21"/>
      <c r="SOZ1642" s="21"/>
      <c r="SPA1642" s="21"/>
      <c r="SPB1642" s="21"/>
      <c r="SPC1642" s="21"/>
      <c r="SPD1642" s="21"/>
      <c r="SPE1642" s="21"/>
      <c r="SPF1642" s="21"/>
      <c r="SPG1642" s="21"/>
      <c r="SPH1642" s="21"/>
      <c r="SPI1642" s="21"/>
      <c r="SPJ1642" s="21"/>
      <c r="SPK1642" s="21"/>
      <c r="SPL1642" s="21"/>
      <c r="SPM1642" s="21"/>
      <c r="SPN1642" s="21"/>
      <c r="SPO1642" s="21"/>
      <c r="SPP1642" s="21"/>
      <c r="SPQ1642" s="21"/>
      <c r="SPR1642" s="21"/>
      <c r="SPS1642" s="21"/>
      <c r="SPT1642" s="21"/>
      <c r="SPU1642" s="21"/>
      <c r="SPV1642" s="21"/>
      <c r="SPW1642" s="21"/>
      <c r="SPX1642" s="21"/>
      <c r="SPY1642" s="21"/>
      <c r="SPZ1642" s="21"/>
      <c r="SQA1642" s="21"/>
      <c r="SQB1642" s="21"/>
      <c r="SQC1642" s="21"/>
      <c r="SQD1642" s="21"/>
      <c r="SQE1642" s="21"/>
      <c r="SQF1642" s="21"/>
      <c r="SQG1642" s="21"/>
      <c r="SQH1642" s="21"/>
      <c r="SQI1642" s="21"/>
      <c r="SQJ1642" s="21"/>
      <c r="SQK1642" s="21"/>
      <c r="SQL1642" s="21"/>
      <c r="SQM1642" s="21"/>
      <c r="SQN1642" s="21"/>
      <c r="SQO1642" s="21"/>
      <c r="SQP1642" s="21"/>
      <c r="SQQ1642" s="21"/>
      <c r="SQR1642" s="21"/>
      <c r="SQS1642" s="21"/>
      <c r="SQT1642" s="21"/>
      <c r="SQU1642" s="21"/>
      <c r="SQV1642" s="21"/>
      <c r="SQW1642" s="21"/>
      <c r="SQX1642" s="21"/>
      <c r="SQY1642" s="21"/>
      <c r="SQZ1642" s="21"/>
      <c r="SRA1642" s="21"/>
      <c r="SRB1642" s="21"/>
      <c r="SRC1642" s="21"/>
      <c r="SRD1642" s="21"/>
      <c r="SRE1642" s="21"/>
      <c r="SRF1642" s="21"/>
      <c r="SRG1642" s="21"/>
      <c r="SRH1642" s="21"/>
      <c r="SRI1642" s="21"/>
      <c r="SRJ1642" s="21"/>
      <c r="SRK1642" s="21"/>
      <c r="SRL1642" s="21"/>
      <c r="SRM1642" s="21"/>
      <c r="SRN1642" s="21"/>
      <c r="SRO1642" s="21"/>
      <c r="SRP1642" s="21"/>
      <c r="SRQ1642" s="21"/>
      <c r="SRR1642" s="21"/>
      <c r="SRS1642" s="21"/>
      <c r="SRT1642" s="21"/>
      <c r="SRU1642" s="21"/>
      <c r="SRV1642" s="21"/>
      <c r="SRW1642" s="21"/>
      <c r="SRX1642" s="21"/>
      <c r="SRY1642" s="21"/>
      <c r="SRZ1642" s="21"/>
      <c r="SSA1642" s="21"/>
      <c r="SSB1642" s="21"/>
      <c r="SSC1642" s="21"/>
      <c r="SSD1642" s="21"/>
      <c r="SSE1642" s="21"/>
      <c r="SSF1642" s="21"/>
      <c r="SSG1642" s="21"/>
      <c r="SSH1642" s="21"/>
      <c r="SSI1642" s="21"/>
      <c r="SSJ1642" s="21"/>
      <c r="SSK1642" s="21"/>
      <c r="SSL1642" s="21"/>
      <c r="SSM1642" s="21"/>
      <c r="SSN1642" s="21"/>
      <c r="SSO1642" s="21"/>
      <c r="SSP1642" s="21"/>
      <c r="SSQ1642" s="21"/>
      <c r="SSR1642" s="21"/>
      <c r="SSS1642" s="21"/>
      <c r="SST1642" s="21"/>
      <c r="SSU1642" s="21"/>
      <c r="SSV1642" s="21"/>
      <c r="SSW1642" s="21"/>
      <c r="SSX1642" s="21"/>
      <c r="SSY1642" s="21"/>
      <c r="SSZ1642" s="21"/>
      <c r="STA1642" s="21"/>
      <c r="STB1642" s="21"/>
      <c r="STC1642" s="21"/>
      <c r="STD1642" s="21"/>
      <c r="STE1642" s="21"/>
      <c r="STF1642" s="21"/>
      <c r="STG1642" s="21"/>
      <c r="STH1642" s="21"/>
      <c r="STI1642" s="21"/>
      <c r="STJ1642" s="21"/>
      <c r="STK1642" s="21"/>
      <c r="STL1642" s="21"/>
      <c r="STM1642" s="21"/>
      <c r="STN1642" s="21"/>
      <c r="STO1642" s="21"/>
      <c r="STP1642" s="21"/>
      <c r="STQ1642" s="21"/>
      <c r="STR1642" s="21"/>
      <c r="STS1642" s="21"/>
      <c r="STT1642" s="21"/>
      <c r="STU1642" s="21"/>
      <c r="STV1642" s="21"/>
      <c r="STW1642" s="21"/>
      <c r="STX1642" s="21"/>
      <c r="STY1642" s="21"/>
      <c r="STZ1642" s="21"/>
      <c r="SUA1642" s="21"/>
      <c r="SUB1642" s="21"/>
      <c r="SUC1642" s="21"/>
      <c r="SUD1642" s="21"/>
      <c r="SUE1642" s="21"/>
      <c r="SUF1642" s="21"/>
      <c r="SUG1642" s="21"/>
      <c r="SUH1642" s="21"/>
      <c r="SUI1642" s="21"/>
      <c r="SUJ1642" s="21"/>
      <c r="SUK1642" s="21"/>
      <c r="SUL1642" s="21"/>
      <c r="SUM1642" s="21"/>
      <c r="SUN1642" s="21"/>
      <c r="SUO1642" s="21"/>
      <c r="SUP1642" s="21"/>
      <c r="SUQ1642" s="21"/>
      <c r="SUR1642" s="21"/>
      <c r="SUS1642" s="21"/>
      <c r="SUT1642" s="21"/>
      <c r="SUU1642" s="21"/>
      <c r="SUV1642" s="21"/>
      <c r="SUW1642" s="21"/>
      <c r="SUX1642" s="21"/>
      <c r="SUY1642" s="21"/>
      <c r="SUZ1642" s="21"/>
      <c r="SVA1642" s="21"/>
      <c r="SVB1642" s="21"/>
      <c r="SVC1642" s="21"/>
      <c r="SVD1642" s="21"/>
      <c r="SVE1642" s="21"/>
      <c r="SVF1642" s="21"/>
      <c r="SVG1642" s="21"/>
      <c r="SVH1642" s="21"/>
      <c r="SVI1642" s="21"/>
      <c r="SVJ1642" s="21"/>
      <c r="SVK1642" s="21"/>
      <c r="SVL1642" s="21"/>
      <c r="SVM1642" s="21"/>
      <c r="SVN1642" s="21"/>
      <c r="SVO1642" s="21"/>
      <c r="SVP1642" s="21"/>
      <c r="SVQ1642" s="21"/>
      <c r="SVR1642" s="21"/>
      <c r="SVS1642" s="21"/>
      <c r="SVT1642" s="21"/>
      <c r="SVU1642" s="21"/>
      <c r="SVV1642" s="21"/>
      <c r="SVW1642" s="21"/>
      <c r="SVX1642" s="21"/>
      <c r="SVY1642" s="21"/>
      <c r="SVZ1642" s="21"/>
      <c r="SWA1642" s="21"/>
      <c r="SWB1642" s="21"/>
      <c r="SWC1642" s="21"/>
      <c r="SWD1642" s="21"/>
      <c r="SWE1642" s="21"/>
      <c r="SWF1642" s="21"/>
      <c r="SWG1642" s="21"/>
      <c r="SWH1642" s="21"/>
      <c r="SWI1642" s="21"/>
      <c r="SWJ1642" s="21"/>
      <c r="SWK1642" s="21"/>
      <c r="SWL1642" s="21"/>
      <c r="SWM1642" s="21"/>
      <c r="SWN1642" s="21"/>
      <c r="SWO1642" s="21"/>
      <c r="SWP1642" s="21"/>
      <c r="SWQ1642" s="21"/>
      <c r="SWR1642" s="21"/>
      <c r="SWS1642" s="21"/>
      <c r="SWT1642" s="21"/>
      <c r="SWU1642" s="21"/>
      <c r="SWV1642" s="21"/>
      <c r="SWW1642" s="21"/>
      <c r="SWX1642" s="21"/>
      <c r="SWY1642" s="21"/>
      <c r="SWZ1642" s="21"/>
      <c r="SXA1642" s="21"/>
      <c r="SXB1642" s="21"/>
      <c r="SXC1642" s="21"/>
      <c r="SXD1642" s="21"/>
      <c r="SXE1642" s="21"/>
      <c r="SXF1642" s="21"/>
      <c r="SXG1642" s="21"/>
      <c r="SXH1642" s="21"/>
      <c r="SXI1642" s="21"/>
      <c r="SXJ1642" s="21"/>
      <c r="SXK1642" s="21"/>
      <c r="SXL1642" s="21"/>
      <c r="SXM1642" s="21"/>
      <c r="SXN1642" s="21"/>
      <c r="SXO1642" s="21"/>
      <c r="SXP1642" s="21"/>
      <c r="SXQ1642" s="21"/>
      <c r="SXR1642" s="21"/>
      <c r="SXS1642" s="21"/>
      <c r="SXT1642" s="21"/>
      <c r="SXU1642" s="21"/>
      <c r="SXV1642" s="21"/>
      <c r="SXW1642" s="21"/>
      <c r="SXX1642" s="21"/>
      <c r="SXY1642" s="21"/>
      <c r="SXZ1642" s="21"/>
      <c r="SYA1642" s="21"/>
      <c r="SYB1642" s="21"/>
      <c r="SYC1642" s="21"/>
      <c r="SYD1642" s="21"/>
      <c r="SYE1642" s="21"/>
      <c r="SYF1642" s="21"/>
      <c r="SYG1642" s="21"/>
      <c r="SYH1642" s="21"/>
      <c r="SYI1642" s="21"/>
      <c r="SYJ1642" s="21"/>
      <c r="SYK1642" s="21"/>
      <c r="SYL1642" s="21"/>
      <c r="SYM1642" s="21"/>
      <c r="SYN1642" s="21"/>
      <c r="SYO1642" s="21"/>
      <c r="SYP1642" s="21"/>
      <c r="SYQ1642" s="21"/>
      <c r="SYR1642" s="21"/>
      <c r="SYS1642" s="21"/>
      <c r="SYT1642" s="21"/>
      <c r="SYU1642" s="21"/>
      <c r="SYV1642" s="21"/>
      <c r="SYW1642" s="21"/>
      <c r="SYX1642" s="21"/>
      <c r="SYY1642" s="21"/>
      <c r="SYZ1642" s="21"/>
      <c r="SZA1642" s="21"/>
      <c r="SZB1642" s="21"/>
      <c r="SZC1642" s="21"/>
      <c r="SZD1642" s="21"/>
      <c r="SZE1642" s="21"/>
      <c r="SZF1642" s="21"/>
      <c r="SZG1642" s="21"/>
      <c r="SZH1642" s="21"/>
      <c r="SZI1642" s="21"/>
      <c r="SZJ1642" s="21"/>
      <c r="SZK1642" s="21"/>
      <c r="SZL1642" s="21"/>
      <c r="SZM1642" s="21"/>
      <c r="SZN1642" s="21"/>
      <c r="SZO1642" s="21"/>
      <c r="SZP1642" s="21"/>
      <c r="SZQ1642" s="21"/>
      <c r="SZR1642" s="21"/>
      <c r="SZS1642" s="21"/>
      <c r="SZT1642" s="21"/>
      <c r="SZU1642" s="21"/>
      <c r="SZV1642" s="21"/>
      <c r="SZW1642" s="21"/>
      <c r="SZX1642" s="21"/>
      <c r="SZY1642" s="21"/>
      <c r="SZZ1642" s="21"/>
      <c r="TAA1642" s="21"/>
      <c r="TAB1642" s="21"/>
      <c r="TAC1642" s="21"/>
      <c r="TAD1642" s="21"/>
      <c r="TAE1642" s="21"/>
      <c r="TAF1642" s="21"/>
      <c r="TAG1642" s="21"/>
      <c r="TAH1642" s="21"/>
      <c r="TAI1642" s="21"/>
      <c r="TAJ1642" s="21"/>
      <c r="TAK1642" s="21"/>
      <c r="TAL1642" s="21"/>
      <c r="TAM1642" s="21"/>
      <c r="TAN1642" s="21"/>
      <c r="TAO1642" s="21"/>
      <c r="TAP1642" s="21"/>
      <c r="TAQ1642" s="21"/>
      <c r="TAR1642" s="21"/>
      <c r="TAS1642" s="21"/>
      <c r="TAT1642" s="21"/>
      <c r="TAU1642" s="21"/>
      <c r="TAV1642" s="21"/>
      <c r="TAW1642" s="21"/>
      <c r="TAX1642" s="21"/>
      <c r="TAY1642" s="21"/>
      <c r="TAZ1642" s="21"/>
      <c r="TBA1642" s="21"/>
      <c r="TBB1642" s="21"/>
      <c r="TBC1642" s="21"/>
      <c r="TBD1642" s="21"/>
      <c r="TBE1642" s="21"/>
      <c r="TBF1642" s="21"/>
      <c r="TBG1642" s="21"/>
      <c r="TBH1642" s="21"/>
      <c r="TBI1642" s="21"/>
      <c r="TBJ1642" s="21"/>
      <c r="TBK1642" s="21"/>
      <c r="TBL1642" s="21"/>
      <c r="TBM1642" s="21"/>
      <c r="TBN1642" s="21"/>
      <c r="TBO1642" s="21"/>
      <c r="TBP1642" s="21"/>
      <c r="TBQ1642" s="21"/>
      <c r="TBR1642" s="21"/>
      <c r="TBS1642" s="21"/>
      <c r="TBT1642" s="21"/>
      <c r="TBU1642" s="21"/>
      <c r="TBV1642" s="21"/>
      <c r="TBW1642" s="21"/>
      <c r="TBX1642" s="21"/>
      <c r="TBY1642" s="21"/>
      <c r="TBZ1642" s="21"/>
      <c r="TCA1642" s="21"/>
      <c r="TCB1642" s="21"/>
      <c r="TCC1642" s="21"/>
      <c r="TCD1642" s="21"/>
      <c r="TCE1642" s="21"/>
      <c r="TCF1642" s="21"/>
      <c r="TCG1642" s="21"/>
      <c r="TCH1642" s="21"/>
      <c r="TCI1642" s="21"/>
      <c r="TCJ1642" s="21"/>
      <c r="TCK1642" s="21"/>
      <c r="TCL1642" s="21"/>
      <c r="TCM1642" s="21"/>
      <c r="TCN1642" s="21"/>
      <c r="TCO1642" s="21"/>
      <c r="TCP1642" s="21"/>
      <c r="TCQ1642" s="21"/>
      <c r="TCR1642" s="21"/>
      <c r="TCS1642" s="21"/>
      <c r="TCT1642" s="21"/>
      <c r="TCU1642" s="21"/>
      <c r="TCV1642" s="21"/>
      <c r="TCW1642" s="21"/>
      <c r="TCX1642" s="21"/>
      <c r="TCY1642" s="21"/>
      <c r="TCZ1642" s="21"/>
      <c r="TDA1642" s="21"/>
      <c r="TDB1642" s="21"/>
      <c r="TDC1642" s="21"/>
      <c r="TDD1642" s="21"/>
      <c r="TDE1642" s="21"/>
      <c r="TDF1642" s="21"/>
      <c r="TDG1642" s="21"/>
      <c r="TDH1642" s="21"/>
      <c r="TDI1642" s="21"/>
      <c r="TDJ1642" s="21"/>
      <c r="TDK1642" s="21"/>
      <c r="TDL1642" s="21"/>
      <c r="TDM1642" s="21"/>
      <c r="TDN1642" s="21"/>
      <c r="TDO1642" s="21"/>
      <c r="TDP1642" s="21"/>
      <c r="TDQ1642" s="21"/>
      <c r="TDR1642" s="21"/>
      <c r="TDS1642" s="21"/>
      <c r="TDT1642" s="21"/>
      <c r="TDU1642" s="21"/>
      <c r="TDV1642" s="21"/>
      <c r="TDW1642" s="21"/>
      <c r="TDX1642" s="21"/>
      <c r="TDY1642" s="21"/>
      <c r="TDZ1642" s="21"/>
      <c r="TEA1642" s="21"/>
      <c r="TEB1642" s="21"/>
      <c r="TEC1642" s="21"/>
      <c r="TED1642" s="21"/>
      <c r="TEE1642" s="21"/>
      <c r="TEF1642" s="21"/>
      <c r="TEG1642" s="21"/>
      <c r="TEH1642" s="21"/>
      <c r="TEI1642" s="21"/>
      <c r="TEJ1642" s="21"/>
      <c r="TEK1642" s="21"/>
      <c r="TEL1642" s="21"/>
      <c r="TEM1642" s="21"/>
      <c r="TEN1642" s="21"/>
      <c r="TEO1642" s="21"/>
      <c r="TEP1642" s="21"/>
      <c r="TEQ1642" s="21"/>
      <c r="TER1642" s="21"/>
      <c r="TES1642" s="21"/>
      <c r="TET1642" s="21"/>
      <c r="TEU1642" s="21"/>
      <c r="TEV1642" s="21"/>
      <c r="TEW1642" s="21"/>
      <c r="TEX1642" s="21"/>
      <c r="TEY1642" s="21"/>
      <c r="TEZ1642" s="21"/>
      <c r="TFA1642" s="21"/>
      <c r="TFB1642" s="21"/>
      <c r="TFC1642" s="21"/>
      <c r="TFD1642" s="21"/>
      <c r="TFE1642" s="21"/>
      <c r="TFF1642" s="21"/>
      <c r="TFG1642" s="21"/>
      <c r="TFH1642" s="21"/>
      <c r="TFI1642" s="21"/>
      <c r="TFJ1642" s="21"/>
      <c r="TFK1642" s="21"/>
      <c r="TFL1642" s="21"/>
      <c r="TFM1642" s="21"/>
      <c r="TFN1642" s="21"/>
      <c r="TFO1642" s="21"/>
      <c r="TFP1642" s="21"/>
      <c r="TFQ1642" s="21"/>
      <c r="TFR1642" s="21"/>
      <c r="TFS1642" s="21"/>
      <c r="TFT1642" s="21"/>
      <c r="TFU1642" s="21"/>
      <c r="TFV1642" s="21"/>
      <c r="TFW1642" s="21"/>
      <c r="TFX1642" s="21"/>
      <c r="TFY1642" s="21"/>
      <c r="TFZ1642" s="21"/>
      <c r="TGA1642" s="21"/>
      <c r="TGB1642" s="21"/>
      <c r="TGC1642" s="21"/>
      <c r="TGD1642" s="21"/>
      <c r="TGE1642" s="21"/>
      <c r="TGF1642" s="21"/>
      <c r="TGG1642" s="21"/>
      <c r="TGH1642" s="21"/>
      <c r="TGI1642" s="21"/>
      <c r="TGJ1642" s="21"/>
      <c r="TGK1642" s="21"/>
      <c r="TGL1642" s="21"/>
      <c r="TGM1642" s="21"/>
      <c r="TGN1642" s="21"/>
      <c r="TGO1642" s="21"/>
      <c r="TGP1642" s="21"/>
      <c r="TGQ1642" s="21"/>
      <c r="TGR1642" s="21"/>
      <c r="TGS1642" s="21"/>
      <c r="TGT1642" s="21"/>
      <c r="TGU1642" s="21"/>
      <c r="TGV1642" s="21"/>
      <c r="TGW1642" s="21"/>
      <c r="TGX1642" s="21"/>
      <c r="TGY1642" s="21"/>
      <c r="TGZ1642" s="21"/>
      <c r="THA1642" s="21"/>
      <c r="THB1642" s="21"/>
      <c r="THC1642" s="21"/>
      <c r="THD1642" s="21"/>
      <c r="THE1642" s="21"/>
      <c r="THF1642" s="21"/>
      <c r="THG1642" s="21"/>
      <c r="THH1642" s="21"/>
      <c r="THI1642" s="21"/>
      <c r="THJ1642" s="21"/>
      <c r="THK1642" s="21"/>
      <c r="THL1642" s="21"/>
      <c r="THM1642" s="21"/>
      <c r="THN1642" s="21"/>
      <c r="THO1642" s="21"/>
      <c r="THP1642" s="21"/>
      <c r="THQ1642" s="21"/>
      <c r="THR1642" s="21"/>
      <c r="THS1642" s="21"/>
      <c r="THT1642" s="21"/>
      <c r="THU1642" s="21"/>
      <c r="THV1642" s="21"/>
      <c r="THW1642" s="21"/>
      <c r="THX1642" s="21"/>
      <c r="THY1642" s="21"/>
      <c r="THZ1642" s="21"/>
      <c r="TIA1642" s="21"/>
      <c r="TIB1642" s="21"/>
      <c r="TIC1642" s="21"/>
      <c r="TID1642" s="21"/>
      <c r="TIE1642" s="21"/>
      <c r="TIF1642" s="21"/>
      <c r="TIG1642" s="21"/>
      <c r="TIH1642" s="21"/>
      <c r="TII1642" s="21"/>
      <c r="TIJ1642" s="21"/>
      <c r="TIK1642" s="21"/>
      <c r="TIL1642" s="21"/>
      <c r="TIM1642" s="21"/>
      <c r="TIN1642" s="21"/>
      <c r="TIO1642" s="21"/>
      <c r="TIP1642" s="21"/>
      <c r="TIQ1642" s="21"/>
      <c r="TIR1642" s="21"/>
      <c r="TIS1642" s="21"/>
      <c r="TIT1642" s="21"/>
      <c r="TIU1642" s="21"/>
      <c r="TIV1642" s="21"/>
      <c r="TIW1642" s="21"/>
      <c r="TIX1642" s="21"/>
      <c r="TIY1642" s="21"/>
      <c r="TIZ1642" s="21"/>
      <c r="TJA1642" s="21"/>
      <c r="TJB1642" s="21"/>
      <c r="TJC1642" s="21"/>
      <c r="TJD1642" s="21"/>
      <c r="TJE1642" s="21"/>
      <c r="TJF1642" s="21"/>
      <c r="TJG1642" s="21"/>
      <c r="TJH1642" s="21"/>
      <c r="TJI1642" s="21"/>
      <c r="TJJ1642" s="21"/>
      <c r="TJK1642" s="21"/>
      <c r="TJL1642" s="21"/>
      <c r="TJM1642" s="21"/>
      <c r="TJN1642" s="21"/>
      <c r="TJO1642" s="21"/>
      <c r="TJP1642" s="21"/>
      <c r="TJQ1642" s="21"/>
      <c r="TJR1642" s="21"/>
      <c r="TJS1642" s="21"/>
      <c r="TJT1642" s="21"/>
      <c r="TJU1642" s="21"/>
      <c r="TJV1642" s="21"/>
      <c r="TJW1642" s="21"/>
      <c r="TJX1642" s="21"/>
      <c r="TJY1642" s="21"/>
      <c r="TJZ1642" s="21"/>
      <c r="TKA1642" s="21"/>
      <c r="TKB1642" s="21"/>
      <c r="TKC1642" s="21"/>
      <c r="TKD1642" s="21"/>
      <c r="TKE1642" s="21"/>
      <c r="TKF1642" s="21"/>
      <c r="TKG1642" s="21"/>
      <c r="TKH1642" s="21"/>
      <c r="TKI1642" s="21"/>
      <c r="TKJ1642" s="21"/>
      <c r="TKK1642" s="21"/>
      <c r="TKL1642" s="21"/>
      <c r="TKM1642" s="21"/>
      <c r="TKN1642" s="21"/>
      <c r="TKO1642" s="21"/>
      <c r="TKP1642" s="21"/>
      <c r="TKQ1642" s="21"/>
      <c r="TKR1642" s="21"/>
      <c r="TKS1642" s="21"/>
      <c r="TKT1642" s="21"/>
      <c r="TKU1642" s="21"/>
      <c r="TKV1642" s="21"/>
      <c r="TKW1642" s="21"/>
      <c r="TKX1642" s="21"/>
      <c r="TKY1642" s="21"/>
      <c r="TKZ1642" s="21"/>
      <c r="TLA1642" s="21"/>
      <c r="TLB1642" s="21"/>
      <c r="TLC1642" s="21"/>
      <c r="TLD1642" s="21"/>
      <c r="TLE1642" s="21"/>
      <c r="TLF1642" s="21"/>
      <c r="TLG1642" s="21"/>
      <c r="TLH1642" s="21"/>
      <c r="TLI1642" s="21"/>
      <c r="TLJ1642" s="21"/>
      <c r="TLK1642" s="21"/>
      <c r="TLL1642" s="21"/>
      <c r="TLM1642" s="21"/>
      <c r="TLN1642" s="21"/>
      <c r="TLO1642" s="21"/>
      <c r="TLP1642" s="21"/>
      <c r="TLQ1642" s="21"/>
      <c r="TLR1642" s="21"/>
      <c r="TLS1642" s="21"/>
      <c r="TLT1642" s="21"/>
      <c r="TLU1642" s="21"/>
      <c r="TLV1642" s="21"/>
      <c r="TLW1642" s="21"/>
      <c r="TLX1642" s="21"/>
      <c r="TLY1642" s="21"/>
      <c r="TLZ1642" s="21"/>
      <c r="TMA1642" s="21"/>
      <c r="TMB1642" s="21"/>
      <c r="TMC1642" s="21"/>
      <c r="TMD1642" s="21"/>
      <c r="TME1642" s="21"/>
      <c r="TMF1642" s="21"/>
      <c r="TMG1642" s="21"/>
      <c r="TMH1642" s="21"/>
      <c r="TMI1642" s="21"/>
      <c r="TMJ1642" s="21"/>
      <c r="TMK1642" s="21"/>
      <c r="TML1642" s="21"/>
      <c r="TMM1642" s="21"/>
      <c r="TMN1642" s="21"/>
      <c r="TMO1642" s="21"/>
      <c r="TMP1642" s="21"/>
      <c r="TMQ1642" s="21"/>
      <c r="TMR1642" s="21"/>
      <c r="TMS1642" s="21"/>
      <c r="TMT1642" s="21"/>
      <c r="TMU1642" s="21"/>
      <c r="TMV1642" s="21"/>
      <c r="TMW1642" s="21"/>
      <c r="TMX1642" s="21"/>
      <c r="TMY1642" s="21"/>
      <c r="TMZ1642" s="21"/>
      <c r="TNA1642" s="21"/>
      <c r="TNB1642" s="21"/>
      <c r="TNC1642" s="21"/>
      <c r="TND1642" s="21"/>
      <c r="TNE1642" s="21"/>
      <c r="TNF1642" s="21"/>
      <c r="TNG1642" s="21"/>
      <c r="TNH1642" s="21"/>
      <c r="TNI1642" s="21"/>
      <c r="TNJ1642" s="21"/>
      <c r="TNK1642" s="21"/>
      <c r="TNL1642" s="21"/>
      <c r="TNM1642" s="21"/>
      <c r="TNN1642" s="21"/>
      <c r="TNO1642" s="21"/>
      <c r="TNP1642" s="21"/>
      <c r="TNQ1642" s="21"/>
      <c r="TNR1642" s="21"/>
      <c r="TNS1642" s="21"/>
      <c r="TNT1642" s="21"/>
      <c r="TNU1642" s="21"/>
      <c r="TNV1642" s="21"/>
      <c r="TNW1642" s="21"/>
      <c r="TNX1642" s="21"/>
      <c r="TNY1642" s="21"/>
      <c r="TNZ1642" s="21"/>
      <c r="TOA1642" s="21"/>
      <c r="TOB1642" s="21"/>
      <c r="TOC1642" s="21"/>
      <c r="TOD1642" s="21"/>
      <c r="TOE1642" s="21"/>
      <c r="TOF1642" s="21"/>
      <c r="TOG1642" s="21"/>
      <c r="TOH1642" s="21"/>
      <c r="TOI1642" s="21"/>
      <c r="TOJ1642" s="21"/>
      <c r="TOK1642" s="21"/>
      <c r="TOL1642" s="21"/>
      <c r="TOM1642" s="21"/>
      <c r="TON1642" s="21"/>
      <c r="TOO1642" s="21"/>
      <c r="TOP1642" s="21"/>
      <c r="TOQ1642" s="21"/>
      <c r="TOR1642" s="21"/>
      <c r="TOS1642" s="21"/>
      <c r="TOT1642" s="21"/>
      <c r="TOU1642" s="21"/>
      <c r="TOV1642" s="21"/>
      <c r="TOW1642" s="21"/>
      <c r="TOX1642" s="21"/>
      <c r="TOY1642" s="21"/>
      <c r="TOZ1642" s="21"/>
      <c r="TPA1642" s="21"/>
      <c r="TPB1642" s="21"/>
      <c r="TPC1642" s="21"/>
      <c r="TPD1642" s="21"/>
      <c r="TPE1642" s="21"/>
      <c r="TPF1642" s="21"/>
      <c r="TPG1642" s="21"/>
      <c r="TPH1642" s="21"/>
      <c r="TPI1642" s="21"/>
      <c r="TPJ1642" s="21"/>
      <c r="TPK1642" s="21"/>
      <c r="TPL1642" s="21"/>
      <c r="TPM1642" s="21"/>
      <c r="TPN1642" s="21"/>
      <c r="TPO1642" s="21"/>
      <c r="TPP1642" s="21"/>
      <c r="TPQ1642" s="21"/>
      <c r="TPR1642" s="21"/>
      <c r="TPS1642" s="21"/>
      <c r="TPT1642" s="21"/>
      <c r="TPU1642" s="21"/>
      <c r="TPV1642" s="21"/>
      <c r="TPW1642" s="21"/>
      <c r="TPX1642" s="21"/>
      <c r="TPY1642" s="21"/>
      <c r="TPZ1642" s="21"/>
      <c r="TQA1642" s="21"/>
      <c r="TQB1642" s="21"/>
      <c r="TQC1642" s="21"/>
      <c r="TQD1642" s="21"/>
      <c r="TQE1642" s="21"/>
      <c r="TQF1642" s="21"/>
      <c r="TQG1642" s="21"/>
      <c r="TQH1642" s="21"/>
      <c r="TQI1642" s="21"/>
      <c r="TQJ1642" s="21"/>
      <c r="TQK1642" s="21"/>
      <c r="TQL1642" s="21"/>
      <c r="TQM1642" s="21"/>
      <c r="TQN1642" s="21"/>
      <c r="TQO1642" s="21"/>
      <c r="TQP1642" s="21"/>
      <c r="TQQ1642" s="21"/>
      <c r="TQR1642" s="21"/>
      <c r="TQS1642" s="21"/>
      <c r="TQT1642" s="21"/>
      <c r="TQU1642" s="21"/>
      <c r="TQV1642" s="21"/>
      <c r="TQW1642" s="21"/>
      <c r="TQX1642" s="21"/>
      <c r="TQY1642" s="21"/>
      <c r="TQZ1642" s="21"/>
      <c r="TRA1642" s="21"/>
      <c r="TRB1642" s="21"/>
      <c r="TRC1642" s="21"/>
      <c r="TRD1642" s="21"/>
      <c r="TRE1642" s="21"/>
      <c r="TRF1642" s="21"/>
      <c r="TRG1642" s="21"/>
      <c r="TRH1642" s="21"/>
      <c r="TRI1642" s="21"/>
      <c r="TRJ1642" s="21"/>
      <c r="TRK1642" s="21"/>
      <c r="TRL1642" s="21"/>
      <c r="TRM1642" s="21"/>
      <c r="TRN1642" s="21"/>
      <c r="TRO1642" s="21"/>
      <c r="TRP1642" s="21"/>
      <c r="TRQ1642" s="21"/>
      <c r="TRR1642" s="21"/>
      <c r="TRS1642" s="21"/>
      <c r="TRT1642" s="21"/>
      <c r="TRU1642" s="21"/>
      <c r="TRV1642" s="21"/>
      <c r="TRW1642" s="21"/>
      <c r="TRX1642" s="21"/>
      <c r="TRY1642" s="21"/>
      <c r="TRZ1642" s="21"/>
      <c r="TSA1642" s="21"/>
      <c r="TSB1642" s="21"/>
      <c r="TSC1642" s="21"/>
      <c r="TSD1642" s="21"/>
      <c r="TSE1642" s="21"/>
      <c r="TSF1642" s="21"/>
      <c r="TSG1642" s="21"/>
      <c r="TSH1642" s="21"/>
      <c r="TSI1642" s="21"/>
      <c r="TSJ1642" s="21"/>
      <c r="TSK1642" s="21"/>
      <c r="TSL1642" s="21"/>
      <c r="TSM1642" s="21"/>
      <c r="TSN1642" s="21"/>
      <c r="TSO1642" s="21"/>
      <c r="TSP1642" s="21"/>
      <c r="TSQ1642" s="21"/>
      <c r="TSR1642" s="21"/>
      <c r="TSS1642" s="21"/>
      <c r="TST1642" s="21"/>
      <c r="TSU1642" s="21"/>
      <c r="TSV1642" s="21"/>
      <c r="TSW1642" s="21"/>
      <c r="TSX1642" s="21"/>
      <c r="TSY1642" s="21"/>
      <c r="TSZ1642" s="21"/>
      <c r="TTA1642" s="21"/>
      <c r="TTB1642" s="21"/>
      <c r="TTC1642" s="21"/>
      <c r="TTD1642" s="21"/>
      <c r="TTE1642" s="21"/>
      <c r="TTF1642" s="21"/>
      <c r="TTG1642" s="21"/>
      <c r="TTH1642" s="21"/>
      <c r="TTI1642" s="21"/>
      <c r="TTJ1642" s="21"/>
      <c r="TTK1642" s="21"/>
      <c r="TTL1642" s="21"/>
      <c r="TTM1642" s="21"/>
      <c r="TTN1642" s="21"/>
      <c r="TTO1642" s="21"/>
      <c r="TTP1642" s="21"/>
      <c r="TTQ1642" s="21"/>
      <c r="TTR1642" s="21"/>
      <c r="TTS1642" s="21"/>
      <c r="TTT1642" s="21"/>
      <c r="TTU1642" s="21"/>
      <c r="TTV1642" s="21"/>
      <c r="TTW1642" s="21"/>
      <c r="TTX1642" s="21"/>
      <c r="TTY1642" s="21"/>
      <c r="TTZ1642" s="21"/>
      <c r="TUA1642" s="21"/>
      <c r="TUB1642" s="21"/>
      <c r="TUC1642" s="21"/>
      <c r="TUD1642" s="21"/>
      <c r="TUE1642" s="21"/>
      <c r="TUF1642" s="21"/>
      <c r="TUG1642" s="21"/>
      <c r="TUH1642" s="21"/>
      <c r="TUI1642" s="21"/>
      <c r="TUJ1642" s="21"/>
      <c r="TUK1642" s="21"/>
      <c r="TUL1642" s="21"/>
      <c r="TUM1642" s="21"/>
      <c r="TUN1642" s="21"/>
      <c r="TUO1642" s="21"/>
      <c r="TUP1642" s="21"/>
      <c r="TUQ1642" s="21"/>
      <c r="TUR1642" s="21"/>
      <c r="TUS1642" s="21"/>
      <c r="TUT1642" s="21"/>
      <c r="TUU1642" s="21"/>
      <c r="TUV1642" s="21"/>
      <c r="TUW1642" s="21"/>
      <c r="TUX1642" s="21"/>
      <c r="TUY1642" s="21"/>
      <c r="TUZ1642" s="21"/>
      <c r="TVA1642" s="21"/>
      <c r="TVB1642" s="21"/>
      <c r="TVC1642" s="21"/>
      <c r="TVD1642" s="21"/>
      <c r="TVE1642" s="21"/>
      <c r="TVF1642" s="21"/>
      <c r="TVG1642" s="21"/>
      <c r="TVH1642" s="21"/>
      <c r="TVI1642" s="21"/>
      <c r="TVJ1642" s="21"/>
      <c r="TVK1642" s="21"/>
      <c r="TVL1642" s="21"/>
      <c r="TVM1642" s="21"/>
      <c r="TVN1642" s="21"/>
      <c r="TVO1642" s="21"/>
      <c r="TVP1642" s="21"/>
      <c r="TVQ1642" s="21"/>
      <c r="TVR1642" s="21"/>
      <c r="TVS1642" s="21"/>
      <c r="TVT1642" s="21"/>
      <c r="TVU1642" s="21"/>
      <c r="TVV1642" s="21"/>
      <c r="TVW1642" s="21"/>
      <c r="TVX1642" s="21"/>
      <c r="TVY1642" s="21"/>
      <c r="TVZ1642" s="21"/>
      <c r="TWA1642" s="21"/>
      <c r="TWB1642" s="21"/>
      <c r="TWC1642" s="21"/>
      <c r="TWD1642" s="21"/>
      <c r="TWE1642" s="21"/>
      <c r="TWF1642" s="21"/>
      <c r="TWG1642" s="21"/>
      <c r="TWH1642" s="21"/>
      <c r="TWI1642" s="21"/>
      <c r="TWJ1642" s="21"/>
      <c r="TWK1642" s="21"/>
      <c r="TWL1642" s="21"/>
      <c r="TWM1642" s="21"/>
      <c r="TWN1642" s="21"/>
      <c r="TWO1642" s="21"/>
      <c r="TWP1642" s="21"/>
      <c r="TWQ1642" s="21"/>
      <c r="TWR1642" s="21"/>
      <c r="TWS1642" s="21"/>
      <c r="TWT1642" s="21"/>
      <c r="TWU1642" s="21"/>
      <c r="TWV1642" s="21"/>
      <c r="TWW1642" s="21"/>
      <c r="TWX1642" s="21"/>
      <c r="TWY1642" s="21"/>
      <c r="TWZ1642" s="21"/>
      <c r="TXA1642" s="21"/>
      <c r="TXB1642" s="21"/>
      <c r="TXC1642" s="21"/>
      <c r="TXD1642" s="21"/>
      <c r="TXE1642" s="21"/>
      <c r="TXF1642" s="21"/>
      <c r="TXG1642" s="21"/>
      <c r="TXH1642" s="21"/>
      <c r="TXI1642" s="21"/>
      <c r="TXJ1642" s="21"/>
      <c r="TXK1642" s="21"/>
      <c r="TXL1642" s="21"/>
      <c r="TXM1642" s="21"/>
      <c r="TXN1642" s="21"/>
      <c r="TXO1642" s="21"/>
      <c r="TXP1642" s="21"/>
      <c r="TXQ1642" s="21"/>
      <c r="TXR1642" s="21"/>
      <c r="TXS1642" s="21"/>
      <c r="TXT1642" s="21"/>
      <c r="TXU1642" s="21"/>
      <c r="TXV1642" s="21"/>
      <c r="TXW1642" s="21"/>
      <c r="TXX1642" s="21"/>
      <c r="TXY1642" s="21"/>
      <c r="TXZ1642" s="21"/>
      <c r="TYA1642" s="21"/>
      <c r="TYB1642" s="21"/>
      <c r="TYC1642" s="21"/>
      <c r="TYD1642" s="21"/>
      <c r="TYE1642" s="21"/>
      <c r="TYF1642" s="21"/>
      <c r="TYG1642" s="21"/>
      <c r="TYH1642" s="21"/>
      <c r="TYI1642" s="21"/>
      <c r="TYJ1642" s="21"/>
      <c r="TYK1642" s="21"/>
      <c r="TYL1642" s="21"/>
      <c r="TYM1642" s="21"/>
      <c r="TYN1642" s="21"/>
      <c r="TYO1642" s="21"/>
      <c r="TYP1642" s="21"/>
      <c r="TYQ1642" s="21"/>
      <c r="TYR1642" s="21"/>
      <c r="TYS1642" s="21"/>
      <c r="TYT1642" s="21"/>
      <c r="TYU1642" s="21"/>
      <c r="TYV1642" s="21"/>
      <c r="TYW1642" s="21"/>
      <c r="TYX1642" s="21"/>
      <c r="TYY1642" s="21"/>
      <c r="TYZ1642" s="21"/>
      <c r="TZA1642" s="21"/>
      <c r="TZB1642" s="21"/>
      <c r="TZC1642" s="21"/>
      <c r="TZD1642" s="21"/>
      <c r="TZE1642" s="21"/>
      <c r="TZF1642" s="21"/>
      <c r="TZG1642" s="21"/>
      <c r="TZH1642" s="21"/>
      <c r="TZI1642" s="21"/>
      <c r="TZJ1642" s="21"/>
      <c r="TZK1642" s="21"/>
      <c r="TZL1642" s="21"/>
      <c r="TZM1642" s="21"/>
      <c r="TZN1642" s="21"/>
      <c r="TZO1642" s="21"/>
      <c r="TZP1642" s="21"/>
      <c r="TZQ1642" s="21"/>
      <c r="TZR1642" s="21"/>
      <c r="TZS1642" s="21"/>
      <c r="TZT1642" s="21"/>
      <c r="TZU1642" s="21"/>
      <c r="TZV1642" s="21"/>
      <c r="TZW1642" s="21"/>
      <c r="TZX1642" s="21"/>
      <c r="TZY1642" s="21"/>
      <c r="TZZ1642" s="21"/>
      <c r="UAA1642" s="21"/>
      <c r="UAB1642" s="21"/>
      <c r="UAC1642" s="21"/>
      <c r="UAD1642" s="21"/>
      <c r="UAE1642" s="21"/>
      <c r="UAF1642" s="21"/>
      <c r="UAG1642" s="21"/>
      <c r="UAH1642" s="21"/>
      <c r="UAI1642" s="21"/>
      <c r="UAJ1642" s="21"/>
      <c r="UAK1642" s="21"/>
      <c r="UAL1642" s="21"/>
      <c r="UAM1642" s="21"/>
      <c r="UAN1642" s="21"/>
      <c r="UAO1642" s="21"/>
      <c r="UAP1642" s="21"/>
      <c r="UAQ1642" s="21"/>
      <c r="UAR1642" s="21"/>
      <c r="UAS1642" s="21"/>
      <c r="UAT1642" s="21"/>
      <c r="UAU1642" s="21"/>
      <c r="UAV1642" s="21"/>
      <c r="UAW1642" s="21"/>
      <c r="UAX1642" s="21"/>
      <c r="UAY1642" s="21"/>
      <c r="UAZ1642" s="21"/>
      <c r="UBA1642" s="21"/>
      <c r="UBB1642" s="21"/>
      <c r="UBC1642" s="21"/>
      <c r="UBD1642" s="21"/>
      <c r="UBE1642" s="21"/>
      <c r="UBF1642" s="21"/>
      <c r="UBG1642" s="21"/>
      <c r="UBH1642" s="21"/>
      <c r="UBI1642" s="21"/>
      <c r="UBJ1642" s="21"/>
      <c r="UBK1642" s="21"/>
      <c r="UBL1642" s="21"/>
      <c r="UBM1642" s="21"/>
      <c r="UBN1642" s="21"/>
      <c r="UBO1642" s="21"/>
      <c r="UBP1642" s="21"/>
      <c r="UBQ1642" s="21"/>
      <c r="UBR1642" s="21"/>
      <c r="UBS1642" s="21"/>
      <c r="UBT1642" s="21"/>
      <c r="UBU1642" s="21"/>
      <c r="UBV1642" s="21"/>
      <c r="UBW1642" s="21"/>
      <c r="UBX1642" s="21"/>
      <c r="UBY1642" s="21"/>
      <c r="UBZ1642" s="21"/>
      <c r="UCA1642" s="21"/>
      <c r="UCB1642" s="21"/>
      <c r="UCC1642" s="21"/>
      <c r="UCD1642" s="21"/>
      <c r="UCE1642" s="21"/>
      <c r="UCF1642" s="21"/>
      <c r="UCG1642" s="21"/>
      <c r="UCH1642" s="21"/>
      <c r="UCI1642" s="21"/>
      <c r="UCJ1642" s="21"/>
      <c r="UCK1642" s="21"/>
      <c r="UCL1642" s="21"/>
      <c r="UCM1642" s="21"/>
      <c r="UCN1642" s="21"/>
      <c r="UCO1642" s="21"/>
      <c r="UCP1642" s="21"/>
      <c r="UCQ1642" s="21"/>
      <c r="UCR1642" s="21"/>
      <c r="UCS1642" s="21"/>
      <c r="UCT1642" s="21"/>
      <c r="UCU1642" s="21"/>
      <c r="UCV1642" s="21"/>
      <c r="UCW1642" s="21"/>
      <c r="UCX1642" s="21"/>
      <c r="UCY1642" s="21"/>
      <c r="UCZ1642" s="21"/>
      <c r="UDA1642" s="21"/>
      <c r="UDB1642" s="21"/>
      <c r="UDC1642" s="21"/>
      <c r="UDD1642" s="21"/>
      <c r="UDE1642" s="21"/>
      <c r="UDF1642" s="21"/>
      <c r="UDG1642" s="21"/>
      <c r="UDH1642" s="21"/>
      <c r="UDI1642" s="21"/>
      <c r="UDJ1642" s="21"/>
      <c r="UDK1642" s="21"/>
      <c r="UDL1642" s="21"/>
      <c r="UDM1642" s="21"/>
      <c r="UDN1642" s="21"/>
      <c r="UDO1642" s="21"/>
      <c r="UDP1642" s="21"/>
      <c r="UDQ1642" s="21"/>
      <c r="UDR1642" s="21"/>
      <c r="UDS1642" s="21"/>
      <c r="UDT1642" s="21"/>
      <c r="UDU1642" s="21"/>
      <c r="UDV1642" s="21"/>
      <c r="UDW1642" s="21"/>
      <c r="UDX1642" s="21"/>
      <c r="UDY1642" s="21"/>
      <c r="UDZ1642" s="21"/>
      <c r="UEA1642" s="21"/>
      <c r="UEB1642" s="21"/>
      <c r="UEC1642" s="21"/>
      <c r="UED1642" s="21"/>
      <c r="UEE1642" s="21"/>
      <c r="UEF1642" s="21"/>
      <c r="UEG1642" s="21"/>
      <c r="UEH1642" s="21"/>
      <c r="UEI1642" s="21"/>
      <c r="UEJ1642" s="21"/>
      <c r="UEK1642" s="21"/>
      <c r="UEL1642" s="21"/>
      <c r="UEM1642" s="21"/>
      <c r="UEN1642" s="21"/>
      <c r="UEO1642" s="21"/>
      <c r="UEP1642" s="21"/>
      <c r="UEQ1642" s="21"/>
      <c r="UER1642" s="21"/>
      <c r="UES1642" s="21"/>
      <c r="UET1642" s="21"/>
      <c r="UEU1642" s="21"/>
      <c r="UEV1642" s="21"/>
      <c r="UEW1642" s="21"/>
      <c r="UEX1642" s="21"/>
      <c r="UEY1642" s="21"/>
      <c r="UEZ1642" s="21"/>
      <c r="UFA1642" s="21"/>
      <c r="UFB1642" s="21"/>
      <c r="UFC1642" s="21"/>
      <c r="UFD1642" s="21"/>
      <c r="UFE1642" s="21"/>
      <c r="UFF1642" s="21"/>
      <c r="UFG1642" s="21"/>
      <c r="UFH1642" s="21"/>
      <c r="UFI1642" s="21"/>
      <c r="UFJ1642" s="21"/>
      <c r="UFK1642" s="21"/>
      <c r="UFL1642" s="21"/>
      <c r="UFM1642" s="21"/>
      <c r="UFN1642" s="21"/>
      <c r="UFO1642" s="21"/>
      <c r="UFP1642" s="21"/>
      <c r="UFQ1642" s="21"/>
      <c r="UFR1642" s="21"/>
      <c r="UFS1642" s="21"/>
      <c r="UFT1642" s="21"/>
      <c r="UFU1642" s="21"/>
      <c r="UFV1642" s="21"/>
      <c r="UFW1642" s="21"/>
      <c r="UFX1642" s="21"/>
      <c r="UFY1642" s="21"/>
      <c r="UFZ1642" s="21"/>
      <c r="UGA1642" s="21"/>
      <c r="UGB1642" s="21"/>
      <c r="UGC1642" s="21"/>
      <c r="UGD1642" s="21"/>
      <c r="UGE1642" s="21"/>
      <c r="UGF1642" s="21"/>
      <c r="UGG1642" s="21"/>
      <c r="UGH1642" s="21"/>
      <c r="UGI1642" s="21"/>
      <c r="UGJ1642" s="21"/>
      <c r="UGK1642" s="21"/>
      <c r="UGL1642" s="21"/>
      <c r="UGM1642" s="21"/>
      <c r="UGN1642" s="21"/>
      <c r="UGO1642" s="21"/>
      <c r="UGP1642" s="21"/>
      <c r="UGQ1642" s="21"/>
      <c r="UGR1642" s="21"/>
      <c r="UGS1642" s="21"/>
      <c r="UGT1642" s="21"/>
      <c r="UGU1642" s="21"/>
      <c r="UGV1642" s="21"/>
      <c r="UGW1642" s="21"/>
      <c r="UGX1642" s="21"/>
      <c r="UGY1642" s="21"/>
      <c r="UGZ1642" s="21"/>
      <c r="UHA1642" s="21"/>
      <c r="UHB1642" s="21"/>
      <c r="UHC1642" s="21"/>
      <c r="UHD1642" s="21"/>
      <c r="UHE1642" s="21"/>
      <c r="UHF1642" s="21"/>
      <c r="UHG1642" s="21"/>
      <c r="UHH1642" s="21"/>
      <c r="UHI1642" s="21"/>
      <c r="UHJ1642" s="21"/>
      <c r="UHK1642" s="21"/>
      <c r="UHL1642" s="21"/>
      <c r="UHM1642" s="21"/>
      <c r="UHN1642" s="21"/>
      <c r="UHO1642" s="21"/>
      <c r="UHP1642" s="21"/>
      <c r="UHQ1642" s="21"/>
      <c r="UHR1642" s="21"/>
      <c r="UHS1642" s="21"/>
      <c r="UHT1642" s="21"/>
      <c r="UHU1642" s="21"/>
      <c r="UHV1642" s="21"/>
      <c r="UHW1642" s="21"/>
      <c r="UHX1642" s="21"/>
      <c r="UHY1642" s="21"/>
      <c r="UHZ1642" s="21"/>
      <c r="UIA1642" s="21"/>
      <c r="UIB1642" s="21"/>
      <c r="UIC1642" s="21"/>
      <c r="UID1642" s="21"/>
      <c r="UIE1642" s="21"/>
      <c r="UIF1642" s="21"/>
      <c r="UIG1642" s="21"/>
      <c r="UIH1642" s="21"/>
      <c r="UII1642" s="21"/>
      <c r="UIJ1642" s="21"/>
      <c r="UIK1642" s="21"/>
      <c r="UIL1642" s="21"/>
      <c r="UIM1642" s="21"/>
      <c r="UIN1642" s="21"/>
      <c r="UIO1642" s="21"/>
      <c r="UIP1642" s="21"/>
      <c r="UIQ1642" s="21"/>
      <c r="UIR1642" s="21"/>
      <c r="UIS1642" s="21"/>
      <c r="UIT1642" s="21"/>
      <c r="UIU1642" s="21"/>
      <c r="UIV1642" s="21"/>
      <c r="UIW1642" s="21"/>
      <c r="UIX1642" s="21"/>
      <c r="UIY1642" s="21"/>
      <c r="UIZ1642" s="21"/>
      <c r="UJA1642" s="21"/>
      <c r="UJB1642" s="21"/>
      <c r="UJC1642" s="21"/>
      <c r="UJD1642" s="21"/>
      <c r="UJE1642" s="21"/>
      <c r="UJF1642" s="21"/>
      <c r="UJG1642" s="21"/>
      <c r="UJH1642" s="21"/>
      <c r="UJI1642" s="21"/>
      <c r="UJJ1642" s="21"/>
      <c r="UJK1642" s="21"/>
      <c r="UJL1642" s="21"/>
      <c r="UJM1642" s="21"/>
      <c r="UJN1642" s="21"/>
      <c r="UJO1642" s="21"/>
      <c r="UJP1642" s="21"/>
      <c r="UJQ1642" s="21"/>
      <c r="UJR1642" s="21"/>
      <c r="UJS1642" s="21"/>
      <c r="UJT1642" s="21"/>
      <c r="UJU1642" s="21"/>
      <c r="UJV1642" s="21"/>
      <c r="UJW1642" s="21"/>
      <c r="UJX1642" s="21"/>
      <c r="UJY1642" s="21"/>
      <c r="UJZ1642" s="21"/>
      <c r="UKA1642" s="21"/>
      <c r="UKB1642" s="21"/>
      <c r="UKC1642" s="21"/>
      <c r="UKD1642" s="21"/>
      <c r="UKE1642" s="21"/>
      <c r="UKF1642" s="21"/>
      <c r="UKG1642" s="21"/>
      <c r="UKH1642" s="21"/>
      <c r="UKI1642" s="21"/>
      <c r="UKJ1642" s="21"/>
      <c r="UKK1642" s="21"/>
      <c r="UKL1642" s="21"/>
      <c r="UKM1642" s="21"/>
      <c r="UKN1642" s="21"/>
      <c r="UKO1642" s="21"/>
      <c r="UKP1642" s="21"/>
      <c r="UKQ1642" s="21"/>
      <c r="UKR1642" s="21"/>
      <c r="UKS1642" s="21"/>
      <c r="UKT1642" s="21"/>
      <c r="UKU1642" s="21"/>
      <c r="UKV1642" s="21"/>
      <c r="UKW1642" s="21"/>
      <c r="UKX1642" s="21"/>
      <c r="UKY1642" s="21"/>
      <c r="UKZ1642" s="21"/>
      <c r="ULA1642" s="21"/>
      <c r="ULB1642" s="21"/>
      <c r="ULC1642" s="21"/>
      <c r="ULD1642" s="21"/>
      <c r="ULE1642" s="21"/>
      <c r="ULF1642" s="21"/>
      <c r="ULG1642" s="21"/>
      <c r="ULH1642" s="21"/>
      <c r="ULI1642" s="21"/>
      <c r="ULJ1642" s="21"/>
      <c r="ULK1642" s="21"/>
      <c r="ULL1642" s="21"/>
      <c r="ULM1642" s="21"/>
      <c r="ULN1642" s="21"/>
      <c r="ULO1642" s="21"/>
      <c r="ULP1642" s="21"/>
      <c r="ULQ1642" s="21"/>
      <c r="ULR1642" s="21"/>
      <c r="ULS1642" s="21"/>
      <c r="ULT1642" s="21"/>
      <c r="ULU1642" s="21"/>
      <c r="ULV1642" s="21"/>
      <c r="ULW1642" s="21"/>
      <c r="ULX1642" s="21"/>
      <c r="ULY1642" s="21"/>
      <c r="ULZ1642" s="21"/>
      <c r="UMA1642" s="21"/>
      <c r="UMB1642" s="21"/>
      <c r="UMC1642" s="21"/>
      <c r="UMD1642" s="21"/>
      <c r="UME1642" s="21"/>
      <c r="UMF1642" s="21"/>
      <c r="UMG1642" s="21"/>
      <c r="UMH1642" s="21"/>
      <c r="UMI1642" s="21"/>
      <c r="UMJ1642" s="21"/>
      <c r="UMK1642" s="21"/>
      <c r="UML1642" s="21"/>
      <c r="UMM1642" s="21"/>
      <c r="UMN1642" s="21"/>
      <c r="UMO1642" s="21"/>
      <c r="UMP1642" s="21"/>
      <c r="UMQ1642" s="21"/>
      <c r="UMR1642" s="21"/>
      <c r="UMS1642" s="21"/>
      <c r="UMT1642" s="21"/>
      <c r="UMU1642" s="21"/>
      <c r="UMV1642" s="21"/>
      <c r="UMW1642" s="21"/>
      <c r="UMX1642" s="21"/>
      <c r="UMY1642" s="21"/>
      <c r="UMZ1642" s="21"/>
      <c r="UNA1642" s="21"/>
      <c r="UNB1642" s="21"/>
      <c r="UNC1642" s="21"/>
      <c r="UND1642" s="21"/>
      <c r="UNE1642" s="21"/>
      <c r="UNF1642" s="21"/>
      <c r="UNG1642" s="21"/>
      <c r="UNH1642" s="21"/>
      <c r="UNI1642" s="21"/>
      <c r="UNJ1642" s="21"/>
      <c r="UNK1642" s="21"/>
      <c r="UNL1642" s="21"/>
      <c r="UNM1642" s="21"/>
      <c r="UNN1642" s="21"/>
      <c r="UNO1642" s="21"/>
      <c r="UNP1642" s="21"/>
      <c r="UNQ1642" s="21"/>
      <c r="UNR1642" s="21"/>
      <c r="UNS1642" s="21"/>
      <c r="UNT1642" s="21"/>
      <c r="UNU1642" s="21"/>
      <c r="UNV1642" s="21"/>
      <c r="UNW1642" s="21"/>
      <c r="UNX1642" s="21"/>
      <c r="UNY1642" s="21"/>
      <c r="UNZ1642" s="21"/>
      <c r="UOA1642" s="21"/>
      <c r="UOB1642" s="21"/>
      <c r="UOC1642" s="21"/>
      <c r="UOD1642" s="21"/>
      <c r="UOE1642" s="21"/>
      <c r="UOF1642" s="21"/>
      <c r="UOG1642" s="21"/>
      <c r="UOH1642" s="21"/>
      <c r="UOI1642" s="21"/>
      <c r="UOJ1642" s="21"/>
      <c r="UOK1642" s="21"/>
      <c r="UOL1642" s="21"/>
      <c r="UOM1642" s="21"/>
      <c r="UON1642" s="21"/>
      <c r="UOO1642" s="21"/>
      <c r="UOP1642" s="21"/>
      <c r="UOQ1642" s="21"/>
      <c r="UOR1642" s="21"/>
      <c r="UOS1642" s="21"/>
      <c r="UOT1642" s="21"/>
      <c r="UOU1642" s="21"/>
      <c r="UOV1642" s="21"/>
      <c r="UOW1642" s="21"/>
      <c r="UOX1642" s="21"/>
      <c r="UOY1642" s="21"/>
      <c r="UOZ1642" s="21"/>
      <c r="UPA1642" s="21"/>
      <c r="UPB1642" s="21"/>
      <c r="UPC1642" s="21"/>
      <c r="UPD1642" s="21"/>
      <c r="UPE1642" s="21"/>
      <c r="UPF1642" s="21"/>
      <c r="UPG1642" s="21"/>
      <c r="UPH1642" s="21"/>
      <c r="UPI1642" s="21"/>
      <c r="UPJ1642" s="21"/>
      <c r="UPK1642" s="21"/>
      <c r="UPL1642" s="21"/>
      <c r="UPM1642" s="21"/>
      <c r="UPN1642" s="21"/>
      <c r="UPO1642" s="21"/>
      <c r="UPP1642" s="21"/>
      <c r="UPQ1642" s="21"/>
      <c r="UPR1642" s="21"/>
      <c r="UPS1642" s="21"/>
      <c r="UPT1642" s="21"/>
      <c r="UPU1642" s="21"/>
      <c r="UPV1642" s="21"/>
      <c r="UPW1642" s="21"/>
      <c r="UPX1642" s="21"/>
      <c r="UPY1642" s="21"/>
      <c r="UPZ1642" s="21"/>
      <c r="UQA1642" s="21"/>
      <c r="UQB1642" s="21"/>
      <c r="UQC1642" s="21"/>
      <c r="UQD1642" s="21"/>
      <c r="UQE1642" s="21"/>
      <c r="UQF1642" s="21"/>
      <c r="UQG1642" s="21"/>
      <c r="UQH1642" s="21"/>
      <c r="UQI1642" s="21"/>
      <c r="UQJ1642" s="21"/>
      <c r="UQK1642" s="21"/>
      <c r="UQL1642" s="21"/>
      <c r="UQM1642" s="21"/>
      <c r="UQN1642" s="21"/>
      <c r="UQO1642" s="21"/>
      <c r="UQP1642" s="21"/>
      <c r="UQQ1642" s="21"/>
      <c r="UQR1642" s="21"/>
      <c r="UQS1642" s="21"/>
      <c r="UQT1642" s="21"/>
      <c r="UQU1642" s="21"/>
      <c r="UQV1642" s="21"/>
      <c r="UQW1642" s="21"/>
      <c r="UQX1642" s="21"/>
      <c r="UQY1642" s="21"/>
      <c r="UQZ1642" s="21"/>
      <c r="URA1642" s="21"/>
      <c r="URB1642" s="21"/>
      <c r="URC1642" s="21"/>
      <c r="URD1642" s="21"/>
      <c r="URE1642" s="21"/>
      <c r="URF1642" s="21"/>
      <c r="URG1642" s="21"/>
      <c r="URH1642" s="21"/>
      <c r="URI1642" s="21"/>
      <c r="URJ1642" s="21"/>
      <c r="URK1642" s="21"/>
      <c r="URL1642" s="21"/>
      <c r="URM1642" s="21"/>
      <c r="URN1642" s="21"/>
      <c r="URO1642" s="21"/>
      <c r="URP1642" s="21"/>
      <c r="URQ1642" s="21"/>
      <c r="URR1642" s="21"/>
      <c r="URS1642" s="21"/>
      <c r="URT1642" s="21"/>
      <c r="URU1642" s="21"/>
      <c r="URV1642" s="21"/>
      <c r="URW1642" s="21"/>
      <c r="URX1642" s="21"/>
      <c r="URY1642" s="21"/>
      <c r="URZ1642" s="21"/>
      <c r="USA1642" s="21"/>
      <c r="USB1642" s="21"/>
      <c r="USC1642" s="21"/>
      <c r="USD1642" s="21"/>
      <c r="USE1642" s="21"/>
      <c r="USF1642" s="21"/>
      <c r="USG1642" s="21"/>
      <c r="USH1642" s="21"/>
      <c r="USI1642" s="21"/>
      <c r="USJ1642" s="21"/>
      <c r="USK1642" s="21"/>
      <c r="USL1642" s="21"/>
      <c r="USM1642" s="21"/>
      <c r="USN1642" s="21"/>
      <c r="USO1642" s="21"/>
      <c r="USP1642" s="21"/>
      <c r="USQ1642" s="21"/>
      <c r="USR1642" s="21"/>
      <c r="USS1642" s="21"/>
      <c r="UST1642" s="21"/>
      <c r="USU1642" s="21"/>
      <c r="USV1642" s="21"/>
      <c r="USW1642" s="21"/>
      <c r="USX1642" s="21"/>
      <c r="USY1642" s="21"/>
      <c r="USZ1642" s="21"/>
      <c r="UTA1642" s="21"/>
      <c r="UTB1642" s="21"/>
      <c r="UTC1642" s="21"/>
      <c r="UTD1642" s="21"/>
      <c r="UTE1642" s="21"/>
      <c r="UTF1642" s="21"/>
      <c r="UTG1642" s="21"/>
      <c r="UTH1642" s="21"/>
      <c r="UTI1642" s="21"/>
      <c r="UTJ1642" s="21"/>
      <c r="UTK1642" s="21"/>
      <c r="UTL1642" s="21"/>
      <c r="UTM1642" s="21"/>
      <c r="UTN1642" s="21"/>
      <c r="UTO1642" s="21"/>
      <c r="UTP1642" s="21"/>
      <c r="UTQ1642" s="21"/>
      <c r="UTR1642" s="21"/>
      <c r="UTS1642" s="21"/>
      <c r="UTT1642" s="21"/>
      <c r="UTU1642" s="21"/>
      <c r="UTV1642" s="21"/>
      <c r="UTW1642" s="21"/>
      <c r="UTX1642" s="21"/>
      <c r="UTY1642" s="21"/>
      <c r="UTZ1642" s="21"/>
      <c r="UUA1642" s="21"/>
      <c r="UUB1642" s="21"/>
      <c r="UUC1642" s="21"/>
      <c r="UUD1642" s="21"/>
      <c r="UUE1642" s="21"/>
      <c r="UUF1642" s="21"/>
      <c r="UUG1642" s="21"/>
      <c r="UUH1642" s="21"/>
      <c r="UUI1642" s="21"/>
      <c r="UUJ1642" s="21"/>
      <c r="UUK1642" s="21"/>
      <c r="UUL1642" s="21"/>
      <c r="UUM1642" s="21"/>
      <c r="UUN1642" s="21"/>
      <c r="UUO1642" s="21"/>
      <c r="UUP1642" s="21"/>
      <c r="UUQ1642" s="21"/>
      <c r="UUR1642" s="21"/>
      <c r="UUS1642" s="21"/>
      <c r="UUT1642" s="21"/>
      <c r="UUU1642" s="21"/>
      <c r="UUV1642" s="21"/>
      <c r="UUW1642" s="21"/>
      <c r="UUX1642" s="21"/>
      <c r="UUY1642" s="21"/>
      <c r="UUZ1642" s="21"/>
      <c r="UVA1642" s="21"/>
      <c r="UVB1642" s="21"/>
      <c r="UVC1642" s="21"/>
      <c r="UVD1642" s="21"/>
      <c r="UVE1642" s="21"/>
      <c r="UVF1642" s="21"/>
      <c r="UVG1642" s="21"/>
      <c r="UVH1642" s="21"/>
      <c r="UVI1642" s="21"/>
      <c r="UVJ1642" s="21"/>
      <c r="UVK1642" s="21"/>
      <c r="UVL1642" s="21"/>
      <c r="UVM1642" s="21"/>
      <c r="UVN1642" s="21"/>
      <c r="UVO1642" s="21"/>
      <c r="UVP1642" s="21"/>
      <c r="UVQ1642" s="21"/>
      <c r="UVR1642" s="21"/>
      <c r="UVS1642" s="21"/>
      <c r="UVT1642" s="21"/>
      <c r="UVU1642" s="21"/>
      <c r="UVV1642" s="21"/>
      <c r="UVW1642" s="21"/>
      <c r="UVX1642" s="21"/>
      <c r="UVY1642" s="21"/>
      <c r="UVZ1642" s="21"/>
      <c r="UWA1642" s="21"/>
      <c r="UWB1642" s="21"/>
      <c r="UWC1642" s="21"/>
      <c r="UWD1642" s="21"/>
      <c r="UWE1642" s="21"/>
      <c r="UWF1642" s="21"/>
      <c r="UWG1642" s="21"/>
      <c r="UWH1642" s="21"/>
      <c r="UWI1642" s="21"/>
      <c r="UWJ1642" s="21"/>
      <c r="UWK1642" s="21"/>
      <c r="UWL1642" s="21"/>
      <c r="UWM1642" s="21"/>
      <c r="UWN1642" s="21"/>
      <c r="UWO1642" s="21"/>
      <c r="UWP1642" s="21"/>
      <c r="UWQ1642" s="21"/>
      <c r="UWR1642" s="21"/>
      <c r="UWS1642" s="21"/>
      <c r="UWT1642" s="21"/>
      <c r="UWU1642" s="21"/>
      <c r="UWV1642" s="21"/>
      <c r="UWW1642" s="21"/>
      <c r="UWX1642" s="21"/>
      <c r="UWY1642" s="21"/>
      <c r="UWZ1642" s="21"/>
      <c r="UXA1642" s="21"/>
      <c r="UXB1642" s="21"/>
      <c r="UXC1642" s="21"/>
      <c r="UXD1642" s="21"/>
      <c r="UXE1642" s="21"/>
      <c r="UXF1642" s="21"/>
      <c r="UXG1642" s="21"/>
      <c r="UXH1642" s="21"/>
      <c r="UXI1642" s="21"/>
      <c r="UXJ1642" s="21"/>
      <c r="UXK1642" s="21"/>
      <c r="UXL1642" s="21"/>
      <c r="UXM1642" s="21"/>
      <c r="UXN1642" s="21"/>
      <c r="UXO1642" s="21"/>
      <c r="UXP1642" s="21"/>
      <c r="UXQ1642" s="21"/>
      <c r="UXR1642" s="21"/>
      <c r="UXS1642" s="21"/>
      <c r="UXT1642" s="21"/>
      <c r="UXU1642" s="21"/>
      <c r="UXV1642" s="21"/>
      <c r="UXW1642" s="21"/>
      <c r="UXX1642" s="21"/>
      <c r="UXY1642" s="21"/>
      <c r="UXZ1642" s="21"/>
      <c r="UYA1642" s="21"/>
      <c r="UYB1642" s="21"/>
      <c r="UYC1642" s="21"/>
      <c r="UYD1642" s="21"/>
      <c r="UYE1642" s="21"/>
      <c r="UYF1642" s="21"/>
      <c r="UYG1642" s="21"/>
      <c r="UYH1642" s="21"/>
      <c r="UYI1642" s="21"/>
      <c r="UYJ1642" s="21"/>
      <c r="UYK1642" s="21"/>
      <c r="UYL1642" s="21"/>
      <c r="UYM1642" s="21"/>
      <c r="UYN1642" s="21"/>
      <c r="UYO1642" s="21"/>
      <c r="UYP1642" s="21"/>
      <c r="UYQ1642" s="21"/>
      <c r="UYR1642" s="21"/>
      <c r="UYS1642" s="21"/>
      <c r="UYT1642" s="21"/>
      <c r="UYU1642" s="21"/>
      <c r="UYV1642" s="21"/>
      <c r="UYW1642" s="21"/>
      <c r="UYX1642" s="21"/>
      <c r="UYY1642" s="21"/>
      <c r="UYZ1642" s="21"/>
      <c r="UZA1642" s="21"/>
      <c r="UZB1642" s="21"/>
      <c r="UZC1642" s="21"/>
      <c r="UZD1642" s="21"/>
      <c r="UZE1642" s="21"/>
      <c r="UZF1642" s="21"/>
      <c r="UZG1642" s="21"/>
      <c r="UZH1642" s="21"/>
      <c r="UZI1642" s="21"/>
      <c r="UZJ1642" s="21"/>
      <c r="UZK1642" s="21"/>
      <c r="UZL1642" s="21"/>
      <c r="UZM1642" s="21"/>
      <c r="UZN1642" s="21"/>
      <c r="UZO1642" s="21"/>
      <c r="UZP1642" s="21"/>
      <c r="UZQ1642" s="21"/>
      <c r="UZR1642" s="21"/>
      <c r="UZS1642" s="21"/>
      <c r="UZT1642" s="21"/>
      <c r="UZU1642" s="21"/>
      <c r="UZV1642" s="21"/>
      <c r="UZW1642" s="21"/>
      <c r="UZX1642" s="21"/>
      <c r="UZY1642" s="21"/>
      <c r="UZZ1642" s="21"/>
      <c r="VAA1642" s="21"/>
      <c r="VAB1642" s="21"/>
      <c r="VAC1642" s="21"/>
      <c r="VAD1642" s="21"/>
      <c r="VAE1642" s="21"/>
      <c r="VAF1642" s="21"/>
      <c r="VAG1642" s="21"/>
      <c r="VAH1642" s="21"/>
      <c r="VAI1642" s="21"/>
      <c r="VAJ1642" s="21"/>
      <c r="VAK1642" s="21"/>
      <c r="VAL1642" s="21"/>
      <c r="VAM1642" s="21"/>
      <c r="VAN1642" s="21"/>
      <c r="VAO1642" s="21"/>
      <c r="VAP1642" s="21"/>
      <c r="VAQ1642" s="21"/>
      <c r="VAR1642" s="21"/>
      <c r="VAS1642" s="21"/>
      <c r="VAT1642" s="21"/>
      <c r="VAU1642" s="21"/>
      <c r="VAV1642" s="21"/>
      <c r="VAW1642" s="21"/>
      <c r="VAX1642" s="21"/>
      <c r="VAY1642" s="21"/>
      <c r="VAZ1642" s="21"/>
      <c r="VBA1642" s="21"/>
      <c r="VBB1642" s="21"/>
      <c r="VBC1642" s="21"/>
      <c r="VBD1642" s="21"/>
      <c r="VBE1642" s="21"/>
      <c r="VBF1642" s="21"/>
      <c r="VBG1642" s="21"/>
      <c r="VBH1642" s="21"/>
      <c r="VBI1642" s="21"/>
      <c r="VBJ1642" s="21"/>
      <c r="VBK1642" s="21"/>
      <c r="VBL1642" s="21"/>
      <c r="VBM1642" s="21"/>
      <c r="VBN1642" s="21"/>
      <c r="VBO1642" s="21"/>
      <c r="VBP1642" s="21"/>
      <c r="VBQ1642" s="21"/>
      <c r="VBR1642" s="21"/>
      <c r="VBS1642" s="21"/>
      <c r="VBT1642" s="21"/>
      <c r="VBU1642" s="21"/>
      <c r="VBV1642" s="21"/>
      <c r="VBW1642" s="21"/>
      <c r="VBX1642" s="21"/>
      <c r="VBY1642" s="21"/>
      <c r="VBZ1642" s="21"/>
      <c r="VCA1642" s="21"/>
      <c r="VCB1642" s="21"/>
      <c r="VCC1642" s="21"/>
      <c r="VCD1642" s="21"/>
      <c r="VCE1642" s="21"/>
      <c r="VCF1642" s="21"/>
      <c r="VCG1642" s="21"/>
      <c r="VCH1642" s="21"/>
      <c r="VCI1642" s="21"/>
      <c r="VCJ1642" s="21"/>
      <c r="VCK1642" s="21"/>
      <c r="VCL1642" s="21"/>
      <c r="VCM1642" s="21"/>
      <c r="VCN1642" s="21"/>
      <c r="VCO1642" s="21"/>
      <c r="VCP1642" s="21"/>
      <c r="VCQ1642" s="21"/>
      <c r="VCR1642" s="21"/>
      <c r="VCS1642" s="21"/>
      <c r="VCT1642" s="21"/>
      <c r="VCU1642" s="21"/>
      <c r="VCV1642" s="21"/>
      <c r="VCW1642" s="21"/>
      <c r="VCX1642" s="21"/>
      <c r="VCY1642" s="21"/>
      <c r="VCZ1642" s="21"/>
      <c r="VDA1642" s="21"/>
      <c r="VDB1642" s="21"/>
      <c r="VDC1642" s="21"/>
      <c r="VDD1642" s="21"/>
      <c r="VDE1642" s="21"/>
      <c r="VDF1642" s="21"/>
      <c r="VDG1642" s="21"/>
      <c r="VDH1642" s="21"/>
      <c r="VDI1642" s="21"/>
      <c r="VDJ1642" s="21"/>
      <c r="VDK1642" s="21"/>
      <c r="VDL1642" s="21"/>
      <c r="VDM1642" s="21"/>
      <c r="VDN1642" s="21"/>
      <c r="VDO1642" s="21"/>
      <c r="VDP1642" s="21"/>
      <c r="VDQ1642" s="21"/>
      <c r="VDR1642" s="21"/>
      <c r="VDS1642" s="21"/>
      <c r="VDT1642" s="21"/>
      <c r="VDU1642" s="21"/>
      <c r="VDV1642" s="21"/>
      <c r="VDW1642" s="21"/>
      <c r="VDX1642" s="21"/>
      <c r="VDY1642" s="21"/>
      <c r="VDZ1642" s="21"/>
      <c r="VEA1642" s="21"/>
      <c r="VEB1642" s="21"/>
      <c r="VEC1642" s="21"/>
      <c r="VED1642" s="21"/>
      <c r="VEE1642" s="21"/>
      <c r="VEF1642" s="21"/>
      <c r="VEG1642" s="21"/>
      <c r="VEH1642" s="21"/>
      <c r="VEI1642" s="21"/>
      <c r="VEJ1642" s="21"/>
      <c r="VEK1642" s="21"/>
      <c r="VEL1642" s="21"/>
      <c r="VEM1642" s="21"/>
      <c r="VEN1642" s="21"/>
      <c r="VEO1642" s="21"/>
      <c r="VEP1642" s="21"/>
      <c r="VEQ1642" s="21"/>
      <c r="VER1642" s="21"/>
      <c r="VES1642" s="21"/>
      <c r="VET1642" s="21"/>
      <c r="VEU1642" s="21"/>
      <c r="VEV1642" s="21"/>
      <c r="VEW1642" s="21"/>
      <c r="VEX1642" s="21"/>
      <c r="VEY1642" s="21"/>
      <c r="VEZ1642" s="21"/>
      <c r="VFA1642" s="21"/>
      <c r="VFB1642" s="21"/>
      <c r="VFC1642" s="21"/>
      <c r="VFD1642" s="21"/>
      <c r="VFE1642" s="21"/>
      <c r="VFF1642" s="21"/>
      <c r="VFG1642" s="21"/>
      <c r="VFH1642" s="21"/>
      <c r="VFI1642" s="21"/>
      <c r="VFJ1642" s="21"/>
      <c r="VFK1642" s="21"/>
      <c r="VFL1642" s="21"/>
      <c r="VFM1642" s="21"/>
      <c r="VFN1642" s="21"/>
      <c r="VFO1642" s="21"/>
      <c r="VFP1642" s="21"/>
      <c r="VFQ1642" s="21"/>
      <c r="VFR1642" s="21"/>
      <c r="VFS1642" s="21"/>
      <c r="VFT1642" s="21"/>
      <c r="VFU1642" s="21"/>
      <c r="VFV1642" s="21"/>
      <c r="VFW1642" s="21"/>
      <c r="VFX1642" s="21"/>
      <c r="VFY1642" s="21"/>
      <c r="VFZ1642" s="21"/>
      <c r="VGA1642" s="21"/>
      <c r="VGB1642" s="21"/>
      <c r="VGC1642" s="21"/>
      <c r="VGD1642" s="21"/>
      <c r="VGE1642" s="21"/>
      <c r="VGF1642" s="21"/>
      <c r="VGG1642" s="21"/>
      <c r="VGH1642" s="21"/>
      <c r="VGI1642" s="21"/>
      <c r="VGJ1642" s="21"/>
      <c r="VGK1642" s="21"/>
      <c r="VGL1642" s="21"/>
      <c r="VGM1642" s="21"/>
      <c r="VGN1642" s="21"/>
      <c r="VGO1642" s="21"/>
      <c r="VGP1642" s="21"/>
      <c r="VGQ1642" s="21"/>
      <c r="VGR1642" s="21"/>
      <c r="VGS1642" s="21"/>
      <c r="VGT1642" s="21"/>
      <c r="VGU1642" s="21"/>
      <c r="VGV1642" s="21"/>
      <c r="VGW1642" s="21"/>
      <c r="VGX1642" s="21"/>
      <c r="VGY1642" s="21"/>
      <c r="VGZ1642" s="21"/>
      <c r="VHA1642" s="21"/>
      <c r="VHB1642" s="21"/>
      <c r="VHC1642" s="21"/>
      <c r="VHD1642" s="21"/>
      <c r="VHE1642" s="21"/>
      <c r="VHF1642" s="21"/>
      <c r="VHG1642" s="21"/>
      <c r="VHH1642" s="21"/>
      <c r="VHI1642" s="21"/>
      <c r="VHJ1642" s="21"/>
      <c r="VHK1642" s="21"/>
      <c r="VHL1642" s="21"/>
      <c r="VHM1642" s="21"/>
      <c r="VHN1642" s="21"/>
      <c r="VHO1642" s="21"/>
      <c r="VHP1642" s="21"/>
      <c r="VHQ1642" s="21"/>
      <c r="VHR1642" s="21"/>
      <c r="VHS1642" s="21"/>
      <c r="VHT1642" s="21"/>
      <c r="VHU1642" s="21"/>
      <c r="VHV1642" s="21"/>
      <c r="VHW1642" s="21"/>
      <c r="VHX1642" s="21"/>
      <c r="VHY1642" s="21"/>
      <c r="VHZ1642" s="21"/>
      <c r="VIA1642" s="21"/>
      <c r="VIB1642" s="21"/>
      <c r="VIC1642" s="21"/>
      <c r="VID1642" s="21"/>
      <c r="VIE1642" s="21"/>
      <c r="VIF1642" s="21"/>
      <c r="VIG1642" s="21"/>
      <c r="VIH1642" s="21"/>
      <c r="VII1642" s="21"/>
      <c r="VIJ1642" s="21"/>
      <c r="VIK1642" s="21"/>
      <c r="VIL1642" s="21"/>
      <c r="VIM1642" s="21"/>
      <c r="VIN1642" s="21"/>
      <c r="VIO1642" s="21"/>
      <c r="VIP1642" s="21"/>
      <c r="VIQ1642" s="21"/>
      <c r="VIR1642" s="21"/>
      <c r="VIS1642" s="21"/>
      <c r="VIT1642" s="21"/>
      <c r="VIU1642" s="21"/>
      <c r="VIV1642" s="21"/>
      <c r="VIW1642" s="21"/>
      <c r="VIX1642" s="21"/>
      <c r="VIY1642" s="21"/>
      <c r="VIZ1642" s="21"/>
      <c r="VJA1642" s="21"/>
      <c r="VJB1642" s="21"/>
      <c r="VJC1642" s="21"/>
      <c r="VJD1642" s="21"/>
      <c r="VJE1642" s="21"/>
      <c r="VJF1642" s="21"/>
      <c r="VJG1642" s="21"/>
      <c r="VJH1642" s="21"/>
      <c r="VJI1642" s="21"/>
      <c r="VJJ1642" s="21"/>
      <c r="VJK1642" s="21"/>
      <c r="VJL1642" s="21"/>
      <c r="VJM1642" s="21"/>
      <c r="VJN1642" s="21"/>
      <c r="VJO1642" s="21"/>
      <c r="VJP1642" s="21"/>
      <c r="VJQ1642" s="21"/>
      <c r="VJR1642" s="21"/>
      <c r="VJS1642" s="21"/>
      <c r="VJT1642" s="21"/>
      <c r="VJU1642" s="21"/>
      <c r="VJV1642" s="21"/>
      <c r="VJW1642" s="21"/>
      <c r="VJX1642" s="21"/>
      <c r="VJY1642" s="21"/>
      <c r="VJZ1642" s="21"/>
      <c r="VKA1642" s="21"/>
      <c r="VKB1642" s="21"/>
      <c r="VKC1642" s="21"/>
      <c r="VKD1642" s="21"/>
      <c r="VKE1642" s="21"/>
      <c r="VKF1642" s="21"/>
      <c r="VKG1642" s="21"/>
      <c r="VKH1642" s="21"/>
      <c r="VKI1642" s="21"/>
      <c r="VKJ1642" s="21"/>
      <c r="VKK1642" s="21"/>
      <c r="VKL1642" s="21"/>
      <c r="VKM1642" s="21"/>
      <c r="VKN1642" s="21"/>
      <c r="VKO1642" s="21"/>
      <c r="VKP1642" s="21"/>
      <c r="VKQ1642" s="21"/>
      <c r="VKR1642" s="21"/>
      <c r="VKS1642" s="21"/>
      <c r="VKT1642" s="21"/>
      <c r="VKU1642" s="21"/>
      <c r="VKV1642" s="21"/>
      <c r="VKW1642" s="21"/>
      <c r="VKX1642" s="21"/>
      <c r="VKY1642" s="21"/>
      <c r="VKZ1642" s="21"/>
      <c r="VLA1642" s="21"/>
      <c r="VLB1642" s="21"/>
      <c r="VLC1642" s="21"/>
      <c r="VLD1642" s="21"/>
      <c r="VLE1642" s="21"/>
      <c r="VLF1642" s="21"/>
      <c r="VLG1642" s="21"/>
      <c r="VLH1642" s="21"/>
      <c r="VLI1642" s="21"/>
      <c r="VLJ1642" s="21"/>
      <c r="VLK1642" s="21"/>
      <c r="VLL1642" s="21"/>
      <c r="VLM1642" s="21"/>
      <c r="VLN1642" s="21"/>
      <c r="VLO1642" s="21"/>
      <c r="VLP1642" s="21"/>
      <c r="VLQ1642" s="21"/>
      <c r="VLR1642" s="21"/>
      <c r="VLS1642" s="21"/>
      <c r="VLT1642" s="21"/>
      <c r="VLU1642" s="21"/>
      <c r="VLV1642" s="21"/>
      <c r="VLW1642" s="21"/>
      <c r="VLX1642" s="21"/>
      <c r="VLY1642" s="21"/>
      <c r="VLZ1642" s="21"/>
      <c r="VMA1642" s="21"/>
      <c r="VMB1642" s="21"/>
      <c r="VMC1642" s="21"/>
      <c r="VMD1642" s="21"/>
      <c r="VME1642" s="21"/>
      <c r="VMF1642" s="21"/>
      <c r="VMG1642" s="21"/>
      <c r="VMH1642" s="21"/>
      <c r="VMI1642" s="21"/>
      <c r="VMJ1642" s="21"/>
      <c r="VMK1642" s="21"/>
      <c r="VML1642" s="21"/>
      <c r="VMM1642" s="21"/>
      <c r="VMN1642" s="21"/>
      <c r="VMO1642" s="21"/>
      <c r="VMP1642" s="21"/>
      <c r="VMQ1642" s="21"/>
      <c r="VMR1642" s="21"/>
      <c r="VMS1642" s="21"/>
      <c r="VMT1642" s="21"/>
      <c r="VMU1642" s="21"/>
      <c r="VMV1642" s="21"/>
      <c r="VMW1642" s="21"/>
      <c r="VMX1642" s="21"/>
      <c r="VMY1642" s="21"/>
      <c r="VMZ1642" s="21"/>
      <c r="VNA1642" s="21"/>
      <c r="VNB1642" s="21"/>
      <c r="VNC1642" s="21"/>
      <c r="VND1642" s="21"/>
      <c r="VNE1642" s="21"/>
      <c r="VNF1642" s="21"/>
      <c r="VNG1642" s="21"/>
      <c r="VNH1642" s="21"/>
      <c r="VNI1642" s="21"/>
      <c r="VNJ1642" s="21"/>
      <c r="VNK1642" s="21"/>
      <c r="VNL1642" s="21"/>
      <c r="VNM1642" s="21"/>
      <c r="VNN1642" s="21"/>
      <c r="VNO1642" s="21"/>
      <c r="VNP1642" s="21"/>
      <c r="VNQ1642" s="21"/>
      <c r="VNR1642" s="21"/>
      <c r="VNS1642" s="21"/>
      <c r="VNT1642" s="21"/>
      <c r="VNU1642" s="21"/>
      <c r="VNV1642" s="21"/>
      <c r="VNW1642" s="21"/>
      <c r="VNX1642" s="21"/>
      <c r="VNY1642" s="21"/>
      <c r="VNZ1642" s="21"/>
      <c r="VOA1642" s="21"/>
      <c r="VOB1642" s="21"/>
      <c r="VOC1642" s="21"/>
      <c r="VOD1642" s="21"/>
      <c r="VOE1642" s="21"/>
      <c r="VOF1642" s="21"/>
      <c r="VOG1642" s="21"/>
      <c r="VOH1642" s="21"/>
      <c r="VOI1642" s="21"/>
      <c r="VOJ1642" s="21"/>
      <c r="VOK1642" s="21"/>
      <c r="VOL1642" s="21"/>
      <c r="VOM1642" s="21"/>
      <c r="VON1642" s="21"/>
      <c r="VOO1642" s="21"/>
      <c r="VOP1642" s="21"/>
      <c r="VOQ1642" s="21"/>
      <c r="VOR1642" s="21"/>
      <c r="VOS1642" s="21"/>
      <c r="VOT1642" s="21"/>
      <c r="VOU1642" s="21"/>
      <c r="VOV1642" s="21"/>
      <c r="VOW1642" s="21"/>
      <c r="VOX1642" s="21"/>
      <c r="VOY1642" s="21"/>
      <c r="VOZ1642" s="21"/>
      <c r="VPA1642" s="21"/>
      <c r="VPB1642" s="21"/>
      <c r="VPC1642" s="21"/>
      <c r="VPD1642" s="21"/>
      <c r="VPE1642" s="21"/>
      <c r="VPF1642" s="21"/>
      <c r="VPG1642" s="21"/>
      <c r="VPH1642" s="21"/>
      <c r="VPI1642" s="21"/>
      <c r="VPJ1642" s="21"/>
      <c r="VPK1642" s="21"/>
      <c r="VPL1642" s="21"/>
      <c r="VPM1642" s="21"/>
      <c r="VPN1642" s="21"/>
      <c r="VPO1642" s="21"/>
      <c r="VPP1642" s="21"/>
      <c r="VPQ1642" s="21"/>
      <c r="VPR1642" s="21"/>
      <c r="VPS1642" s="21"/>
      <c r="VPT1642" s="21"/>
      <c r="VPU1642" s="21"/>
      <c r="VPV1642" s="21"/>
      <c r="VPW1642" s="21"/>
      <c r="VPX1642" s="21"/>
      <c r="VPY1642" s="21"/>
      <c r="VPZ1642" s="21"/>
      <c r="VQA1642" s="21"/>
      <c r="VQB1642" s="21"/>
      <c r="VQC1642" s="21"/>
      <c r="VQD1642" s="21"/>
      <c r="VQE1642" s="21"/>
      <c r="VQF1642" s="21"/>
      <c r="VQG1642" s="21"/>
      <c r="VQH1642" s="21"/>
      <c r="VQI1642" s="21"/>
      <c r="VQJ1642" s="21"/>
      <c r="VQK1642" s="21"/>
      <c r="VQL1642" s="21"/>
      <c r="VQM1642" s="21"/>
      <c r="VQN1642" s="21"/>
      <c r="VQO1642" s="21"/>
      <c r="VQP1642" s="21"/>
      <c r="VQQ1642" s="21"/>
      <c r="VQR1642" s="21"/>
      <c r="VQS1642" s="21"/>
      <c r="VQT1642" s="21"/>
      <c r="VQU1642" s="21"/>
      <c r="VQV1642" s="21"/>
      <c r="VQW1642" s="21"/>
      <c r="VQX1642" s="21"/>
      <c r="VQY1642" s="21"/>
      <c r="VQZ1642" s="21"/>
      <c r="VRA1642" s="21"/>
      <c r="VRB1642" s="21"/>
      <c r="VRC1642" s="21"/>
      <c r="VRD1642" s="21"/>
      <c r="VRE1642" s="21"/>
      <c r="VRF1642" s="21"/>
      <c r="VRG1642" s="21"/>
      <c r="VRH1642" s="21"/>
      <c r="VRI1642" s="21"/>
      <c r="VRJ1642" s="21"/>
      <c r="VRK1642" s="21"/>
      <c r="VRL1642" s="21"/>
      <c r="VRM1642" s="21"/>
      <c r="VRN1642" s="21"/>
      <c r="VRO1642" s="21"/>
      <c r="VRP1642" s="21"/>
      <c r="VRQ1642" s="21"/>
      <c r="VRR1642" s="21"/>
      <c r="VRS1642" s="21"/>
      <c r="VRT1642" s="21"/>
      <c r="VRU1642" s="21"/>
      <c r="VRV1642" s="21"/>
      <c r="VRW1642" s="21"/>
      <c r="VRX1642" s="21"/>
      <c r="VRY1642" s="21"/>
      <c r="VRZ1642" s="21"/>
      <c r="VSA1642" s="21"/>
      <c r="VSB1642" s="21"/>
      <c r="VSC1642" s="21"/>
      <c r="VSD1642" s="21"/>
      <c r="VSE1642" s="21"/>
      <c r="VSF1642" s="21"/>
      <c r="VSG1642" s="21"/>
      <c r="VSH1642" s="21"/>
      <c r="VSI1642" s="21"/>
      <c r="VSJ1642" s="21"/>
      <c r="VSK1642" s="21"/>
      <c r="VSL1642" s="21"/>
      <c r="VSM1642" s="21"/>
      <c r="VSN1642" s="21"/>
      <c r="VSO1642" s="21"/>
      <c r="VSP1642" s="21"/>
      <c r="VSQ1642" s="21"/>
      <c r="VSR1642" s="21"/>
      <c r="VSS1642" s="21"/>
      <c r="VST1642" s="21"/>
      <c r="VSU1642" s="21"/>
      <c r="VSV1642" s="21"/>
      <c r="VSW1642" s="21"/>
      <c r="VSX1642" s="21"/>
      <c r="VSY1642" s="21"/>
      <c r="VSZ1642" s="21"/>
      <c r="VTA1642" s="21"/>
      <c r="VTB1642" s="21"/>
      <c r="VTC1642" s="21"/>
      <c r="VTD1642" s="21"/>
      <c r="VTE1642" s="21"/>
      <c r="VTF1642" s="21"/>
      <c r="VTG1642" s="21"/>
      <c r="VTH1642" s="21"/>
      <c r="VTI1642" s="21"/>
      <c r="VTJ1642" s="21"/>
      <c r="VTK1642" s="21"/>
      <c r="VTL1642" s="21"/>
      <c r="VTM1642" s="21"/>
      <c r="VTN1642" s="21"/>
      <c r="VTO1642" s="21"/>
      <c r="VTP1642" s="21"/>
      <c r="VTQ1642" s="21"/>
      <c r="VTR1642" s="21"/>
      <c r="VTS1642" s="21"/>
      <c r="VTT1642" s="21"/>
      <c r="VTU1642" s="21"/>
      <c r="VTV1642" s="21"/>
      <c r="VTW1642" s="21"/>
      <c r="VTX1642" s="21"/>
      <c r="VTY1642" s="21"/>
      <c r="VTZ1642" s="21"/>
      <c r="VUA1642" s="21"/>
      <c r="VUB1642" s="21"/>
      <c r="VUC1642" s="21"/>
      <c r="VUD1642" s="21"/>
      <c r="VUE1642" s="21"/>
      <c r="VUF1642" s="21"/>
      <c r="VUG1642" s="21"/>
      <c r="VUH1642" s="21"/>
      <c r="VUI1642" s="21"/>
      <c r="VUJ1642" s="21"/>
      <c r="VUK1642" s="21"/>
      <c r="VUL1642" s="21"/>
      <c r="VUM1642" s="21"/>
      <c r="VUN1642" s="21"/>
      <c r="VUO1642" s="21"/>
      <c r="VUP1642" s="21"/>
      <c r="VUQ1642" s="21"/>
      <c r="VUR1642" s="21"/>
      <c r="VUS1642" s="21"/>
      <c r="VUT1642" s="21"/>
      <c r="VUU1642" s="21"/>
      <c r="VUV1642" s="21"/>
      <c r="VUW1642" s="21"/>
      <c r="VUX1642" s="21"/>
      <c r="VUY1642" s="21"/>
      <c r="VUZ1642" s="21"/>
      <c r="VVA1642" s="21"/>
      <c r="VVB1642" s="21"/>
      <c r="VVC1642" s="21"/>
      <c r="VVD1642" s="21"/>
      <c r="VVE1642" s="21"/>
      <c r="VVF1642" s="21"/>
      <c r="VVG1642" s="21"/>
      <c r="VVH1642" s="21"/>
      <c r="VVI1642" s="21"/>
      <c r="VVJ1642" s="21"/>
      <c r="VVK1642" s="21"/>
      <c r="VVL1642" s="21"/>
      <c r="VVM1642" s="21"/>
      <c r="VVN1642" s="21"/>
      <c r="VVO1642" s="21"/>
      <c r="VVP1642" s="21"/>
      <c r="VVQ1642" s="21"/>
      <c r="VVR1642" s="21"/>
      <c r="VVS1642" s="21"/>
      <c r="VVT1642" s="21"/>
      <c r="VVU1642" s="21"/>
      <c r="VVV1642" s="21"/>
      <c r="VVW1642" s="21"/>
      <c r="VVX1642" s="21"/>
      <c r="VVY1642" s="21"/>
      <c r="VVZ1642" s="21"/>
      <c r="VWA1642" s="21"/>
      <c r="VWB1642" s="21"/>
      <c r="VWC1642" s="21"/>
      <c r="VWD1642" s="21"/>
      <c r="VWE1642" s="21"/>
      <c r="VWF1642" s="21"/>
      <c r="VWG1642" s="21"/>
      <c r="VWH1642" s="21"/>
      <c r="VWI1642" s="21"/>
      <c r="VWJ1642" s="21"/>
      <c r="VWK1642" s="21"/>
      <c r="VWL1642" s="21"/>
      <c r="VWM1642" s="21"/>
      <c r="VWN1642" s="21"/>
      <c r="VWO1642" s="21"/>
      <c r="VWP1642" s="21"/>
      <c r="VWQ1642" s="21"/>
      <c r="VWR1642" s="21"/>
      <c r="VWS1642" s="21"/>
      <c r="VWT1642" s="21"/>
      <c r="VWU1642" s="21"/>
      <c r="VWV1642" s="21"/>
      <c r="VWW1642" s="21"/>
      <c r="VWX1642" s="21"/>
      <c r="VWY1642" s="21"/>
      <c r="VWZ1642" s="21"/>
      <c r="VXA1642" s="21"/>
      <c r="VXB1642" s="21"/>
      <c r="VXC1642" s="21"/>
      <c r="VXD1642" s="21"/>
      <c r="VXE1642" s="21"/>
      <c r="VXF1642" s="21"/>
      <c r="VXG1642" s="21"/>
      <c r="VXH1642" s="21"/>
      <c r="VXI1642" s="21"/>
      <c r="VXJ1642" s="21"/>
      <c r="VXK1642" s="21"/>
      <c r="VXL1642" s="21"/>
      <c r="VXM1642" s="21"/>
      <c r="VXN1642" s="21"/>
      <c r="VXO1642" s="21"/>
      <c r="VXP1642" s="21"/>
      <c r="VXQ1642" s="21"/>
      <c r="VXR1642" s="21"/>
      <c r="VXS1642" s="21"/>
      <c r="VXT1642" s="21"/>
      <c r="VXU1642" s="21"/>
      <c r="VXV1642" s="21"/>
      <c r="VXW1642" s="21"/>
      <c r="VXX1642" s="21"/>
      <c r="VXY1642" s="21"/>
      <c r="VXZ1642" s="21"/>
      <c r="VYA1642" s="21"/>
      <c r="VYB1642" s="21"/>
      <c r="VYC1642" s="21"/>
      <c r="VYD1642" s="21"/>
      <c r="VYE1642" s="21"/>
      <c r="VYF1642" s="21"/>
      <c r="VYG1642" s="21"/>
      <c r="VYH1642" s="21"/>
      <c r="VYI1642" s="21"/>
      <c r="VYJ1642" s="21"/>
      <c r="VYK1642" s="21"/>
      <c r="VYL1642" s="21"/>
      <c r="VYM1642" s="21"/>
      <c r="VYN1642" s="21"/>
      <c r="VYO1642" s="21"/>
      <c r="VYP1642" s="21"/>
      <c r="VYQ1642" s="21"/>
      <c r="VYR1642" s="21"/>
      <c r="VYS1642" s="21"/>
      <c r="VYT1642" s="21"/>
      <c r="VYU1642" s="21"/>
      <c r="VYV1642" s="21"/>
      <c r="VYW1642" s="21"/>
      <c r="VYX1642" s="21"/>
      <c r="VYY1642" s="21"/>
      <c r="VYZ1642" s="21"/>
      <c r="VZA1642" s="21"/>
      <c r="VZB1642" s="21"/>
      <c r="VZC1642" s="21"/>
      <c r="VZD1642" s="21"/>
      <c r="VZE1642" s="21"/>
      <c r="VZF1642" s="21"/>
      <c r="VZG1642" s="21"/>
      <c r="VZH1642" s="21"/>
      <c r="VZI1642" s="21"/>
      <c r="VZJ1642" s="21"/>
      <c r="VZK1642" s="21"/>
      <c r="VZL1642" s="21"/>
      <c r="VZM1642" s="21"/>
      <c r="VZN1642" s="21"/>
      <c r="VZO1642" s="21"/>
      <c r="VZP1642" s="21"/>
      <c r="VZQ1642" s="21"/>
      <c r="VZR1642" s="21"/>
      <c r="VZS1642" s="21"/>
      <c r="VZT1642" s="21"/>
      <c r="VZU1642" s="21"/>
      <c r="VZV1642" s="21"/>
      <c r="VZW1642" s="21"/>
      <c r="VZX1642" s="21"/>
      <c r="VZY1642" s="21"/>
      <c r="VZZ1642" s="21"/>
      <c r="WAA1642" s="21"/>
      <c r="WAB1642" s="21"/>
      <c r="WAC1642" s="21"/>
      <c r="WAD1642" s="21"/>
      <c r="WAE1642" s="21"/>
      <c r="WAF1642" s="21"/>
      <c r="WAG1642" s="21"/>
      <c r="WAH1642" s="21"/>
      <c r="WAI1642" s="21"/>
      <c r="WAJ1642" s="21"/>
      <c r="WAK1642" s="21"/>
      <c r="WAL1642" s="21"/>
      <c r="WAM1642" s="21"/>
      <c r="WAN1642" s="21"/>
      <c r="WAO1642" s="21"/>
      <c r="WAP1642" s="21"/>
      <c r="WAQ1642" s="21"/>
      <c r="WAR1642" s="21"/>
      <c r="WAS1642" s="21"/>
      <c r="WAT1642" s="21"/>
      <c r="WAU1642" s="21"/>
      <c r="WAV1642" s="21"/>
      <c r="WAW1642" s="21"/>
      <c r="WAX1642" s="21"/>
      <c r="WAY1642" s="21"/>
      <c r="WAZ1642" s="21"/>
      <c r="WBA1642" s="21"/>
      <c r="WBB1642" s="21"/>
      <c r="WBC1642" s="21"/>
      <c r="WBD1642" s="21"/>
      <c r="WBE1642" s="21"/>
      <c r="WBF1642" s="21"/>
      <c r="WBG1642" s="21"/>
      <c r="WBH1642" s="21"/>
      <c r="WBI1642" s="21"/>
      <c r="WBJ1642" s="21"/>
      <c r="WBK1642" s="21"/>
      <c r="WBL1642" s="21"/>
      <c r="WBM1642" s="21"/>
      <c r="WBN1642" s="21"/>
      <c r="WBO1642" s="21"/>
      <c r="WBP1642" s="21"/>
      <c r="WBQ1642" s="21"/>
      <c r="WBR1642" s="21"/>
      <c r="WBS1642" s="21"/>
      <c r="WBT1642" s="21"/>
      <c r="WBU1642" s="21"/>
      <c r="WBV1642" s="21"/>
      <c r="WBW1642" s="21"/>
      <c r="WBX1642" s="21"/>
      <c r="WBY1642" s="21"/>
      <c r="WBZ1642" s="21"/>
      <c r="WCA1642" s="21"/>
      <c r="WCB1642" s="21"/>
      <c r="WCC1642" s="21"/>
      <c r="WCD1642" s="21"/>
      <c r="WCE1642" s="21"/>
      <c r="WCF1642" s="21"/>
      <c r="WCG1642" s="21"/>
      <c r="WCH1642" s="21"/>
      <c r="WCI1642" s="21"/>
      <c r="WCJ1642" s="21"/>
      <c r="WCK1642" s="21"/>
      <c r="WCL1642" s="21"/>
      <c r="WCM1642" s="21"/>
      <c r="WCN1642" s="21"/>
      <c r="WCO1642" s="21"/>
      <c r="WCP1642" s="21"/>
      <c r="WCQ1642" s="21"/>
      <c r="WCR1642" s="21"/>
      <c r="WCS1642" s="21"/>
      <c r="WCT1642" s="21"/>
      <c r="WCU1642" s="21"/>
      <c r="WCV1642" s="21"/>
      <c r="WCW1642" s="21"/>
      <c r="WCX1642" s="21"/>
      <c r="WCY1642" s="21"/>
      <c r="WCZ1642" s="21"/>
      <c r="WDA1642" s="21"/>
      <c r="WDB1642" s="21"/>
      <c r="WDC1642" s="21"/>
      <c r="WDD1642" s="21"/>
      <c r="WDE1642" s="21"/>
      <c r="WDF1642" s="21"/>
      <c r="WDG1642" s="21"/>
      <c r="WDH1642" s="21"/>
      <c r="WDI1642" s="21"/>
      <c r="WDJ1642" s="21"/>
      <c r="WDK1642" s="21"/>
      <c r="WDL1642" s="21"/>
      <c r="WDM1642" s="21"/>
      <c r="WDN1642" s="21"/>
      <c r="WDO1642" s="21"/>
      <c r="WDP1642" s="21"/>
      <c r="WDQ1642" s="21"/>
      <c r="WDR1642" s="21"/>
      <c r="WDS1642" s="21"/>
      <c r="WDT1642" s="21"/>
      <c r="WDU1642" s="21"/>
      <c r="WDV1642" s="21"/>
      <c r="WDW1642" s="21"/>
      <c r="WDX1642" s="21"/>
      <c r="WDY1642" s="21"/>
      <c r="WDZ1642" s="21"/>
      <c r="WEA1642" s="21"/>
      <c r="WEB1642" s="21"/>
      <c r="WEC1642" s="21"/>
      <c r="WED1642" s="21"/>
      <c r="WEE1642" s="21"/>
      <c r="WEF1642" s="21"/>
      <c r="WEG1642" s="21"/>
      <c r="WEH1642" s="21"/>
      <c r="WEI1642" s="21"/>
      <c r="WEJ1642" s="21"/>
      <c r="WEK1642" s="21"/>
      <c r="WEL1642" s="21"/>
      <c r="WEM1642" s="21"/>
      <c r="WEN1642" s="21"/>
      <c r="WEO1642" s="21"/>
      <c r="WEP1642" s="21"/>
      <c r="WEQ1642" s="21"/>
      <c r="WER1642" s="21"/>
      <c r="WES1642" s="21"/>
      <c r="WET1642" s="21"/>
      <c r="WEU1642" s="21"/>
      <c r="WEV1642" s="21"/>
      <c r="WEW1642" s="21"/>
      <c r="WEX1642" s="21"/>
      <c r="WEY1642" s="21"/>
      <c r="WEZ1642" s="21"/>
      <c r="WFA1642" s="21"/>
      <c r="WFB1642" s="21"/>
      <c r="WFC1642" s="21"/>
      <c r="WFD1642" s="21"/>
      <c r="WFE1642" s="21"/>
      <c r="WFF1642" s="21"/>
      <c r="WFG1642" s="21"/>
      <c r="WFH1642" s="21"/>
      <c r="WFI1642" s="21"/>
      <c r="WFJ1642" s="21"/>
      <c r="WFK1642" s="21"/>
      <c r="WFL1642" s="21"/>
      <c r="WFM1642" s="21"/>
      <c r="WFN1642" s="21"/>
      <c r="WFO1642" s="21"/>
      <c r="WFP1642" s="21"/>
      <c r="WFQ1642" s="21"/>
      <c r="WFR1642" s="21"/>
      <c r="WFS1642" s="21"/>
      <c r="WFT1642" s="21"/>
      <c r="WFU1642" s="21"/>
      <c r="WFV1642" s="21"/>
      <c r="WFW1642" s="21"/>
      <c r="WFX1642" s="21"/>
      <c r="WFY1642" s="21"/>
      <c r="WFZ1642" s="21"/>
      <c r="WGA1642" s="21"/>
      <c r="WGB1642" s="21"/>
      <c r="WGC1642" s="21"/>
      <c r="WGD1642" s="21"/>
      <c r="WGE1642" s="21"/>
      <c r="WGF1642" s="21"/>
      <c r="WGG1642" s="21"/>
      <c r="WGH1642" s="21"/>
      <c r="WGI1642" s="21"/>
      <c r="WGJ1642" s="21"/>
      <c r="WGK1642" s="21"/>
      <c r="WGL1642" s="21"/>
      <c r="WGM1642" s="21"/>
      <c r="WGN1642" s="21"/>
      <c r="WGO1642" s="21"/>
      <c r="WGP1642" s="21"/>
      <c r="WGQ1642" s="21"/>
      <c r="WGR1642" s="21"/>
      <c r="WGS1642" s="21"/>
      <c r="WGT1642" s="21"/>
      <c r="WGU1642" s="21"/>
      <c r="WGV1642" s="21"/>
      <c r="WGW1642" s="21"/>
      <c r="WGX1642" s="21"/>
      <c r="WGY1642" s="21"/>
      <c r="WGZ1642" s="21"/>
      <c r="WHA1642" s="21"/>
      <c r="WHB1642" s="21"/>
      <c r="WHC1642" s="21"/>
      <c r="WHD1642" s="21"/>
      <c r="WHE1642" s="21"/>
      <c r="WHF1642" s="21"/>
      <c r="WHG1642" s="21"/>
      <c r="WHH1642" s="21"/>
      <c r="WHI1642" s="21"/>
      <c r="WHJ1642" s="21"/>
      <c r="WHK1642" s="21"/>
      <c r="WHL1642" s="21"/>
      <c r="WHM1642" s="21"/>
      <c r="WHN1642" s="21"/>
      <c r="WHO1642" s="21"/>
      <c r="WHP1642" s="21"/>
      <c r="WHQ1642" s="21"/>
      <c r="WHR1642" s="21"/>
      <c r="WHS1642" s="21"/>
      <c r="WHT1642" s="21"/>
      <c r="WHU1642" s="21"/>
      <c r="WHV1642" s="21"/>
      <c r="WHW1642" s="21"/>
      <c r="WHX1642" s="21"/>
      <c r="WHY1642" s="21"/>
      <c r="WHZ1642" s="21"/>
      <c r="WIA1642" s="21"/>
      <c r="WIB1642" s="21"/>
      <c r="WIC1642" s="21"/>
      <c r="WID1642" s="21"/>
      <c r="WIE1642" s="21"/>
      <c r="WIF1642" s="21"/>
      <c r="WIG1642" s="21"/>
      <c r="WIH1642" s="21"/>
      <c r="WII1642" s="21"/>
      <c r="WIJ1642" s="21"/>
      <c r="WIK1642" s="21"/>
      <c r="WIL1642" s="21"/>
      <c r="WIM1642" s="21"/>
      <c r="WIN1642" s="21"/>
      <c r="WIO1642" s="21"/>
      <c r="WIP1642" s="21"/>
      <c r="WIQ1642" s="21"/>
      <c r="WIR1642" s="21"/>
      <c r="WIS1642" s="21"/>
      <c r="WIT1642" s="21"/>
      <c r="WIU1642" s="21"/>
      <c r="WIV1642" s="21"/>
      <c r="WIW1642" s="21"/>
      <c r="WIX1642" s="21"/>
      <c r="WIY1642" s="21"/>
      <c r="WIZ1642" s="21"/>
      <c r="WJA1642" s="21"/>
      <c r="WJB1642" s="21"/>
      <c r="WJC1642" s="21"/>
      <c r="WJD1642" s="21"/>
      <c r="WJE1642" s="21"/>
      <c r="WJF1642" s="21"/>
      <c r="WJG1642" s="21"/>
      <c r="WJH1642" s="21"/>
      <c r="WJI1642" s="21"/>
      <c r="WJJ1642" s="21"/>
      <c r="WJK1642" s="21"/>
      <c r="WJL1642" s="21"/>
      <c r="WJM1642" s="21"/>
      <c r="WJN1642" s="21"/>
      <c r="WJO1642" s="21"/>
      <c r="WJP1642" s="21"/>
      <c r="WJQ1642" s="21"/>
      <c r="WJR1642" s="21"/>
      <c r="WJS1642" s="21"/>
      <c r="WJT1642" s="21"/>
      <c r="WJU1642" s="21"/>
      <c r="WJV1642" s="21"/>
      <c r="WJW1642" s="21"/>
      <c r="WJX1642" s="21"/>
      <c r="WJY1642" s="21"/>
      <c r="WJZ1642" s="21"/>
      <c r="WKA1642" s="21"/>
      <c r="WKB1642" s="21"/>
      <c r="WKC1642" s="21"/>
      <c r="WKD1642" s="21"/>
      <c r="WKE1642" s="21"/>
      <c r="WKF1642" s="21"/>
      <c r="WKG1642" s="21"/>
      <c r="WKH1642" s="21"/>
      <c r="WKI1642" s="21"/>
      <c r="WKJ1642" s="21"/>
      <c r="WKK1642" s="21"/>
      <c r="WKL1642" s="21"/>
      <c r="WKM1642" s="21"/>
      <c r="WKN1642" s="21"/>
      <c r="WKO1642" s="21"/>
      <c r="WKP1642" s="21"/>
      <c r="WKQ1642" s="21"/>
      <c r="WKR1642" s="21"/>
      <c r="WKS1642" s="21"/>
      <c r="WKT1642" s="21"/>
      <c r="WKU1642" s="21"/>
      <c r="WKV1642" s="21"/>
      <c r="WKW1642" s="21"/>
      <c r="WKX1642" s="21"/>
      <c r="WKY1642" s="21"/>
      <c r="WKZ1642" s="21"/>
      <c r="WLA1642" s="21"/>
      <c r="WLB1642" s="21"/>
      <c r="WLC1642" s="21"/>
      <c r="WLD1642" s="21"/>
      <c r="WLE1642" s="21"/>
      <c r="WLF1642" s="21"/>
      <c r="WLG1642" s="21"/>
      <c r="WLH1642" s="21"/>
      <c r="WLI1642" s="21"/>
      <c r="WLJ1642" s="21"/>
      <c r="WLK1642" s="21"/>
      <c r="WLL1642" s="21"/>
      <c r="WLM1642" s="21"/>
      <c r="WLN1642" s="21"/>
      <c r="WLO1642" s="21"/>
      <c r="WLP1642" s="21"/>
      <c r="WLQ1642" s="21"/>
      <c r="WLR1642" s="21"/>
      <c r="WLS1642" s="21"/>
      <c r="WLT1642" s="21"/>
      <c r="WLU1642" s="21"/>
      <c r="WLV1642" s="21"/>
      <c r="WLW1642" s="21"/>
      <c r="WLX1642" s="21"/>
      <c r="WLY1642" s="21"/>
      <c r="WLZ1642" s="21"/>
      <c r="WMA1642" s="21"/>
      <c r="WMB1642" s="21"/>
      <c r="WMC1642" s="21"/>
      <c r="WMD1642" s="21"/>
      <c r="WME1642" s="21"/>
      <c r="WMF1642" s="21"/>
      <c r="WMG1642" s="21"/>
      <c r="WMH1642" s="21"/>
      <c r="WMI1642" s="21"/>
      <c r="WMJ1642" s="21"/>
      <c r="WMK1642" s="21"/>
      <c r="WML1642" s="21"/>
      <c r="WMM1642" s="21"/>
      <c r="WMN1642" s="21"/>
      <c r="WMO1642" s="21"/>
      <c r="WMP1642" s="21"/>
      <c r="WMQ1642" s="21"/>
      <c r="WMR1642" s="21"/>
      <c r="WMS1642" s="21"/>
      <c r="WMT1642" s="21"/>
      <c r="WMU1642" s="21"/>
      <c r="WMV1642" s="21"/>
      <c r="WMW1642" s="21"/>
      <c r="WMX1642" s="21"/>
      <c r="WMY1642" s="21"/>
      <c r="WMZ1642" s="21"/>
      <c r="WNA1642" s="21"/>
      <c r="WNB1642" s="21"/>
      <c r="WNC1642" s="21"/>
      <c r="WND1642" s="21"/>
      <c r="WNE1642" s="21"/>
      <c r="WNF1642" s="21"/>
      <c r="WNG1642" s="21"/>
      <c r="WNH1642" s="21"/>
      <c r="WNI1642" s="21"/>
      <c r="WNJ1642" s="21"/>
      <c r="WNK1642" s="21"/>
      <c r="WNL1642" s="21"/>
      <c r="WNM1642" s="21"/>
      <c r="WNN1642" s="21"/>
      <c r="WNO1642" s="21"/>
      <c r="WNP1642" s="21"/>
      <c r="WNQ1642" s="21"/>
      <c r="WNR1642" s="21"/>
      <c r="WNS1642" s="21"/>
      <c r="WNT1642" s="21"/>
      <c r="WNU1642" s="21"/>
      <c r="WNV1642" s="21"/>
      <c r="WNW1642" s="21"/>
      <c r="WNX1642" s="21"/>
      <c r="WNY1642" s="21"/>
      <c r="WNZ1642" s="21"/>
      <c r="WOA1642" s="21"/>
      <c r="WOB1642" s="21"/>
      <c r="WOC1642" s="21"/>
      <c r="WOD1642" s="21"/>
      <c r="WOE1642" s="21"/>
      <c r="WOF1642" s="21"/>
      <c r="WOG1642" s="21"/>
      <c r="WOH1642" s="21"/>
      <c r="WOI1642" s="21"/>
      <c r="WOJ1642" s="21"/>
      <c r="WOK1642" s="21"/>
      <c r="WOL1642" s="21"/>
      <c r="WOM1642" s="21"/>
      <c r="WON1642" s="21"/>
      <c r="WOO1642" s="21"/>
      <c r="WOP1642" s="21"/>
      <c r="WOQ1642" s="21"/>
      <c r="WOR1642" s="21"/>
      <c r="WOS1642" s="21"/>
      <c r="WOT1642" s="21"/>
      <c r="WOU1642" s="21"/>
      <c r="WOV1642" s="21"/>
      <c r="WOW1642" s="21"/>
      <c r="WOX1642" s="21"/>
      <c r="WOY1642" s="21"/>
      <c r="WOZ1642" s="21"/>
      <c r="WPA1642" s="21"/>
      <c r="WPB1642" s="21"/>
      <c r="WPC1642" s="21"/>
      <c r="WPD1642" s="21"/>
      <c r="WPE1642" s="21"/>
      <c r="WPF1642" s="21"/>
      <c r="WPG1642" s="21"/>
      <c r="WPH1642" s="21"/>
      <c r="WPI1642" s="21"/>
      <c r="WPJ1642" s="21"/>
      <c r="WPK1642" s="21"/>
      <c r="WPL1642" s="21"/>
      <c r="WPM1642" s="21"/>
      <c r="WPN1642" s="21"/>
      <c r="WPO1642" s="21"/>
      <c r="WPP1642" s="21"/>
      <c r="WPQ1642" s="21"/>
      <c r="WPR1642" s="21"/>
      <c r="WPS1642" s="21"/>
      <c r="WPT1642" s="21"/>
      <c r="WPU1642" s="21"/>
      <c r="WPV1642" s="21"/>
      <c r="WPW1642" s="21"/>
      <c r="WPX1642" s="21"/>
      <c r="WPY1642" s="21"/>
      <c r="WPZ1642" s="21"/>
      <c r="WQA1642" s="21"/>
      <c r="WQB1642" s="21"/>
      <c r="WQC1642" s="21"/>
      <c r="WQD1642" s="21"/>
      <c r="WQE1642" s="21"/>
      <c r="WQF1642" s="21"/>
      <c r="WQG1642" s="21"/>
      <c r="WQH1642" s="21"/>
      <c r="WQI1642" s="21"/>
      <c r="WQJ1642" s="21"/>
      <c r="WQK1642" s="21"/>
      <c r="WQL1642" s="21"/>
      <c r="WQM1642" s="21"/>
      <c r="WQN1642" s="21"/>
      <c r="WQO1642" s="21"/>
      <c r="WQP1642" s="21"/>
      <c r="WQQ1642" s="21"/>
      <c r="WQR1642" s="21"/>
      <c r="WQS1642" s="21"/>
      <c r="WQT1642" s="21"/>
      <c r="WQU1642" s="21"/>
      <c r="WQV1642" s="21"/>
      <c r="WQW1642" s="21"/>
      <c r="WQX1642" s="21"/>
      <c r="WQY1642" s="21"/>
      <c r="WQZ1642" s="21"/>
      <c r="WRA1642" s="21"/>
      <c r="WRB1642" s="21"/>
      <c r="WRC1642" s="21"/>
      <c r="WRD1642" s="21"/>
      <c r="WRE1642" s="21"/>
      <c r="WRF1642" s="21"/>
      <c r="WRG1642" s="21"/>
      <c r="WRH1642" s="21"/>
      <c r="WRI1642" s="21"/>
      <c r="WRJ1642" s="21"/>
      <c r="WRK1642" s="21"/>
      <c r="WRL1642" s="21"/>
      <c r="WRM1642" s="21"/>
      <c r="WRN1642" s="21"/>
      <c r="WRO1642" s="21"/>
      <c r="WRP1642" s="21"/>
      <c r="WRQ1642" s="21"/>
      <c r="WRR1642" s="21"/>
      <c r="WRS1642" s="21"/>
      <c r="WRT1642" s="21"/>
      <c r="WRU1642" s="21"/>
      <c r="WRV1642" s="21"/>
      <c r="WRW1642" s="21"/>
      <c r="WRX1642" s="21"/>
      <c r="WRY1642" s="21"/>
      <c r="WRZ1642" s="21"/>
      <c r="WSA1642" s="21"/>
      <c r="WSB1642" s="21"/>
      <c r="WSC1642" s="21"/>
      <c r="WSD1642" s="21"/>
      <c r="WSE1642" s="21"/>
      <c r="WSF1642" s="21"/>
      <c r="WSG1642" s="21"/>
      <c r="WSH1642" s="21"/>
      <c r="WSI1642" s="21"/>
      <c r="WSJ1642" s="21"/>
      <c r="WSK1642" s="21"/>
      <c r="WSL1642" s="21"/>
      <c r="WSM1642" s="21"/>
      <c r="WSN1642" s="21"/>
      <c r="WSO1642" s="21"/>
      <c r="WSP1642" s="21"/>
      <c r="WSQ1642" s="21"/>
      <c r="WSR1642" s="21"/>
      <c r="WSS1642" s="21"/>
      <c r="WST1642" s="21"/>
      <c r="WSU1642" s="21"/>
      <c r="WSV1642" s="21"/>
      <c r="WSW1642" s="21"/>
      <c r="WSX1642" s="21"/>
      <c r="WSY1642" s="21"/>
      <c r="WSZ1642" s="21"/>
      <c r="WTA1642" s="21"/>
      <c r="WTB1642" s="21"/>
      <c r="WTC1642" s="21"/>
      <c r="WTD1642" s="21"/>
      <c r="WTE1642" s="21"/>
      <c r="WTF1642" s="21"/>
      <c r="WTG1642" s="21"/>
      <c r="WTH1642" s="21"/>
      <c r="WTI1642" s="21"/>
      <c r="WTJ1642" s="21"/>
      <c r="WTK1642" s="21"/>
      <c r="WTL1642" s="21"/>
      <c r="WTM1642" s="21"/>
      <c r="WTN1642" s="21"/>
      <c r="WTO1642" s="21"/>
      <c r="WTP1642" s="21"/>
      <c r="WTQ1642" s="21"/>
      <c r="WTR1642" s="21"/>
      <c r="WTS1642" s="21"/>
      <c r="WTT1642" s="21"/>
      <c r="WTU1642" s="21"/>
      <c r="WTV1642" s="21"/>
      <c r="WTW1642" s="21"/>
      <c r="WTX1642" s="21"/>
      <c r="WTY1642" s="21"/>
      <c r="WTZ1642" s="21"/>
      <c r="WUA1642" s="21"/>
      <c r="WUB1642" s="21"/>
      <c r="WUC1642" s="21"/>
      <c r="WUD1642" s="21"/>
      <c r="WUE1642" s="21"/>
      <c r="WUF1642" s="21"/>
      <c r="WUG1642" s="21"/>
      <c r="WUH1642" s="21"/>
      <c r="WUI1642" s="21"/>
      <c r="WUJ1642" s="21"/>
      <c r="WUK1642" s="21"/>
      <c r="WUL1642" s="21"/>
      <c r="WUM1642" s="21"/>
      <c r="WUN1642" s="21"/>
      <c r="WUO1642" s="21"/>
      <c r="WUP1642" s="21"/>
      <c r="WUQ1642" s="21"/>
      <c r="WUR1642" s="21"/>
      <c r="WUS1642" s="21"/>
      <c r="WUT1642" s="21"/>
      <c r="WUU1642" s="21"/>
      <c r="WUV1642" s="21"/>
      <c r="WUW1642" s="21"/>
      <c r="WUX1642" s="21"/>
      <c r="WUY1642" s="21"/>
      <c r="WUZ1642" s="21"/>
      <c r="WVA1642" s="21"/>
      <c r="WVB1642" s="21"/>
      <c r="WVC1642" s="21"/>
      <c r="WVD1642" s="21"/>
      <c r="WVE1642" s="21"/>
      <c r="WVF1642" s="21"/>
      <c r="WVG1642" s="21"/>
      <c r="WVH1642" s="21"/>
      <c r="WVI1642" s="21"/>
      <c r="WVJ1642" s="21"/>
      <c r="WVK1642" s="21"/>
      <c r="WVL1642" s="21"/>
      <c r="WVM1642" s="21"/>
      <c r="WVN1642" s="21"/>
      <c r="WVO1642" s="21"/>
      <c r="WVP1642" s="21"/>
      <c r="WVQ1642" s="21"/>
      <c r="WVR1642" s="21"/>
      <c r="WVS1642" s="21"/>
      <c r="WVT1642" s="21"/>
      <c r="WVU1642" s="21"/>
      <c r="WVV1642" s="21"/>
      <c r="WVW1642" s="21"/>
      <c r="WVX1642" s="21"/>
      <c r="WVY1642" s="21"/>
      <c r="WVZ1642" s="21"/>
      <c r="WWA1642" s="21"/>
      <c r="WWB1642" s="21"/>
      <c r="WWC1642" s="21"/>
      <c r="WWD1642" s="21"/>
      <c r="WWE1642" s="21"/>
      <c r="WWF1642" s="21"/>
      <c r="WWG1642" s="21"/>
      <c r="WWH1642" s="21"/>
      <c r="WWI1642" s="21"/>
      <c r="WWJ1642" s="21"/>
      <c r="WWK1642" s="21"/>
      <c r="WWL1642" s="21"/>
      <c r="WWM1642" s="21"/>
      <c r="WWN1642" s="21"/>
      <c r="WWO1642" s="21"/>
      <c r="WWP1642" s="21"/>
      <c r="WWQ1642" s="21"/>
      <c r="WWR1642" s="21"/>
      <c r="WWS1642" s="21"/>
      <c r="WWT1642" s="21"/>
      <c r="WWU1642" s="21"/>
      <c r="WWV1642" s="21"/>
      <c r="WWW1642" s="21"/>
      <c r="WWX1642" s="21"/>
      <c r="WWY1642" s="21"/>
      <c r="WWZ1642" s="21"/>
      <c r="WXA1642" s="21"/>
      <c r="WXB1642" s="21"/>
      <c r="WXC1642" s="21"/>
      <c r="WXD1642" s="21"/>
      <c r="WXE1642" s="21"/>
      <c r="WXF1642" s="21"/>
      <c r="WXG1642" s="21"/>
      <c r="WXH1642" s="21"/>
      <c r="WXI1642" s="21"/>
      <c r="WXJ1642" s="21"/>
      <c r="WXK1642" s="21"/>
      <c r="WXL1642" s="21"/>
      <c r="WXM1642" s="21"/>
      <c r="WXN1642" s="21"/>
      <c r="WXO1642" s="21"/>
      <c r="WXP1642" s="21"/>
      <c r="WXQ1642" s="21"/>
      <c r="WXR1642" s="21"/>
      <c r="WXS1642" s="21"/>
      <c r="WXT1642" s="21"/>
      <c r="WXU1642" s="21"/>
      <c r="WXV1642" s="21"/>
      <c r="WXW1642" s="21"/>
      <c r="WXX1642" s="21"/>
      <c r="WXY1642" s="21"/>
      <c r="WXZ1642" s="21"/>
      <c r="WYA1642" s="21"/>
      <c r="WYB1642" s="21"/>
      <c r="WYC1642" s="21"/>
      <c r="WYD1642" s="21"/>
      <c r="WYE1642" s="21"/>
      <c r="WYF1642" s="21"/>
      <c r="WYG1642" s="21"/>
      <c r="WYH1642" s="21"/>
      <c r="WYI1642" s="21"/>
      <c r="WYJ1642" s="21"/>
      <c r="WYK1642" s="21"/>
      <c r="WYL1642" s="21"/>
      <c r="WYM1642" s="21"/>
      <c r="WYN1642" s="21"/>
      <c r="WYO1642" s="21"/>
      <c r="WYP1642" s="21"/>
      <c r="WYQ1642" s="21"/>
      <c r="WYR1642" s="21"/>
      <c r="WYS1642" s="21"/>
      <c r="WYT1642" s="21"/>
      <c r="WYU1642" s="21"/>
      <c r="WYV1642" s="21"/>
      <c r="WYW1642" s="21"/>
      <c r="WYX1642" s="21"/>
      <c r="WYY1642" s="21"/>
      <c r="WYZ1642" s="21"/>
      <c r="WZA1642" s="21"/>
      <c r="WZB1642" s="21"/>
      <c r="WZC1642" s="21"/>
      <c r="WZD1642" s="21"/>
      <c r="WZE1642" s="21"/>
      <c r="WZF1642" s="21"/>
      <c r="WZG1642" s="21"/>
      <c r="WZH1642" s="21"/>
      <c r="WZI1642" s="21"/>
      <c r="WZJ1642" s="21"/>
      <c r="WZK1642" s="21"/>
      <c r="WZL1642" s="21"/>
      <c r="WZM1642" s="21"/>
      <c r="WZN1642" s="21"/>
      <c r="WZO1642" s="21"/>
      <c r="WZP1642" s="21"/>
      <c r="WZQ1642" s="21"/>
      <c r="WZR1642" s="21"/>
      <c r="WZS1642" s="21"/>
      <c r="WZT1642" s="21"/>
      <c r="WZU1642" s="21"/>
      <c r="WZV1642" s="21"/>
      <c r="WZW1642" s="21"/>
      <c r="WZX1642" s="21"/>
      <c r="WZY1642" s="21"/>
      <c r="WZZ1642" s="21"/>
      <c r="XAA1642" s="21"/>
      <c r="XAB1642" s="21"/>
      <c r="XAC1642" s="21"/>
      <c r="XAD1642" s="21"/>
      <c r="XAE1642" s="21"/>
      <c r="XAF1642" s="21"/>
      <c r="XAG1642" s="21"/>
      <c r="XAH1642" s="21"/>
      <c r="XAI1642" s="21"/>
      <c r="XAJ1642" s="21"/>
      <c r="XAK1642" s="21"/>
      <c r="XAL1642" s="21"/>
      <c r="XAM1642" s="21"/>
      <c r="XAN1642" s="21"/>
      <c r="XAO1642" s="21"/>
      <c r="XAP1642" s="21"/>
      <c r="XAQ1642" s="21"/>
      <c r="XAR1642" s="21"/>
      <c r="XAS1642" s="21"/>
      <c r="XAT1642" s="21"/>
      <c r="XAU1642" s="21"/>
      <c r="XAV1642" s="21"/>
      <c r="XAW1642" s="21"/>
      <c r="XAX1642" s="21"/>
      <c r="XAY1642" s="21"/>
      <c r="XAZ1642" s="21"/>
      <c r="XBA1642" s="21"/>
      <c r="XBB1642" s="21"/>
      <c r="XBC1642" s="21"/>
      <c r="XBD1642" s="21"/>
      <c r="XBE1642" s="21"/>
      <c r="XBF1642" s="21"/>
      <c r="XBG1642" s="21"/>
      <c r="XBH1642" s="21"/>
      <c r="XBI1642" s="21"/>
      <c r="XBJ1642" s="21"/>
      <c r="XBK1642" s="21"/>
      <c r="XBL1642" s="21"/>
      <c r="XBM1642" s="21"/>
      <c r="XBN1642" s="21"/>
      <c r="XBO1642" s="21"/>
      <c r="XBP1642" s="21"/>
      <c r="XBQ1642" s="21"/>
      <c r="XBR1642" s="21"/>
      <c r="XBS1642" s="21"/>
      <c r="XBT1642" s="21"/>
      <c r="XBU1642" s="21"/>
      <c r="XBV1642" s="21"/>
      <c r="XBW1642" s="21"/>
      <c r="XBX1642" s="21"/>
      <c r="XBY1642" s="21"/>
      <c r="XBZ1642" s="21"/>
      <c r="XCA1642" s="21"/>
      <c r="XCB1642" s="21"/>
      <c r="XCC1642" s="21"/>
      <c r="XCD1642" s="21"/>
      <c r="XCE1642" s="21"/>
      <c r="XCF1642" s="21"/>
      <c r="XCG1642" s="21"/>
      <c r="XCH1642" s="21"/>
      <c r="XCI1642" s="21"/>
      <c r="XCJ1642" s="21"/>
      <c r="XCK1642" s="21"/>
      <c r="XCL1642" s="21"/>
      <c r="XCM1642" s="21"/>
      <c r="XCN1642" s="21"/>
      <c r="XCO1642" s="21"/>
      <c r="XCP1642" s="21"/>
      <c r="XCQ1642" s="21"/>
      <c r="XCR1642" s="21"/>
      <c r="XCS1642" s="21"/>
      <c r="XCT1642" s="21"/>
      <c r="XCU1642" s="21"/>
      <c r="XCV1642" s="21"/>
      <c r="XCW1642" s="21"/>
      <c r="XCX1642" s="21"/>
      <c r="XCY1642" s="21"/>
      <c r="XCZ1642" s="21"/>
      <c r="XDA1642" s="21"/>
      <c r="XDB1642" s="21"/>
      <c r="XDC1642" s="21"/>
      <c r="XDD1642" s="21"/>
      <c r="XDE1642" s="21"/>
      <c r="XDF1642" s="21"/>
      <c r="XDG1642" s="21"/>
      <c r="XDH1642" s="21"/>
      <c r="XDI1642" s="21"/>
      <c r="XDJ1642" s="21"/>
      <c r="XDK1642" s="21"/>
      <c r="XDL1642" s="21"/>
      <c r="XDM1642" s="21"/>
      <c r="XDN1642" s="21"/>
      <c r="XDO1642" s="21"/>
      <c r="XDP1642" s="21"/>
      <c r="XDQ1642" s="21"/>
      <c r="XDR1642" s="21"/>
      <c r="XDS1642" s="21"/>
      <c r="XDT1642" s="21"/>
      <c r="XDU1642" s="21"/>
      <c r="XDV1642" s="21"/>
      <c r="XDW1642" s="21"/>
      <c r="XDX1642" s="21"/>
      <c r="XDY1642" s="21"/>
      <c r="XDZ1642" s="21"/>
      <c r="XEA1642" s="21"/>
      <c r="XEB1642" s="21"/>
      <c r="XEC1642" s="21"/>
      <c r="XED1642" s="21"/>
      <c r="XEE1642" s="21"/>
      <c r="XEF1642" s="21"/>
      <c r="XEG1642" s="21"/>
      <c r="XEH1642" s="21"/>
      <c r="XEI1642" s="21"/>
      <c r="XEJ1642" s="21"/>
      <c r="XEK1642" s="21"/>
      <c r="XEL1642" s="21"/>
      <c r="XEM1642" s="21"/>
      <c r="XEN1642" s="21"/>
      <c r="XEO1642" s="21"/>
      <c r="XEP1642" s="21"/>
      <c r="XEQ1642" s="21"/>
      <c r="XER1642" s="21"/>
      <c r="XES1642" s="21"/>
      <c r="XET1642" s="21"/>
      <c r="XEU1642" s="21"/>
      <c r="XEV1642" s="21"/>
      <c r="XEW1642" s="21"/>
      <c r="XEX1642" s="21"/>
      <c r="XEY1642" s="21"/>
      <c r="XEZ1642" s="21"/>
      <c r="XFA1642" s="21"/>
      <c r="XFB1642" s="21"/>
      <c r="XFC1642" s="21"/>
    </row>
    <row r="1643" spans="1:16383" s="21" customFormat="1" ht="16" thickBot="1">
      <c r="A1643" s="22"/>
      <c r="B1643" s="125">
        <v>72506.009999999995</v>
      </c>
      <c r="C1643" s="157" t="s">
        <v>1547</v>
      </c>
      <c r="D1643" s="104" t="s">
        <v>146</v>
      </c>
      <c r="E1643" s="194"/>
      <c r="F1643" s="105"/>
      <c r="G1643" s="106">
        <f t="shared" si="82"/>
        <v>0</v>
      </c>
    </row>
    <row r="1644" spans="1:16383" s="21" customFormat="1" ht="16" thickBot="1">
      <c r="A1644" s="22"/>
      <c r="B1644" s="151"/>
      <c r="C1644" s="112" t="s">
        <v>1110</v>
      </c>
      <c r="D1644" s="113"/>
      <c r="E1644" s="114">
        <f>IF(SUM(E1645:E1647)&gt;0,1,"")</f>
        <v>1</v>
      </c>
      <c r="F1644" s="115"/>
      <c r="G1644" s="116"/>
    </row>
    <row r="1645" spans="1:16383" s="21" customFormat="1" ht="15.5">
      <c r="A1645" s="22"/>
      <c r="B1645" s="136">
        <v>72801.009999999995</v>
      </c>
      <c r="C1645" s="159" t="s">
        <v>142</v>
      </c>
      <c r="D1645" s="62" t="s">
        <v>145</v>
      </c>
      <c r="E1645" s="245">
        <v>1</v>
      </c>
      <c r="F1645" s="63"/>
      <c r="G1645" s="103">
        <f>E1645*F1645</f>
        <v>0</v>
      </c>
    </row>
    <row r="1646" spans="1:16383" s="21" customFormat="1" ht="15.5">
      <c r="A1646" s="22"/>
      <c r="B1646" s="134" t="s">
        <v>1734</v>
      </c>
      <c r="C1646" s="156" t="s">
        <v>141</v>
      </c>
      <c r="D1646" s="25" t="s">
        <v>145</v>
      </c>
      <c r="E1646" s="234"/>
      <c r="F1646" s="67"/>
      <c r="G1646" s="81">
        <f>E1646*F1646</f>
        <v>0</v>
      </c>
    </row>
    <row r="1647" spans="1:16383" s="21" customFormat="1" ht="16" thickBot="1">
      <c r="A1647" s="22"/>
      <c r="B1647" s="135">
        <v>72803.009999999995</v>
      </c>
      <c r="C1647" s="157" t="s">
        <v>272</v>
      </c>
      <c r="D1647" s="104" t="s">
        <v>145</v>
      </c>
      <c r="E1647" s="194"/>
      <c r="F1647" s="105"/>
      <c r="G1647" s="106">
        <f>E1647*F1647</f>
        <v>0</v>
      </c>
    </row>
    <row r="1648" spans="1:16383" s="21" customFormat="1" ht="16" thickBot="1">
      <c r="A1648" s="22"/>
      <c r="B1648" s="151"/>
      <c r="C1648" s="112" t="s">
        <v>1111</v>
      </c>
      <c r="D1648" s="113"/>
      <c r="E1648" s="114">
        <f>IF(SUM(E1649:E1650)&gt;0,1,"")</f>
        <v>1</v>
      </c>
      <c r="F1648" s="115"/>
      <c r="G1648" s="116"/>
    </row>
    <row r="1649" spans="1:7" s="21" customFormat="1" ht="15.5">
      <c r="A1649" s="22"/>
      <c r="B1649" s="127">
        <v>72901.009999999995</v>
      </c>
      <c r="C1649" s="159" t="s">
        <v>140</v>
      </c>
      <c r="D1649" s="62" t="s">
        <v>151</v>
      </c>
      <c r="E1649" s="245">
        <v>390</v>
      </c>
      <c r="F1649" s="63"/>
      <c r="G1649" s="103">
        <f>E1649*F1649</f>
        <v>0</v>
      </c>
    </row>
    <row r="1650" spans="1:7" s="21" customFormat="1" ht="16" thickBot="1">
      <c r="A1650" s="22"/>
      <c r="B1650" s="135">
        <v>72902.009999999995</v>
      </c>
      <c r="C1650" s="157" t="s">
        <v>273</v>
      </c>
      <c r="D1650" s="104" t="s">
        <v>151</v>
      </c>
      <c r="E1650" s="194"/>
      <c r="F1650" s="105"/>
      <c r="G1650" s="106">
        <f>E1650*F1650</f>
        <v>0</v>
      </c>
    </row>
    <row r="1651" spans="1:7" s="21" customFormat="1" ht="16" thickBot="1">
      <c r="A1651" s="22"/>
      <c r="B1651" s="151"/>
      <c r="C1651" s="112" t="s">
        <v>1112</v>
      </c>
      <c r="D1651" s="113"/>
      <c r="E1651" s="114" t="str">
        <f>IF(SUM(E1652:E1656)&gt;0,1,"")</f>
        <v/>
      </c>
      <c r="F1651" s="115"/>
      <c r="G1651" s="116"/>
    </row>
    <row r="1652" spans="1:7" s="21" customFormat="1" ht="15.5">
      <c r="A1652" s="22"/>
      <c r="B1652" s="127">
        <v>73001.009999999995</v>
      </c>
      <c r="C1652" s="159" t="s">
        <v>139</v>
      </c>
      <c r="D1652" s="62" t="s">
        <v>151</v>
      </c>
      <c r="E1652" s="245"/>
      <c r="F1652" s="63"/>
      <c r="G1652" s="103">
        <f>E1652*F1652</f>
        <v>0</v>
      </c>
    </row>
    <row r="1653" spans="1:7" s="21" customFormat="1" ht="15.5">
      <c r="A1653" s="22"/>
      <c r="B1653" s="124">
        <v>73002.009999999995</v>
      </c>
      <c r="C1653" s="156" t="s">
        <v>1548</v>
      </c>
      <c r="D1653" s="25" t="s">
        <v>149</v>
      </c>
      <c r="E1653" s="234"/>
      <c r="F1653" s="67"/>
      <c r="G1653" s="81">
        <f>E1653*F1653</f>
        <v>0</v>
      </c>
    </row>
    <row r="1654" spans="1:7" s="21" customFormat="1" ht="15.5">
      <c r="A1654" s="22"/>
      <c r="B1654" s="124">
        <v>73003.009999999995</v>
      </c>
      <c r="C1654" s="156" t="s">
        <v>1549</v>
      </c>
      <c r="D1654" s="25" t="s">
        <v>149</v>
      </c>
      <c r="E1654" s="234"/>
      <c r="F1654" s="67"/>
      <c r="G1654" s="81">
        <f>E1654*F1654</f>
        <v>0</v>
      </c>
    </row>
    <row r="1655" spans="1:7" s="21" customFormat="1" ht="15.5">
      <c r="A1655" s="22"/>
      <c r="B1655" s="124">
        <v>73004.009999999995</v>
      </c>
      <c r="C1655" s="156" t="s">
        <v>1550</v>
      </c>
      <c r="D1655" s="25" t="s">
        <v>149</v>
      </c>
      <c r="E1655" s="234"/>
      <c r="F1655" s="67"/>
      <c r="G1655" s="81">
        <f>E1655*F1655</f>
        <v>0</v>
      </c>
    </row>
    <row r="1656" spans="1:7" s="21" customFormat="1" ht="16" thickBot="1">
      <c r="A1656" s="22"/>
      <c r="B1656" s="125">
        <v>73005.009999999995</v>
      </c>
      <c r="C1656" s="157" t="s">
        <v>632</v>
      </c>
      <c r="D1656" s="104" t="s">
        <v>151</v>
      </c>
      <c r="E1656" s="194"/>
      <c r="F1656" s="105"/>
      <c r="G1656" s="106">
        <f>E1656*F1656</f>
        <v>0</v>
      </c>
    </row>
    <row r="1657" spans="1:7" s="21" customFormat="1" ht="16" thickBot="1">
      <c r="A1657" s="22"/>
      <c r="B1657" s="151"/>
      <c r="C1657" s="112" t="s">
        <v>1113</v>
      </c>
      <c r="D1657" s="113"/>
      <c r="E1657" s="114" t="str">
        <f>IF(SUM(E1658:E1660)&gt;0,1,"")</f>
        <v/>
      </c>
      <c r="F1657" s="115"/>
      <c r="G1657" s="116"/>
    </row>
    <row r="1658" spans="1:7" s="21" customFormat="1" ht="15.5">
      <c r="A1658" s="22"/>
      <c r="B1658" s="127">
        <v>73101.009999999995</v>
      </c>
      <c r="C1658" s="159" t="s">
        <v>274</v>
      </c>
      <c r="D1658" s="62" t="s">
        <v>145</v>
      </c>
      <c r="E1658" s="245"/>
      <c r="F1658" s="63"/>
      <c r="G1658" s="103">
        <f>E1658*F1658</f>
        <v>0</v>
      </c>
    </row>
    <row r="1659" spans="1:7" s="21" customFormat="1" ht="15.5">
      <c r="A1659" s="22"/>
      <c r="B1659" s="124">
        <v>73102.009999999995</v>
      </c>
      <c r="C1659" s="156" t="s">
        <v>302</v>
      </c>
      <c r="D1659" s="25" t="s">
        <v>151</v>
      </c>
      <c r="E1659" s="234"/>
      <c r="F1659" s="67"/>
      <c r="G1659" s="81">
        <f>E1659*F1659</f>
        <v>0</v>
      </c>
    </row>
    <row r="1660" spans="1:7" s="21" customFormat="1" ht="16" thickBot="1">
      <c r="A1660" s="22"/>
      <c r="B1660" s="125">
        <v>73103.009999999995</v>
      </c>
      <c r="C1660" s="157" t="s">
        <v>303</v>
      </c>
      <c r="D1660" s="104" t="s">
        <v>151</v>
      </c>
      <c r="E1660" s="194"/>
      <c r="F1660" s="105"/>
      <c r="G1660" s="106">
        <f>E1660*F1660</f>
        <v>0</v>
      </c>
    </row>
    <row r="1661" spans="1:7" s="21" customFormat="1" ht="16" thickBot="1">
      <c r="A1661" s="22"/>
      <c r="B1661" s="123"/>
      <c r="C1661" s="23" t="s">
        <v>1114</v>
      </c>
      <c r="D1661" s="43"/>
      <c r="E1661" s="59" t="str">
        <f>IF(SUM(E1662:E1663)&gt;0,1,"")</f>
        <v/>
      </c>
      <c r="F1661" s="60"/>
      <c r="G1661" s="61"/>
    </row>
    <row r="1662" spans="1:7" s="21" customFormat="1" ht="15.5">
      <c r="A1662" s="22"/>
      <c r="B1662" s="127" t="s">
        <v>780</v>
      </c>
      <c r="C1662" s="159" t="s">
        <v>633</v>
      </c>
      <c r="D1662" s="62" t="s">
        <v>151</v>
      </c>
      <c r="E1662" s="245"/>
      <c r="F1662" s="63"/>
      <c r="G1662" s="103">
        <f>E1662*F1662</f>
        <v>0</v>
      </c>
    </row>
    <row r="1663" spans="1:7" s="21" customFormat="1" ht="16" thickBot="1">
      <c r="A1663" s="22"/>
      <c r="B1663" s="125" t="s">
        <v>781</v>
      </c>
      <c r="C1663" s="157" t="s">
        <v>634</v>
      </c>
      <c r="D1663" s="104" t="s">
        <v>151</v>
      </c>
      <c r="E1663" s="194"/>
      <c r="F1663" s="105"/>
      <c r="G1663" s="106">
        <f>E1663*F1663</f>
        <v>0</v>
      </c>
    </row>
    <row r="1664" spans="1:7" s="21" customFormat="1" ht="31.5" thickBot="1">
      <c r="A1664" s="22"/>
      <c r="B1664" s="123"/>
      <c r="C1664" s="23" t="s">
        <v>1115</v>
      </c>
      <c r="D1664" s="43"/>
      <c r="E1664" s="59" t="str">
        <f>IF(SUM(E1665:E1668)&gt;0,1,"")</f>
        <v/>
      </c>
      <c r="F1664" s="60"/>
      <c r="G1664" s="61"/>
    </row>
    <row r="1665" spans="1:7" s="21" customFormat="1" ht="15.5">
      <c r="A1665" s="22"/>
      <c r="B1665" s="127">
        <v>73301.009999999995</v>
      </c>
      <c r="C1665" s="159" t="s">
        <v>275</v>
      </c>
      <c r="D1665" s="62" t="s">
        <v>151</v>
      </c>
      <c r="E1665" s="245"/>
      <c r="F1665" s="63"/>
      <c r="G1665" s="103">
        <f>E1665*F1665</f>
        <v>0</v>
      </c>
    </row>
    <row r="1666" spans="1:7" s="21" customFormat="1" ht="15.5">
      <c r="A1666" s="22"/>
      <c r="B1666" s="134">
        <v>73302.009999999995</v>
      </c>
      <c r="C1666" s="156" t="s">
        <v>276</v>
      </c>
      <c r="D1666" s="25" t="s">
        <v>151</v>
      </c>
      <c r="E1666" s="234"/>
      <c r="F1666" s="67"/>
      <c r="G1666" s="81">
        <f>E1666*F1666</f>
        <v>0</v>
      </c>
    </row>
    <row r="1667" spans="1:7" s="21" customFormat="1" ht="15.5">
      <c r="A1667" s="22"/>
      <c r="B1667" s="134">
        <v>73303.009999999995</v>
      </c>
      <c r="C1667" s="156" t="s">
        <v>277</v>
      </c>
      <c r="D1667" s="25" t="s">
        <v>151</v>
      </c>
      <c r="E1667" s="234"/>
      <c r="F1667" s="67"/>
      <c r="G1667" s="81">
        <f>E1667*F1667</f>
        <v>0</v>
      </c>
    </row>
    <row r="1668" spans="1:7" s="21" customFormat="1" ht="16" thickBot="1">
      <c r="A1668" s="22"/>
      <c r="B1668" s="135">
        <v>73304.009999999995</v>
      </c>
      <c r="C1668" s="157" t="s">
        <v>278</v>
      </c>
      <c r="D1668" s="104" t="s">
        <v>151</v>
      </c>
      <c r="E1668" s="194"/>
      <c r="F1668" s="105"/>
      <c r="G1668" s="106">
        <f>E1668*F1668</f>
        <v>0</v>
      </c>
    </row>
    <row r="1669" spans="1:7" s="21" customFormat="1" ht="31.5" thickBot="1">
      <c r="A1669" s="22"/>
      <c r="B1669" s="123"/>
      <c r="C1669" s="23" t="s">
        <v>1116</v>
      </c>
      <c r="D1669" s="43"/>
      <c r="E1669" s="59">
        <f>IF(SUM(E1670:E1678)&gt;0,1,"")</f>
        <v>1</v>
      </c>
      <c r="F1669" s="60"/>
      <c r="G1669" s="61"/>
    </row>
    <row r="1670" spans="1:7" s="21" customFormat="1" ht="31.5" thickBot="1">
      <c r="A1670" s="22"/>
      <c r="B1670" s="123"/>
      <c r="C1670" s="23" t="s">
        <v>656</v>
      </c>
      <c r="D1670" s="43"/>
      <c r="E1670" s="59">
        <f>IF(SUM(E1671:E1678)&gt;0,1,"")</f>
        <v>1</v>
      </c>
      <c r="F1670" s="60"/>
      <c r="G1670" s="61"/>
    </row>
    <row r="1671" spans="1:7" s="21" customFormat="1" ht="15.5">
      <c r="A1671" s="22"/>
      <c r="B1671" s="136">
        <v>73401.009999999995</v>
      </c>
      <c r="C1671" s="159" t="s">
        <v>138</v>
      </c>
      <c r="D1671" s="62" t="s">
        <v>145</v>
      </c>
      <c r="E1671" s="245"/>
      <c r="F1671" s="63"/>
      <c r="G1671" s="103">
        <f t="shared" ref="G1671:G1678" si="83">E1671*F1671</f>
        <v>0</v>
      </c>
    </row>
    <row r="1672" spans="1:7" s="21" customFormat="1" ht="15.5">
      <c r="A1672" s="22"/>
      <c r="B1672" s="191">
        <v>73402.009999999995</v>
      </c>
      <c r="C1672" s="187" t="s">
        <v>2092</v>
      </c>
      <c r="D1672" s="25" t="s">
        <v>148</v>
      </c>
      <c r="E1672" s="234">
        <v>22</v>
      </c>
      <c r="F1672" s="67"/>
      <c r="G1672" s="81">
        <f t="shared" si="83"/>
        <v>0</v>
      </c>
    </row>
    <row r="1673" spans="1:7" s="21" customFormat="1" ht="15.5">
      <c r="A1673" s="22"/>
      <c r="B1673" s="191">
        <v>73402.02</v>
      </c>
      <c r="C1673" s="187" t="s">
        <v>1799</v>
      </c>
      <c r="D1673" s="25" t="s">
        <v>148</v>
      </c>
      <c r="E1673" s="234">
        <v>29</v>
      </c>
      <c r="F1673" s="67"/>
      <c r="G1673" s="81">
        <f t="shared" si="83"/>
        <v>0</v>
      </c>
    </row>
    <row r="1674" spans="1:7" s="21" customFormat="1" ht="15.5">
      <c r="A1674" s="22"/>
      <c r="B1674" s="134">
        <v>73403.009999999995</v>
      </c>
      <c r="C1674" s="156" t="s">
        <v>635</v>
      </c>
      <c r="D1674" s="25" t="s">
        <v>145</v>
      </c>
      <c r="E1674" s="234"/>
      <c r="F1674" s="67"/>
      <c r="G1674" s="81">
        <f t="shared" si="83"/>
        <v>0</v>
      </c>
    </row>
    <row r="1675" spans="1:7" s="21" customFormat="1" ht="15.5">
      <c r="A1675" s="22"/>
      <c r="B1675" s="124">
        <v>73404.009999999995</v>
      </c>
      <c r="C1675" s="156" t="s">
        <v>137</v>
      </c>
      <c r="D1675" s="25" t="s">
        <v>147</v>
      </c>
      <c r="E1675" s="234"/>
      <c r="F1675" s="67"/>
      <c r="G1675" s="81">
        <f t="shared" si="83"/>
        <v>0</v>
      </c>
    </row>
    <row r="1676" spans="1:7" s="21" customFormat="1" ht="15.5">
      <c r="A1676" s="22"/>
      <c r="B1676" s="124">
        <v>73405.009999999995</v>
      </c>
      <c r="C1676" s="156" t="s">
        <v>136</v>
      </c>
      <c r="D1676" s="25" t="s">
        <v>147</v>
      </c>
      <c r="E1676" s="234"/>
      <c r="F1676" s="67"/>
      <c r="G1676" s="81">
        <f t="shared" si="83"/>
        <v>0</v>
      </c>
    </row>
    <row r="1677" spans="1:7" s="21" customFormat="1" ht="15.5">
      <c r="A1677" s="22"/>
      <c r="B1677" s="124" t="s">
        <v>1735</v>
      </c>
      <c r="C1677" s="156" t="s">
        <v>1736</v>
      </c>
      <c r="D1677" s="25" t="s">
        <v>151</v>
      </c>
      <c r="E1677" s="234">
        <v>195</v>
      </c>
      <c r="F1677" s="67"/>
      <c r="G1677" s="81">
        <f t="shared" si="83"/>
        <v>0</v>
      </c>
    </row>
    <row r="1678" spans="1:7" s="21" customFormat="1" ht="16" thickBot="1">
      <c r="A1678" s="22"/>
      <c r="B1678" s="125">
        <v>73407.009999999995</v>
      </c>
      <c r="C1678" s="157" t="s">
        <v>279</v>
      </c>
      <c r="D1678" s="104" t="s">
        <v>145</v>
      </c>
      <c r="E1678" s="194"/>
      <c r="F1678" s="105"/>
      <c r="G1678" s="106">
        <f t="shared" si="83"/>
        <v>0</v>
      </c>
    </row>
    <row r="1679" spans="1:7" s="21" customFormat="1" ht="31.5" thickBot="1">
      <c r="A1679" s="22"/>
      <c r="B1679" s="123"/>
      <c r="C1679" s="23" t="s">
        <v>1117</v>
      </c>
      <c r="D1679" s="43"/>
      <c r="E1679" s="59" t="str">
        <f>IF(SUM(E1680:E1734)&gt;0,1,"")</f>
        <v/>
      </c>
      <c r="F1679" s="60"/>
      <c r="G1679" s="61"/>
    </row>
    <row r="1680" spans="1:7" s="21" customFormat="1" ht="16" thickBot="1">
      <c r="A1680" s="22"/>
      <c r="B1680" s="123"/>
      <c r="C1680" s="23" t="s">
        <v>1118</v>
      </c>
      <c r="D1680" s="43"/>
      <c r="E1680" s="59" t="str">
        <f>IF(SUM(E1681:E1706)&gt;0,1,"")</f>
        <v/>
      </c>
      <c r="F1680" s="60"/>
      <c r="G1680" s="61"/>
    </row>
    <row r="1681" spans="1:7" s="21" customFormat="1" ht="31">
      <c r="A1681" s="22"/>
      <c r="B1681" s="127">
        <v>73501.009999999995</v>
      </c>
      <c r="C1681" s="159" t="s">
        <v>1551</v>
      </c>
      <c r="D1681" s="62" t="s">
        <v>147</v>
      </c>
      <c r="E1681" s="245"/>
      <c r="F1681" s="63"/>
      <c r="G1681" s="103">
        <f t="shared" ref="G1681:G1706" si="84">E1681*F1681</f>
        <v>0</v>
      </c>
    </row>
    <row r="1682" spans="1:7" s="21" customFormat="1" ht="31">
      <c r="A1682" s="22"/>
      <c r="B1682" s="124">
        <v>73502.009999999995</v>
      </c>
      <c r="C1682" s="156" t="s">
        <v>1552</v>
      </c>
      <c r="D1682" s="25" t="s">
        <v>147</v>
      </c>
      <c r="E1682" s="234"/>
      <c r="F1682" s="67"/>
      <c r="G1682" s="81">
        <f t="shared" si="84"/>
        <v>0</v>
      </c>
    </row>
    <row r="1683" spans="1:7" s="21" customFormat="1" ht="31">
      <c r="A1683" s="22"/>
      <c r="B1683" s="124">
        <v>73503.009999999995</v>
      </c>
      <c r="C1683" s="156" t="s">
        <v>1553</v>
      </c>
      <c r="D1683" s="25" t="s">
        <v>151</v>
      </c>
      <c r="E1683" s="234"/>
      <c r="F1683" s="67"/>
      <c r="G1683" s="81">
        <f t="shared" si="84"/>
        <v>0</v>
      </c>
    </row>
    <row r="1684" spans="1:7" s="21" customFormat="1" ht="31">
      <c r="A1684" s="22"/>
      <c r="B1684" s="124">
        <v>73504.009999999995</v>
      </c>
      <c r="C1684" s="156" t="s">
        <v>1554</v>
      </c>
      <c r="D1684" s="25" t="s">
        <v>147</v>
      </c>
      <c r="E1684" s="234"/>
      <c r="F1684" s="67"/>
      <c r="G1684" s="81">
        <f t="shared" si="84"/>
        <v>0</v>
      </c>
    </row>
    <row r="1685" spans="1:7" s="21" customFormat="1" ht="31">
      <c r="A1685" s="22"/>
      <c r="B1685" s="124">
        <v>73505.009999999995</v>
      </c>
      <c r="C1685" s="156" t="s">
        <v>1555</v>
      </c>
      <c r="D1685" s="25" t="s">
        <v>147</v>
      </c>
      <c r="E1685" s="234"/>
      <c r="F1685" s="67"/>
      <c r="G1685" s="81">
        <f t="shared" si="84"/>
        <v>0</v>
      </c>
    </row>
    <row r="1686" spans="1:7" s="21" customFormat="1" ht="31">
      <c r="A1686" s="22"/>
      <c r="B1686" s="124">
        <v>73506.009999999995</v>
      </c>
      <c r="C1686" s="156" t="s">
        <v>1556</v>
      </c>
      <c r="D1686" s="25" t="s">
        <v>146</v>
      </c>
      <c r="E1686" s="234"/>
      <c r="F1686" s="67"/>
      <c r="G1686" s="81">
        <f t="shared" si="84"/>
        <v>0</v>
      </c>
    </row>
    <row r="1687" spans="1:7" s="21" customFormat="1" ht="31">
      <c r="A1687" s="22"/>
      <c r="B1687" s="124">
        <v>73507.009999999995</v>
      </c>
      <c r="C1687" s="156" t="s">
        <v>1557</v>
      </c>
      <c r="D1687" s="25" t="s">
        <v>146</v>
      </c>
      <c r="E1687" s="234"/>
      <c r="F1687" s="67"/>
      <c r="G1687" s="81">
        <f t="shared" si="84"/>
        <v>0</v>
      </c>
    </row>
    <row r="1688" spans="1:7" s="21" customFormat="1" ht="31">
      <c r="A1688" s="22"/>
      <c r="B1688" s="124">
        <v>73508.009999999995</v>
      </c>
      <c r="C1688" s="156" t="s">
        <v>1558</v>
      </c>
      <c r="D1688" s="25" t="s">
        <v>147</v>
      </c>
      <c r="E1688" s="234"/>
      <c r="F1688" s="67"/>
      <c r="G1688" s="81">
        <f t="shared" si="84"/>
        <v>0</v>
      </c>
    </row>
    <row r="1689" spans="1:7" s="21" customFormat="1" ht="31">
      <c r="A1689" s="22"/>
      <c r="B1689" s="124">
        <v>73509.009999999995</v>
      </c>
      <c r="C1689" s="156" t="s">
        <v>1559</v>
      </c>
      <c r="D1689" s="25" t="s">
        <v>147</v>
      </c>
      <c r="E1689" s="234"/>
      <c r="F1689" s="67"/>
      <c r="G1689" s="81">
        <f t="shared" si="84"/>
        <v>0</v>
      </c>
    </row>
    <row r="1690" spans="1:7" s="21" customFormat="1" ht="31">
      <c r="A1690" s="22"/>
      <c r="B1690" s="124">
        <v>73510.009999999995</v>
      </c>
      <c r="C1690" s="156" t="s">
        <v>1560</v>
      </c>
      <c r="D1690" s="25" t="s">
        <v>147</v>
      </c>
      <c r="E1690" s="234"/>
      <c r="F1690" s="67"/>
      <c r="G1690" s="81">
        <f t="shared" si="84"/>
        <v>0</v>
      </c>
    </row>
    <row r="1691" spans="1:7" s="21" customFormat="1" ht="31">
      <c r="A1691" s="22"/>
      <c r="B1691" s="124">
        <v>73511.009999999995</v>
      </c>
      <c r="C1691" s="156" t="s">
        <v>1561</v>
      </c>
      <c r="D1691" s="25" t="s">
        <v>147</v>
      </c>
      <c r="E1691" s="234"/>
      <c r="F1691" s="67"/>
      <c r="G1691" s="81">
        <f t="shared" si="84"/>
        <v>0</v>
      </c>
    </row>
    <row r="1692" spans="1:7" s="21" customFormat="1" ht="31">
      <c r="A1692" s="22"/>
      <c r="B1692" s="124">
        <v>73512.009999999995</v>
      </c>
      <c r="C1692" s="156" t="s">
        <v>1562</v>
      </c>
      <c r="D1692" s="25" t="s">
        <v>147</v>
      </c>
      <c r="E1692" s="234"/>
      <c r="F1692" s="67"/>
      <c r="G1692" s="81">
        <f t="shared" si="84"/>
        <v>0</v>
      </c>
    </row>
    <row r="1693" spans="1:7" s="21" customFormat="1" ht="31">
      <c r="A1693" s="22"/>
      <c r="B1693" s="124">
        <v>73513.009999999995</v>
      </c>
      <c r="C1693" s="156" t="s">
        <v>1563</v>
      </c>
      <c r="D1693" s="25" t="s">
        <v>147</v>
      </c>
      <c r="E1693" s="234"/>
      <c r="F1693" s="67"/>
      <c r="G1693" s="81">
        <f t="shared" si="84"/>
        <v>0</v>
      </c>
    </row>
    <row r="1694" spans="1:7" s="21" customFormat="1" ht="31">
      <c r="A1694" s="22"/>
      <c r="B1694" s="124">
        <v>73514.009999999995</v>
      </c>
      <c r="C1694" s="156" t="s">
        <v>1564</v>
      </c>
      <c r="D1694" s="25" t="s">
        <v>146</v>
      </c>
      <c r="E1694" s="234"/>
      <c r="F1694" s="67"/>
      <c r="G1694" s="81">
        <f t="shared" si="84"/>
        <v>0</v>
      </c>
    </row>
    <row r="1695" spans="1:7" s="21" customFormat="1" ht="31">
      <c r="A1695" s="22"/>
      <c r="B1695" s="124">
        <v>73515.009999999995</v>
      </c>
      <c r="C1695" s="156" t="s">
        <v>1565</v>
      </c>
      <c r="D1695" s="25" t="s">
        <v>147</v>
      </c>
      <c r="E1695" s="234"/>
      <c r="F1695" s="67"/>
      <c r="G1695" s="81">
        <f t="shared" si="84"/>
        <v>0</v>
      </c>
    </row>
    <row r="1696" spans="1:7" s="21" customFormat="1" ht="31">
      <c r="A1696" s="22"/>
      <c r="B1696" s="124">
        <v>73516.009999999995</v>
      </c>
      <c r="C1696" s="156" t="s">
        <v>1566</v>
      </c>
      <c r="D1696" s="25" t="s">
        <v>147</v>
      </c>
      <c r="E1696" s="234"/>
      <c r="F1696" s="67"/>
      <c r="G1696" s="81">
        <f t="shared" si="84"/>
        <v>0</v>
      </c>
    </row>
    <row r="1697" spans="1:7" s="21" customFormat="1" ht="31">
      <c r="A1697" s="22"/>
      <c r="B1697" s="124">
        <v>73517.009999999995</v>
      </c>
      <c r="C1697" s="156" t="s">
        <v>1567</v>
      </c>
      <c r="D1697" s="25" t="s">
        <v>147</v>
      </c>
      <c r="E1697" s="234"/>
      <c r="F1697" s="67"/>
      <c r="G1697" s="81">
        <f t="shared" si="84"/>
        <v>0</v>
      </c>
    </row>
    <row r="1698" spans="1:7" s="21" customFormat="1" ht="31">
      <c r="A1698" s="22"/>
      <c r="B1698" s="124">
        <v>73518.009999999995</v>
      </c>
      <c r="C1698" s="156" t="s">
        <v>1568</v>
      </c>
      <c r="D1698" s="25" t="s">
        <v>147</v>
      </c>
      <c r="E1698" s="234"/>
      <c r="F1698" s="67"/>
      <c r="G1698" s="81">
        <f t="shared" si="84"/>
        <v>0</v>
      </c>
    </row>
    <row r="1699" spans="1:7" s="21" customFormat="1" ht="31">
      <c r="A1699" s="22"/>
      <c r="B1699" s="124">
        <v>73519.009999999995</v>
      </c>
      <c r="C1699" s="156" t="s">
        <v>1569</v>
      </c>
      <c r="D1699" s="25" t="s">
        <v>146</v>
      </c>
      <c r="E1699" s="234"/>
      <c r="F1699" s="67"/>
      <c r="G1699" s="81">
        <f t="shared" si="84"/>
        <v>0</v>
      </c>
    </row>
    <row r="1700" spans="1:7" s="21" customFormat="1" ht="31">
      <c r="A1700" s="22"/>
      <c r="B1700" s="124">
        <v>73520.009999999995</v>
      </c>
      <c r="C1700" s="156" t="s">
        <v>1570</v>
      </c>
      <c r="D1700" s="25" t="s">
        <v>146</v>
      </c>
      <c r="E1700" s="234"/>
      <c r="F1700" s="67"/>
      <c r="G1700" s="81">
        <f t="shared" si="84"/>
        <v>0</v>
      </c>
    </row>
    <row r="1701" spans="1:7" s="21" customFormat="1" ht="31">
      <c r="A1701" s="22"/>
      <c r="B1701" s="124">
        <v>73521.009999999995</v>
      </c>
      <c r="C1701" s="156" t="s">
        <v>1571</v>
      </c>
      <c r="D1701" s="25" t="s">
        <v>146</v>
      </c>
      <c r="E1701" s="234"/>
      <c r="F1701" s="67"/>
      <c r="G1701" s="81">
        <f t="shared" si="84"/>
        <v>0</v>
      </c>
    </row>
    <row r="1702" spans="1:7" s="21" customFormat="1" ht="31">
      <c r="A1702" s="22"/>
      <c r="B1702" s="124">
        <v>73522.009999999995</v>
      </c>
      <c r="C1702" s="156" t="s">
        <v>1572</v>
      </c>
      <c r="D1702" s="25" t="s">
        <v>146</v>
      </c>
      <c r="E1702" s="234"/>
      <c r="F1702" s="67"/>
      <c r="G1702" s="81">
        <f t="shared" si="84"/>
        <v>0</v>
      </c>
    </row>
    <row r="1703" spans="1:7" s="21" customFormat="1" ht="31">
      <c r="A1703" s="22"/>
      <c r="B1703" s="124">
        <v>73523.009999999995</v>
      </c>
      <c r="C1703" s="156" t="s">
        <v>1573</v>
      </c>
      <c r="D1703" s="25" t="s">
        <v>146</v>
      </c>
      <c r="E1703" s="234"/>
      <c r="F1703" s="67"/>
      <c r="G1703" s="81">
        <f t="shared" si="84"/>
        <v>0</v>
      </c>
    </row>
    <row r="1704" spans="1:7" s="21" customFormat="1" ht="31">
      <c r="A1704" s="22"/>
      <c r="B1704" s="124">
        <v>73524.009999999995</v>
      </c>
      <c r="C1704" s="156" t="s">
        <v>1574</v>
      </c>
      <c r="D1704" s="25" t="s">
        <v>151</v>
      </c>
      <c r="E1704" s="234"/>
      <c r="F1704" s="67"/>
      <c r="G1704" s="81">
        <f t="shared" si="84"/>
        <v>0</v>
      </c>
    </row>
    <row r="1705" spans="1:7" s="21" customFormat="1" ht="31">
      <c r="A1705" s="22"/>
      <c r="B1705" s="124">
        <v>73525.009999999995</v>
      </c>
      <c r="C1705" s="156" t="s">
        <v>1575</v>
      </c>
      <c r="D1705" s="25" t="s">
        <v>147</v>
      </c>
      <c r="E1705" s="234"/>
      <c r="F1705" s="67"/>
      <c r="G1705" s="81">
        <f t="shared" si="84"/>
        <v>0</v>
      </c>
    </row>
    <row r="1706" spans="1:7" s="21" customFormat="1" ht="62.5" thickBot="1">
      <c r="A1706" s="22"/>
      <c r="B1706" s="125">
        <v>73526.009999999995</v>
      </c>
      <c r="C1706" s="157" t="s">
        <v>1576</v>
      </c>
      <c r="D1706" s="104" t="s">
        <v>147</v>
      </c>
      <c r="E1706" s="194"/>
      <c r="F1706" s="105"/>
      <c r="G1706" s="106">
        <f t="shared" si="84"/>
        <v>0</v>
      </c>
    </row>
    <row r="1707" spans="1:7" s="21" customFormat="1" ht="16" thickBot="1">
      <c r="A1707" s="22"/>
      <c r="B1707" s="123"/>
      <c r="C1707" s="23" t="s">
        <v>1119</v>
      </c>
      <c r="D1707" s="43"/>
      <c r="E1707" s="59" t="str">
        <f>IF(SUM(E1708:E1734)&gt;0,1,"")</f>
        <v/>
      </c>
      <c r="F1707" s="60"/>
      <c r="G1707" s="61"/>
    </row>
    <row r="1708" spans="1:7" s="21" customFormat="1" ht="31">
      <c r="A1708" s="22"/>
      <c r="B1708" s="127">
        <v>73601.009999999995</v>
      </c>
      <c r="C1708" s="159" t="s">
        <v>1577</v>
      </c>
      <c r="D1708" s="62" t="s">
        <v>147</v>
      </c>
      <c r="E1708" s="245"/>
      <c r="F1708" s="63"/>
      <c r="G1708" s="103">
        <f t="shared" ref="G1708:G1734" si="85">E1708*F1708</f>
        <v>0</v>
      </c>
    </row>
    <row r="1709" spans="1:7" s="21" customFormat="1" ht="31">
      <c r="A1709" s="8"/>
      <c r="B1709" s="124">
        <v>73602.009999999995</v>
      </c>
      <c r="C1709" s="156" t="s">
        <v>1578</v>
      </c>
      <c r="D1709" s="25" t="s">
        <v>147</v>
      </c>
      <c r="E1709" s="234"/>
      <c r="F1709" s="67"/>
      <c r="G1709" s="81">
        <f t="shared" si="85"/>
        <v>0</v>
      </c>
    </row>
    <row r="1710" spans="1:7" s="21" customFormat="1" ht="31">
      <c r="A1710" s="8"/>
      <c r="B1710" s="124">
        <v>73603.009999999995</v>
      </c>
      <c r="C1710" s="156" t="s">
        <v>1579</v>
      </c>
      <c r="D1710" s="25" t="s">
        <v>151</v>
      </c>
      <c r="E1710" s="234"/>
      <c r="F1710" s="67"/>
      <c r="G1710" s="81">
        <f t="shared" si="85"/>
        <v>0</v>
      </c>
    </row>
    <row r="1711" spans="1:7" s="21" customFormat="1" ht="31">
      <c r="A1711" s="8"/>
      <c r="B1711" s="124">
        <v>73604.009999999995</v>
      </c>
      <c r="C1711" s="156" t="s">
        <v>1580</v>
      </c>
      <c r="D1711" s="25" t="s">
        <v>147</v>
      </c>
      <c r="E1711" s="234"/>
      <c r="F1711" s="67"/>
      <c r="G1711" s="81">
        <f t="shared" si="85"/>
        <v>0</v>
      </c>
    </row>
    <row r="1712" spans="1:7" s="21" customFormat="1" ht="46.5">
      <c r="A1712" s="8"/>
      <c r="B1712" s="124">
        <v>73605.009999999995</v>
      </c>
      <c r="C1712" s="156" t="s">
        <v>1581</v>
      </c>
      <c r="D1712" s="25" t="s">
        <v>147</v>
      </c>
      <c r="E1712" s="234"/>
      <c r="F1712" s="67"/>
      <c r="G1712" s="81">
        <f t="shared" si="85"/>
        <v>0</v>
      </c>
    </row>
    <row r="1713" spans="1:7" s="21" customFormat="1" ht="31">
      <c r="A1713" s="8"/>
      <c r="B1713" s="124">
        <v>73606.009999999995</v>
      </c>
      <c r="C1713" s="156" t="s">
        <v>1582</v>
      </c>
      <c r="D1713" s="25" t="s">
        <v>146</v>
      </c>
      <c r="E1713" s="234"/>
      <c r="F1713" s="67"/>
      <c r="G1713" s="81">
        <f t="shared" si="85"/>
        <v>0</v>
      </c>
    </row>
    <row r="1714" spans="1:7" s="21" customFormat="1" ht="31">
      <c r="A1714" s="8"/>
      <c r="B1714" s="124">
        <v>73607.009999999995</v>
      </c>
      <c r="C1714" s="156" t="s">
        <v>1583</v>
      </c>
      <c r="D1714" s="25" t="s">
        <v>146</v>
      </c>
      <c r="E1714" s="234"/>
      <c r="F1714" s="67"/>
      <c r="G1714" s="81">
        <f t="shared" si="85"/>
        <v>0</v>
      </c>
    </row>
    <row r="1715" spans="1:7" ht="31">
      <c r="B1715" s="124">
        <v>73608.009999999995</v>
      </c>
      <c r="C1715" s="156" t="s">
        <v>1584</v>
      </c>
      <c r="D1715" s="25" t="s">
        <v>147</v>
      </c>
      <c r="E1715" s="234"/>
      <c r="F1715" s="67"/>
      <c r="G1715" s="81">
        <f t="shared" si="85"/>
        <v>0</v>
      </c>
    </row>
    <row r="1716" spans="1:7" ht="31">
      <c r="A1716"/>
      <c r="B1716" s="124">
        <v>73609.009999999995</v>
      </c>
      <c r="C1716" s="156" t="s">
        <v>1585</v>
      </c>
      <c r="D1716" s="25" t="s">
        <v>147</v>
      </c>
      <c r="E1716" s="234"/>
      <c r="F1716" s="67"/>
      <c r="G1716" s="81">
        <f t="shared" si="85"/>
        <v>0</v>
      </c>
    </row>
    <row r="1717" spans="1:7" ht="31">
      <c r="A1717"/>
      <c r="B1717" s="124">
        <v>73610.009999999995</v>
      </c>
      <c r="C1717" s="156" t="s">
        <v>1586</v>
      </c>
      <c r="D1717" s="25" t="s">
        <v>147</v>
      </c>
      <c r="E1717" s="234"/>
      <c r="F1717" s="67"/>
      <c r="G1717" s="81">
        <f t="shared" si="85"/>
        <v>0</v>
      </c>
    </row>
    <row r="1718" spans="1:7" ht="31">
      <c r="A1718"/>
      <c r="B1718" s="124">
        <v>73611.009999999995</v>
      </c>
      <c r="C1718" s="156" t="s">
        <v>1587</v>
      </c>
      <c r="D1718" s="25" t="s">
        <v>147</v>
      </c>
      <c r="E1718" s="234"/>
      <c r="F1718" s="67"/>
      <c r="G1718" s="81">
        <f t="shared" si="85"/>
        <v>0</v>
      </c>
    </row>
    <row r="1719" spans="1:7" ht="31">
      <c r="A1719"/>
      <c r="B1719" s="124">
        <v>73612.009999999995</v>
      </c>
      <c r="C1719" s="156" t="s">
        <v>1588</v>
      </c>
      <c r="D1719" s="25" t="s">
        <v>147</v>
      </c>
      <c r="E1719" s="234"/>
      <c r="F1719" s="67"/>
      <c r="G1719" s="81">
        <f t="shared" si="85"/>
        <v>0</v>
      </c>
    </row>
    <row r="1720" spans="1:7" ht="31">
      <c r="A1720"/>
      <c r="B1720" s="124">
        <v>73613.009999999995</v>
      </c>
      <c r="C1720" s="156" t="s">
        <v>1589</v>
      </c>
      <c r="D1720" s="25" t="s">
        <v>147</v>
      </c>
      <c r="E1720" s="234"/>
      <c r="F1720" s="67"/>
      <c r="G1720" s="81">
        <f t="shared" si="85"/>
        <v>0</v>
      </c>
    </row>
    <row r="1721" spans="1:7" ht="31">
      <c r="A1721"/>
      <c r="B1721" s="124">
        <v>73614.009999999995</v>
      </c>
      <c r="C1721" s="156" t="s">
        <v>1590</v>
      </c>
      <c r="D1721" s="25" t="s">
        <v>146</v>
      </c>
      <c r="E1721" s="234"/>
      <c r="F1721" s="67"/>
      <c r="G1721" s="81">
        <f t="shared" si="85"/>
        <v>0</v>
      </c>
    </row>
    <row r="1722" spans="1:7" ht="31">
      <c r="A1722"/>
      <c r="B1722" s="124">
        <v>73615.009999999995</v>
      </c>
      <c r="C1722" s="156" t="s">
        <v>1591</v>
      </c>
      <c r="D1722" s="25" t="s">
        <v>147</v>
      </c>
      <c r="E1722" s="234"/>
      <c r="F1722" s="67"/>
      <c r="G1722" s="81">
        <f t="shared" si="85"/>
        <v>0</v>
      </c>
    </row>
    <row r="1723" spans="1:7" ht="31">
      <c r="A1723"/>
      <c r="B1723" s="124">
        <v>73616.009999999995</v>
      </c>
      <c r="C1723" s="156" t="s">
        <v>1592</v>
      </c>
      <c r="D1723" s="25" t="s">
        <v>147</v>
      </c>
      <c r="E1723" s="234"/>
      <c r="F1723" s="67"/>
      <c r="G1723" s="81">
        <f t="shared" si="85"/>
        <v>0</v>
      </c>
    </row>
    <row r="1724" spans="1:7" ht="31">
      <c r="A1724"/>
      <c r="B1724" s="124">
        <v>73617.009999999995</v>
      </c>
      <c r="C1724" s="156" t="s">
        <v>1593</v>
      </c>
      <c r="D1724" s="25" t="s">
        <v>147</v>
      </c>
      <c r="E1724" s="234"/>
      <c r="F1724" s="67"/>
      <c r="G1724" s="81">
        <f t="shared" si="85"/>
        <v>0</v>
      </c>
    </row>
    <row r="1725" spans="1:7" ht="46.5">
      <c r="A1725"/>
      <c r="B1725" s="124">
        <v>73618.009999999995</v>
      </c>
      <c r="C1725" s="156" t="s">
        <v>1594</v>
      </c>
      <c r="D1725" s="25" t="s">
        <v>147</v>
      </c>
      <c r="E1725" s="234"/>
      <c r="F1725" s="67"/>
      <c r="G1725" s="81">
        <f t="shared" si="85"/>
        <v>0</v>
      </c>
    </row>
    <row r="1726" spans="1:7" ht="31">
      <c r="A1726"/>
      <c r="B1726" s="124">
        <v>73619.009999999995</v>
      </c>
      <c r="C1726" s="156" t="s">
        <v>1595</v>
      </c>
      <c r="D1726" s="25" t="s">
        <v>146</v>
      </c>
      <c r="E1726" s="234"/>
      <c r="F1726" s="67"/>
      <c r="G1726" s="81">
        <f t="shared" si="85"/>
        <v>0</v>
      </c>
    </row>
    <row r="1727" spans="1:7" ht="31">
      <c r="A1727"/>
      <c r="B1727" s="124">
        <v>73620.009999999995</v>
      </c>
      <c r="C1727" s="156" t="s">
        <v>1596</v>
      </c>
      <c r="D1727" s="25" t="s">
        <v>146</v>
      </c>
      <c r="E1727" s="234"/>
      <c r="F1727" s="67"/>
      <c r="G1727" s="81">
        <f t="shared" si="85"/>
        <v>0</v>
      </c>
    </row>
    <row r="1728" spans="1:7" ht="31">
      <c r="A1728"/>
      <c r="B1728" s="124">
        <v>73621.009999999995</v>
      </c>
      <c r="C1728" s="156" t="s">
        <v>1597</v>
      </c>
      <c r="D1728" s="25" t="s">
        <v>146</v>
      </c>
      <c r="E1728" s="234"/>
      <c r="F1728" s="67"/>
      <c r="G1728" s="81">
        <f t="shared" si="85"/>
        <v>0</v>
      </c>
    </row>
    <row r="1729" spans="1:7" ht="31">
      <c r="A1729"/>
      <c r="B1729" s="124">
        <v>73622.009999999995</v>
      </c>
      <c r="C1729" s="156" t="s">
        <v>1598</v>
      </c>
      <c r="D1729" s="25" t="s">
        <v>146</v>
      </c>
      <c r="E1729" s="234"/>
      <c r="F1729" s="67"/>
      <c r="G1729" s="81">
        <f t="shared" si="85"/>
        <v>0</v>
      </c>
    </row>
    <row r="1730" spans="1:7" ht="31">
      <c r="A1730"/>
      <c r="B1730" s="124">
        <v>73623.009999999995</v>
      </c>
      <c r="C1730" s="156" t="s">
        <v>1599</v>
      </c>
      <c r="D1730" s="25" t="s">
        <v>146</v>
      </c>
      <c r="E1730" s="234"/>
      <c r="F1730" s="67"/>
      <c r="G1730" s="81">
        <f t="shared" si="85"/>
        <v>0</v>
      </c>
    </row>
    <row r="1731" spans="1:7" ht="31">
      <c r="A1731"/>
      <c r="B1731" s="124">
        <v>73624.009999999995</v>
      </c>
      <c r="C1731" s="156" t="s">
        <v>1600</v>
      </c>
      <c r="D1731" s="25" t="s">
        <v>151</v>
      </c>
      <c r="E1731" s="234"/>
      <c r="F1731" s="67"/>
      <c r="G1731" s="81">
        <f t="shared" si="85"/>
        <v>0</v>
      </c>
    </row>
    <row r="1732" spans="1:7" ht="31">
      <c r="A1732"/>
      <c r="B1732" s="124">
        <v>73625.009999999995</v>
      </c>
      <c r="C1732" s="156" t="s">
        <v>1601</v>
      </c>
      <c r="D1732" s="25" t="s">
        <v>147</v>
      </c>
      <c r="E1732" s="234"/>
      <c r="F1732" s="67"/>
      <c r="G1732" s="81">
        <f t="shared" si="85"/>
        <v>0</v>
      </c>
    </row>
    <row r="1733" spans="1:7" ht="62">
      <c r="A1733"/>
      <c r="B1733" s="124">
        <v>73626.009999999995</v>
      </c>
      <c r="C1733" s="156" t="s">
        <v>1602</v>
      </c>
      <c r="D1733" s="25" t="s">
        <v>147</v>
      </c>
      <c r="E1733" s="234"/>
      <c r="F1733" s="67"/>
      <c r="G1733" s="81">
        <f t="shared" si="85"/>
        <v>0</v>
      </c>
    </row>
    <row r="1734" spans="1:7" ht="16" thickBot="1">
      <c r="A1734"/>
      <c r="B1734" s="125">
        <v>73627.009999999995</v>
      </c>
      <c r="C1734" s="157" t="s">
        <v>252</v>
      </c>
      <c r="D1734" s="104" t="s">
        <v>145</v>
      </c>
      <c r="E1734" s="194"/>
      <c r="F1734" s="105"/>
      <c r="G1734" s="106">
        <f t="shared" si="85"/>
        <v>0</v>
      </c>
    </row>
    <row r="1735" spans="1:7" ht="16" thickBot="1">
      <c r="A1735"/>
      <c r="B1735" s="123"/>
      <c r="C1735" s="23" t="s">
        <v>1120</v>
      </c>
      <c r="D1735" s="43"/>
      <c r="E1735" s="59">
        <f>IF(SUM(E1736)&gt;0,1,"")</f>
        <v>1</v>
      </c>
      <c r="F1735" s="60"/>
      <c r="G1735" s="61"/>
    </row>
    <row r="1736" spans="1:7" ht="16" thickBot="1">
      <c r="A1736"/>
      <c r="B1736" s="126" t="s">
        <v>782</v>
      </c>
      <c r="C1736" s="158" t="s">
        <v>636</v>
      </c>
      <c r="D1736" s="109" t="s">
        <v>151</v>
      </c>
      <c r="E1736" s="246">
        <v>386</v>
      </c>
      <c r="F1736" s="110"/>
      <c r="G1736" s="111">
        <f>E1736*F1736</f>
        <v>0</v>
      </c>
    </row>
    <row r="1737" spans="1:7" ht="16" thickBot="1">
      <c r="A1737"/>
      <c r="B1737" s="129"/>
      <c r="C1737" s="52" t="s">
        <v>966</v>
      </c>
      <c r="D1737" s="51"/>
      <c r="E1737" s="59" t="str">
        <f>IF(SUM(E1738)&gt;0,1,"")</f>
        <v/>
      </c>
      <c r="F1737" s="60"/>
      <c r="G1737" s="61"/>
    </row>
    <row r="1738" spans="1:7" ht="31.5" thickBot="1">
      <c r="A1738"/>
      <c r="B1738" s="138" t="s">
        <v>898</v>
      </c>
      <c r="C1738" s="166" t="s">
        <v>1622</v>
      </c>
      <c r="D1738" s="95" t="s">
        <v>151</v>
      </c>
      <c r="E1738" s="237"/>
      <c r="F1738" s="96"/>
      <c r="G1738" s="97">
        <f>E1738*F1738</f>
        <v>0</v>
      </c>
    </row>
    <row r="1739" spans="1:7" ht="16" thickBot="1">
      <c r="A1739"/>
      <c r="B1739" s="123"/>
      <c r="C1739" s="23" t="s">
        <v>1121</v>
      </c>
      <c r="D1739" s="43"/>
      <c r="E1739" s="59" t="str">
        <f>IF(SUM(E1740:E1747)&gt;0,1,"")</f>
        <v/>
      </c>
      <c r="F1739" s="60"/>
      <c r="G1739" s="61"/>
    </row>
    <row r="1740" spans="1:7" ht="31">
      <c r="A1740"/>
      <c r="B1740" s="127">
        <v>73901.009999999995</v>
      </c>
      <c r="C1740" s="159" t="s">
        <v>1603</v>
      </c>
      <c r="D1740" s="62" t="s">
        <v>148</v>
      </c>
      <c r="E1740" s="245"/>
      <c r="F1740" s="63"/>
      <c r="G1740" s="103">
        <f t="shared" ref="G1740:G1747" si="86">E1740*F1740</f>
        <v>0</v>
      </c>
    </row>
    <row r="1741" spans="1:7" ht="15.5">
      <c r="A1741"/>
      <c r="B1741" s="124">
        <v>73902.009999999995</v>
      </c>
      <c r="C1741" s="156" t="s">
        <v>1604</v>
      </c>
      <c r="D1741" s="25" t="s">
        <v>147</v>
      </c>
      <c r="E1741" s="234"/>
      <c r="F1741" s="67"/>
      <c r="G1741" s="81">
        <f t="shared" si="86"/>
        <v>0</v>
      </c>
    </row>
    <row r="1742" spans="1:7" ht="15.5">
      <c r="A1742"/>
      <c r="B1742" s="124">
        <v>73903.009999999995</v>
      </c>
      <c r="C1742" s="156" t="s">
        <v>1605</v>
      </c>
      <c r="D1742" s="25" t="s">
        <v>146</v>
      </c>
      <c r="E1742" s="234"/>
      <c r="F1742" s="67"/>
      <c r="G1742" s="81">
        <f t="shared" si="86"/>
        <v>0</v>
      </c>
    </row>
    <row r="1743" spans="1:7" ht="15.5">
      <c r="A1743"/>
      <c r="B1743" s="124">
        <v>73904.009999999995</v>
      </c>
      <c r="C1743" s="156" t="s">
        <v>1606</v>
      </c>
      <c r="D1743" s="25" t="s">
        <v>149</v>
      </c>
      <c r="E1743" s="234"/>
      <c r="F1743" s="67"/>
      <c r="G1743" s="81">
        <f t="shared" si="86"/>
        <v>0</v>
      </c>
    </row>
    <row r="1744" spans="1:7" ht="15.5">
      <c r="A1744"/>
      <c r="B1744" s="124">
        <v>73905.009999999995</v>
      </c>
      <c r="C1744" s="156" t="s">
        <v>1607</v>
      </c>
      <c r="D1744" s="25" t="s">
        <v>147</v>
      </c>
      <c r="E1744" s="234"/>
      <c r="F1744" s="67"/>
      <c r="G1744" s="81">
        <f t="shared" si="86"/>
        <v>0</v>
      </c>
    </row>
    <row r="1745" spans="1:7" ht="15.5">
      <c r="A1745"/>
      <c r="B1745" s="124">
        <v>73906.009999999995</v>
      </c>
      <c r="C1745" s="156" t="s">
        <v>1608</v>
      </c>
      <c r="D1745" s="25" t="s">
        <v>147</v>
      </c>
      <c r="E1745" s="234"/>
      <c r="F1745" s="67"/>
      <c r="G1745" s="81">
        <f t="shared" si="86"/>
        <v>0</v>
      </c>
    </row>
    <row r="1746" spans="1:7" ht="15.5">
      <c r="A1746"/>
      <c r="B1746" s="124">
        <v>73907.009999999995</v>
      </c>
      <c r="C1746" s="156" t="s">
        <v>1609</v>
      </c>
      <c r="D1746" s="25" t="s">
        <v>146</v>
      </c>
      <c r="E1746" s="234"/>
      <c r="F1746" s="67"/>
      <c r="G1746" s="81">
        <f t="shared" si="86"/>
        <v>0</v>
      </c>
    </row>
    <row r="1747" spans="1:7" ht="16" thickBot="1">
      <c r="A1747"/>
      <c r="B1747" s="125">
        <v>73908.009999999995</v>
      </c>
      <c r="C1747" s="157" t="s">
        <v>271</v>
      </c>
      <c r="D1747" s="104" t="s">
        <v>147</v>
      </c>
      <c r="E1747" s="194"/>
      <c r="F1747" s="105"/>
      <c r="G1747" s="106">
        <f t="shared" si="86"/>
        <v>0</v>
      </c>
    </row>
    <row r="1748" spans="1:7" ht="16" thickBot="1">
      <c r="A1748"/>
      <c r="B1748" s="123"/>
      <c r="C1748" s="23" t="s">
        <v>1122</v>
      </c>
      <c r="D1748" s="43"/>
      <c r="E1748" s="59" t="str">
        <f>IF(SUM(E1749:E1770)&gt;0,1,"")</f>
        <v/>
      </c>
      <c r="F1748" s="60"/>
      <c r="G1748" s="61"/>
    </row>
    <row r="1749" spans="1:7" ht="15.5">
      <c r="A1749"/>
      <c r="B1749" s="127">
        <v>77101.009999999995</v>
      </c>
      <c r="C1749" s="159" t="s">
        <v>280</v>
      </c>
      <c r="D1749" s="62" t="s">
        <v>145</v>
      </c>
      <c r="E1749" s="245"/>
      <c r="F1749" s="63"/>
      <c r="G1749" s="103">
        <f t="shared" ref="G1749:G1770" si="87">E1749*F1749</f>
        <v>0</v>
      </c>
    </row>
    <row r="1750" spans="1:7" ht="31">
      <c r="A1750"/>
      <c r="B1750" s="124">
        <v>77102.009999999995</v>
      </c>
      <c r="C1750" s="156" t="s">
        <v>281</v>
      </c>
      <c r="D1750" s="25" t="s">
        <v>145</v>
      </c>
      <c r="E1750" s="234"/>
      <c r="F1750" s="67"/>
      <c r="G1750" s="81">
        <f t="shared" si="87"/>
        <v>0</v>
      </c>
    </row>
    <row r="1751" spans="1:7" ht="15.5">
      <c r="A1751"/>
      <c r="B1751" s="124">
        <v>77103.009999999995</v>
      </c>
      <c r="C1751" s="156" t="s">
        <v>282</v>
      </c>
      <c r="D1751" s="25" t="s">
        <v>145</v>
      </c>
      <c r="E1751" s="234"/>
      <c r="F1751" s="67"/>
      <c r="G1751" s="81">
        <f t="shared" si="87"/>
        <v>0</v>
      </c>
    </row>
    <row r="1752" spans="1:7" ht="31">
      <c r="A1752"/>
      <c r="B1752" s="124">
        <v>77104.009999999995</v>
      </c>
      <c r="C1752" s="156" t="s">
        <v>283</v>
      </c>
      <c r="D1752" s="25" t="s">
        <v>145</v>
      </c>
      <c r="E1752" s="234"/>
      <c r="F1752" s="67"/>
      <c r="G1752" s="81">
        <f t="shared" si="87"/>
        <v>0</v>
      </c>
    </row>
    <row r="1753" spans="1:7" ht="15.5">
      <c r="A1753"/>
      <c r="B1753" s="124">
        <v>77105.009999999995</v>
      </c>
      <c r="C1753" s="156" t="s">
        <v>284</v>
      </c>
      <c r="D1753" s="25" t="s">
        <v>145</v>
      </c>
      <c r="E1753" s="234"/>
      <c r="F1753" s="67"/>
      <c r="G1753" s="81">
        <f t="shared" si="87"/>
        <v>0</v>
      </c>
    </row>
    <row r="1754" spans="1:7" ht="15.5">
      <c r="A1754"/>
      <c r="B1754" s="124">
        <v>77106.009999999995</v>
      </c>
      <c r="C1754" s="156" t="s">
        <v>285</v>
      </c>
      <c r="D1754" s="25" t="s">
        <v>145</v>
      </c>
      <c r="E1754" s="234"/>
      <c r="F1754" s="67"/>
      <c r="G1754" s="81">
        <f t="shared" si="87"/>
        <v>0</v>
      </c>
    </row>
    <row r="1755" spans="1:7" ht="15.5">
      <c r="A1755"/>
      <c r="B1755" s="124">
        <v>77107.009999999995</v>
      </c>
      <c r="C1755" s="156" t="s">
        <v>286</v>
      </c>
      <c r="D1755" s="25" t="s">
        <v>148</v>
      </c>
      <c r="E1755" s="234"/>
      <c r="F1755" s="67"/>
      <c r="G1755" s="81">
        <f t="shared" si="87"/>
        <v>0</v>
      </c>
    </row>
    <row r="1756" spans="1:7" ht="15.5">
      <c r="A1756"/>
      <c r="B1756" s="124">
        <v>77108.009999999995</v>
      </c>
      <c r="C1756" s="156" t="s">
        <v>287</v>
      </c>
      <c r="D1756" s="25" t="s">
        <v>148</v>
      </c>
      <c r="E1756" s="234"/>
      <c r="F1756" s="67"/>
      <c r="G1756" s="81">
        <f t="shared" si="87"/>
        <v>0</v>
      </c>
    </row>
    <row r="1757" spans="1:7" ht="15.5">
      <c r="A1757"/>
      <c r="B1757" s="124">
        <v>77109.009999999995</v>
      </c>
      <c r="C1757" s="156" t="s">
        <v>288</v>
      </c>
      <c r="D1757" s="25" t="s">
        <v>151</v>
      </c>
      <c r="E1757" s="234"/>
      <c r="F1757" s="67"/>
      <c r="G1757" s="81">
        <f t="shared" si="87"/>
        <v>0</v>
      </c>
    </row>
    <row r="1758" spans="1:7" ht="15.5">
      <c r="A1758"/>
      <c r="B1758" s="124">
        <v>77110.009999999995</v>
      </c>
      <c r="C1758" s="156" t="s">
        <v>289</v>
      </c>
      <c r="D1758" s="25" t="s">
        <v>151</v>
      </c>
      <c r="E1758" s="234"/>
      <c r="F1758" s="67"/>
      <c r="G1758" s="81">
        <f t="shared" si="87"/>
        <v>0</v>
      </c>
    </row>
    <row r="1759" spans="1:7" ht="31">
      <c r="A1759"/>
      <c r="B1759" s="124">
        <v>77111.009999999995</v>
      </c>
      <c r="C1759" s="156" t="s">
        <v>637</v>
      </c>
      <c r="D1759" s="25" t="s">
        <v>149</v>
      </c>
      <c r="E1759" s="234"/>
      <c r="F1759" s="67"/>
      <c r="G1759" s="81">
        <f t="shared" si="87"/>
        <v>0</v>
      </c>
    </row>
    <row r="1760" spans="1:7" ht="15.5">
      <c r="A1760"/>
      <c r="B1760" s="124">
        <v>77112.009999999995</v>
      </c>
      <c r="C1760" s="156" t="s">
        <v>638</v>
      </c>
      <c r="D1760" s="25" t="s">
        <v>145</v>
      </c>
      <c r="E1760" s="234"/>
      <c r="F1760" s="67"/>
      <c r="G1760" s="81">
        <f t="shared" si="87"/>
        <v>0</v>
      </c>
    </row>
    <row r="1761" spans="1:7" ht="15.5">
      <c r="A1761"/>
      <c r="B1761" s="124">
        <v>77113.009999999995</v>
      </c>
      <c r="C1761" s="156" t="s">
        <v>1623</v>
      </c>
      <c r="D1761" s="25" t="s">
        <v>147</v>
      </c>
      <c r="E1761" s="234"/>
      <c r="F1761" s="67"/>
      <c r="G1761" s="81">
        <f t="shared" si="87"/>
        <v>0</v>
      </c>
    </row>
    <row r="1762" spans="1:7" ht="15.5">
      <c r="A1762"/>
      <c r="B1762" s="124">
        <v>77114.009999999995</v>
      </c>
      <c r="C1762" s="156" t="s">
        <v>290</v>
      </c>
      <c r="D1762" s="25" t="s">
        <v>147</v>
      </c>
      <c r="E1762" s="234"/>
      <c r="F1762" s="67"/>
      <c r="G1762" s="81">
        <f t="shared" si="87"/>
        <v>0</v>
      </c>
    </row>
    <row r="1763" spans="1:7" ht="15.5">
      <c r="A1763"/>
      <c r="B1763" s="124">
        <v>77115.009999999995</v>
      </c>
      <c r="C1763" s="156" t="s">
        <v>639</v>
      </c>
      <c r="D1763" s="25" t="s">
        <v>147</v>
      </c>
      <c r="E1763" s="234"/>
      <c r="F1763" s="67"/>
      <c r="G1763" s="81">
        <f t="shared" si="87"/>
        <v>0</v>
      </c>
    </row>
    <row r="1764" spans="1:7" ht="31">
      <c r="A1764"/>
      <c r="B1764" s="124">
        <v>77116.009999999995</v>
      </c>
      <c r="C1764" s="156" t="s">
        <v>291</v>
      </c>
      <c r="D1764" s="25" t="s">
        <v>145</v>
      </c>
      <c r="E1764" s="234"/>
      <c r="F1764" s="67"/>
      <c r="G1764" s="81">
        <f t="shared" si="87"/>
        <v>0</v>
      </c>
    </row>
    <row r="1765" spans="1:7" ht="31">
      <c r="A1765"/>
      <c r="B1765" s="124">
        <v>77117.009999999995</v>
      </c>
      <c r="C1765" s="156" t="s">
        <v>640</v>
      </c>
      <c r="D1765" s="25" t="s">
        <v>145</v>
      </c>
      <c r="E1765" s="234"/>
      <c r="F1765" s="67"/>
      <c r="G1765" s="81">
        <f t="shared" si="87"/>
        <v>0</v>
      </c>
    </row>
    <row r="1766" spans="1:7" ht="15.5">
      <c r="A1766"/>
      <c r="B1766" s="124">
        <v>77118.009999999995</v>
      </c>
      <c r="C1766" s="156" t="s">
        <v>292</v>
      </c>
      <c r="D1766" s="25" t="s">
        <v>147</v>
      </c>
      <c r="E1766" s="234"/>
      <c r="F1766" s="67"/>
      <c r="G1766" s="81">
        <f t="shared" si="87"/>
        <v>0</v>
      </c>
    </row>
    <row r="1767" spans="1:7" ht="15.5">
      <c r="A1767"/>
      <c r="B1767" s="124">
        <v>77119.009999999995</v>
      </c>
      <c r="C1767" s="156" t="s">
        <v>293</v>
      </c>
      <c r="D1767" s="25" t="s">
        <v>148</v>
      </c>
      <c r="E1767" s="234"/>
      <c r="F1767" s="67"/>
      <c r="G1767" s="81">
        <f t="shared" si="87"/>
        <v>0</v>
      </c>
    </row>
    <row r="1768" spans="1:7" ht="15.5">
      <c r="A1768"/>
      <c r="B1768" s="124">
        <v>77120.009999999995</v>
      </c>
      <c r="C1768" s="156" t="s">
        <v>294</v>
      </c>
      <c r="D1768" s="25" t="s">
        <v>145</v>
      </c>
      <c r="E1768" s="234"/>
      <c r="F1768" s="67"/>
      <c r="G1768" s="81">
        <f t="shared" si="87"/>
        <v>0</v>
      </c>
    </row>
    <row r="1769" spans="1:7" ht="15.5">
      <c r="A1769"/>
      <c r="B1769" s="124">
        <v>77121.009999999995</v>
      </c>
      <c r="C1769" s="156" t="s">
        <v>295</v>
      </c>
      <c r="D1769" s="25" t="s">
        <v>145</v>
      </c>
      <c r="E1769" s="234"/>
      <c r="F1769" s="67"/>
      <c r="G1769" s="81">
        <f t="shared" si="87"/>
        <v>0</v>
      </c>
    </row>
    <row r="1770" spans="1:7" ht="16" thickBot="1">
      <c r="A1770"/>
      <c r="B1770" s="125">
        <v>77122.009999999995</v>
      </c>
      <c r="C1770" s="157" t="s">
        <v>296</v>
      </c>
      <c r="D1770" s="104" t="s">
        <v>145</v>
      </c>
      <c r="E1770" s="194"/>
      <c r="F1770" s="105"/>
      <c r="G1770" s="106">
        <f t="shared" si="87"/>
        <v>0</v>
      </c>
    </row>
    <row r="1771" spans="1:7" ht="31.5" thickBot="1">
      <c r="A1771"/>
      <c r="B1771" s="123"/>
      <c r="C1771" s="23" t="s">
        <v>973</v>
      </c>
      <c r="D1771" s="43"/>
      <c r="E1771" s="59" t="str">
        <f>IF(SUM(E1772:E1777)&gt;0,1,"")</f>
        <v/>
      </c>
      <c r="F1771" s="60"/>
      <c r="G1771" s="61"/>
    </row>
    <row r="1772" spans="1:7" ht="16" thickBot="1">
      <c r="A1772"/>
      <c r="B1772" s="123"/>
      <c r="C1772" s="23" t="s">
        <v>974</v>
      </c>
      <c r="D1772" s="43"/>
      <c r="E1772" s="59" t="str">
        <f>IF(SUM(E1773:E1777)&gt;0,1,"")</f>
        <v/>
      </c>
      <c r="F1772" s="60"/>
      <c r="G1772" s="61"/>
    </row>
    <row r="1773" spans="1:7" ht="15.5">
      <c r="A1773"/>
      <c r="B1773" s="127">
        <v>77201.009999999995</v>
      </c>
      <c r="C1773" s="159" t="s">
        <v>297</v>
      </c>
      <c r="D1773" s="62" t="s">
        <v>145</v>
      </c>
      <c r="E1773" s="245"/>
      <c r="F1773" s="63"/>
      <c r="G1773" s="103">
        <f>E1773*F1773</f>
        <v>0</v>
      </c>
    </row>
    <row r="1774" spans="1:7" ht="31">
      <c r="A1774"/>
      <c r="B1774" s="124">
        <v>77202.009999999995</v>
      </c>
      <c r="C1774" s="156" t="s">
        <v>641</v>
      </c>
      <c r="D1774" s="25" t="s">
        <v>145</v>
      </c>
      <c r="E1774" s="234"/>
      <c r="F1774" s="67"/>
      <c r="G1774" s="81">
        <f>E1774*F1774</f>
        <v>0</v>
      </c>
    </row>
    <row r="1775" spans="1:7" ht="15.5">
      <c r="A1775"/>
      <c r="B1775" s="124">
        <v>77203.009999999995</v>
      </c>
      <c r="C1775" s="156" t="s">
        <v>298</v>
      </c>
      <c r="D1775" s="25" t="s">
        <v>145</v>
      </c>
      <c r="E1775" s="234"/>
      <c r="F1775" s="67"/>
      <c r="G1775" s="81">
        <f>E1775*F1775</f>
        <v>0</v>
      </c>
    </row>
    <row r="1776" spans="1:7" ht="15.5">
      <c r="A1776"/>
      <c r="B1776" s="124">
        <v>77204.009999999995</v>
      </c>
      <c r="C1776" s="156" t="s">
        <v>299</v>
      </c>
      <c r="D1776" s="25" t="s">
        <v>145</v>
      </c>
      <c r="E1776" s="234"/>
      <c r="F1776" s="67"/>
      <c r="G1776" s="81">
        <f>E1776*F1776</f>
        <v>0</v>
      </c>
    </row>
    <row r="1777" spans="1:7" ht="16" thickBot="1">
      <c r="A1777"/>
      <c r="B1777" s="125">
        <v>77205.009999999995</v>
      </c>
      <c r="C1777" s="157" t="s">
        <v>642</v>
      </c>
      <c r="D1777" s="104" t="s">
        <v>145</v>
      </c>
      <c r="E1777" s="194"/>
      <c r="F1777" s="105"/>
      <c r="G1777" s="106">
        <f>E1777*F1777</f>
        <v>0</v>
      </c>
    </row>
    <row r="1778" spans="1:7" ht="31.5" thickBot="1">
      <c r="A1778"/>
      <c r="B1778" s="123"/>
      <c r="C1778" s="23" t="s">
        <v>975</v>
      </c>
      <c r="D1778" s="43"/>
      <c r="E1778" s="59">
        <f>IF(SUM(E1779:E1786)&gt;0,1,"")</f>
        <v>1</v>
      </c>
      <c r="F1778" s="60"/>
      <c r="G1778" s="61"/>
    </row>
    <row r="1779" spans="1:7" ht="15.5">
      <c r="A1779"/>
      <c r="B1779" s="127">
        <v>77301.009999999995</v>
      </c>
      <c r="C1779" s="159" t="s">
        <v>643</v>
      </c>
      <c r="D1779" s="62" t="s">
        <v>145</v>
      </c>
      <c r="E1779" s="245"/>
      <c r="F1779" s="63"/>
      <c r="G1779" s="103">
        <f t="shared" ref="G1779:G1786" si="88">E1779*F1779</f>
        <v>0</v>
      </c>
    </row>
    <row r="1780" spans="1:7" ht="31">
      <c r="A1780"/>
      <c r="B1780" s="124">
        <v>77302.009999999995</v>
      </c>
      <c r="C1780" s="156" t="s">
        <v>300</v>
      </c>
      <c r="D1780" s="25" t="s">
        <v>145</v>
      </c>
      <c r="E1780" s="234"/>
      <c r="F1780" s="67"/>
      <c r="G1780" s="81">
        <f t="shared" si="88"/>
        <v>0</v>
      </c>
    </row>
    <row r="1781" spans="1:7" ht="15.5">
      <c r="A1781"/>
      <c r="B1781" s="124">
        <v>77303.009999999995</v>
      </c>
      <c r="C1781" s="156" t="s">
        <v>301</v>
      </c>
      <c r="D1781" s="25" t="s">
        <v>145</v>
      </c>
      <c r="E1781" s="234"/>
      <c r="F1781" s="67"/>
      <c r="G1781" s="81">
        <f t="shared" si="88"/>
        <v>0</v>
      </c>
    </row>
    <row r="1782" spans="1:7" ht="31">
      <c r="A1782"/>
      <c r="B1782" s="124">
        <v>77304.009999999995</v>
      </c>
      <c r="C1782" s="156" t="s">
        <v>644</v>
      </c>
      <c r="D1782" s="25" t="s">
        <v>145</v>
      </c>
      <c r="E1782" s="234"/>
      <c r="F1782" s="67"/>
      <c r="G1782" s="81">
        <f t="shared" si="88"/>
        <v>0</v>
      </c>
    </row>
    <row r="1783" spans="1:7" ht="15.5">
      <c r="A1783"/>
      <c r="B1783" s="124">
        <v>77305.009999999995</v>
      </c>
      <c r="C1783" s="156" t="s">
        <v>298</v>
      </c>
      <c r="D1783" s="25" t="s">
        <v>145</v>
      </c>
      <c r="E1783" s="234"/>
      <c r="F1783" s="67"/>
      <c r="G1783" s="81">
        <f t="shared" si="88"/>
        <v>0</v>
      </c>
    </row>
    <row r="1784" spans="1:7" ht="15.5">
      <c r="A1784"/>
      <c r="B1784" s="124">
        <v>77306.009999999995</v>
      </c>
      <c r="C1784" s="156" t="s">
        <v>299</v>
      </c>
      <c r="D1784" s="25" t="s">
        <v>145</v>
      </c>
      <c r="E1784" s="234"/>
      <c r="F1784" s="67"/>
      <c r="G1784" s="81">
        <f t="shared" si="88"/>
        <v>0</v>
      </c>
    </row>
    <row r="1785" spans="1:7" ht="15.5">
      <c r="A1785"/>
      <c r="B1785" s="124">
        <v>77307.009999999995</v>
      </c>
      <c r="C1785" s="156" t="s">
        <v>645</v>
      </c>
      <c r="D1785" s="25" t="s">
        <v>145</v>
      </c>
      <c r="E1785" s="234"/>
      <c r="F1785" s="67"/>
      <c r="G1785" s="81">
        <f t="shared" si="88"/>
        <v>0</v>
      </c>
    </row>
    <row r="1786" spans="1:7" ht="16" thickBot="1">
      <c r="A1786"/>
      <c r="B1786" s="125" t="s">
        <v>2148</v>
      </c>
      <c r="C1786" s="157" t="s">
        <v>2149</v>
      </c>
      <c r="D1786" s="104" t="s">
        <v>145</v>
      </c>
      <c r="E1786" s="234">
        <v>1</v>
      </c>
      <c r="F1786" s="105"/>
      <c r="G1786" s="106">
        <f t="shared" si="88"/>
        <v>0</v>
      </c>
    </row>
    <row r="1787" spans="1:7" ht="16" thickBot="1">
      <c r="A1787"/>
      <c r="B1787" s="123"/>
      <c r="C1787" s="23" t="s">
        <v>972</v>
      </c>
      <c r="D1787" s="43"/>
      <c r="E1787" s="59" t="str">
        <f>IF(SUM(E1788:E1794)&gt;0,1,"")</f>
        <v/>
      </c>
      <c r="F1787" s="60"/>
      <c r="G1787" s="61"/>
    </row>
    <row r="1788" spans="1:7" ht="15.5">
      <c r="A1788"/>
      <c r="B1788" s="127">
        <v>77601.009999999995</v>
      </c>
      <c r="C1788" s="159" t="s">
        <v>646</v>
      </c>
      <c r="D1788" s="62" t="s">
        <v>145</v>
      </c>
      <c r="E1788" s="245"/>
      <c r="F1788" s="63"/>
      <c r="G1788" s="103">
        <f t="shared" ref="G1788:G1794" si="89">E1788*F1788</f>
        <v>0</v>
      </c>
    </row>
    <row r="1789" spans="1:7" ht="15.5">
      <c r="A1789"/>
      <c r="B1789" s="124">
        <v>77602.009999999995</v>
      </c>
      <c r="C1789" s="156" t="s">
        <v>647</v>
      </c>
      <c r="D1789" s="25" t="s">
        <v>145</v>
      </c>
      <c r="E1789" s="234"/>
      <c r="F1789" s="67"/>
      <c r="G1789" s="81">
        <f t="shared" si="89"/>
        <v>0</v>
      </c>
    </row>
    <row r="1790" spans="1:7" ht="15.5">
      <c r="A1790"/>
      <c r="B1790" s="124">
        <v>77603.009999999995</v>
      </c>
      <c r="C1790" s="156" t="s">
        <v>648</v>
      </c>
      <c r="D1790" s="25" t="s">
        <v>145</v>
      </c>
      <c r="E1790" s="234"/>
      <c r="F1790" s="67"/>
      <c r="G1790" s="81">
        <f t="shared" si="89"/>
        <v>0</v>
      </c>
    </row>
    <row r="1791" spans="1:7" ht="15.5">
      <c r="A1791"/>
      <c r="B1791" s="124">
        <v>77604.009999999995</v>
      </c>
      <c r="C1791" s="156" t="s">
        <v>1610</v>
      </c>
      <c r="D1791" s="25" t="s">
        <v>148</v>
      </c>
      <c r="E1791" s="234"/>
      <c r="F1791" s="67"/>
      <c r="G1791" s="81">
        <f t="shared" si="89"/>
        <v>0</v>
      </c>
    </row>
    <row r="1792" spans="1:7" ht="15.5">
      <c r="A1792"/>
      <c r="B1792" s="124">
        <v>77605.009999999995</v>
      </c>
      <c r="C1792" s="156" t="s">
        <v>649</v>
      </c>
      <c r="D1792" s="25" t="s">
        <v>652</v>
      </c>
      <c r="E1792" s="234"/>
      <c r="F1792" s="67"/>
      <c r="G1792" s="81">
        <f t="shared" si="89"/>
        <v>0</v>
      </c>
    </row>
    <row r="1793" spans="1:7" ht="15.5">
      <c r="A1793"/>
      <c r="B1793" s="124">
        <v>77606.009999999995</v>
      </c>
      <c r="C1793" s="156" t="s">
        <v>650</v>
      </c>
      <c r="D1793" s="25" t="s">
        <v>652</v>
      </c>
      <c r="E1793" s="234"/>
      <c r="F1793" s="67"/>
      <c r="G1793" s="81">
        <f t="shared" si="89"/>
        <v>0</v>
      </c>
    </row>
    <row r="1794" spans="1:7" ht="16" thickBot="1">
      <c r="A1794"/>
      <c r="B1794" s="125">
        <v>77607.009999999995</v>
      </c>
      <c r="C1794" s="157" t="s">
        <v>651</v>
      </c>
      <c r="D1794" s="104" t="s">
        <v>145</v>
      </c>
      <c r="E1794" s="194"/>
      <c r="F1794" s="105"/>
      <c r="G1794" s="106">
        <f t="shared" si="89"/>
        <v>0</v>
      </c>
    </row>
    <row r="1795" spans="1:7" ht="16" thickBot="1">
      <c r="A1795"/>
      <c r="B1795" s="129"/>
      <c r="C1795" s="52" t="s">
        <v>967</v>
      </c>
      <c r="D1795" s="51"/>
      <c r="E1795" s="59">
        <f>IF(SUM(E1796)&gt;0,1,"")</f>
        <v>1</v>
      </c>
      <c r="F1795" s="60"/>
      <c r="G1795" s="61"/>
    </row>
    <row r="1796" spans="1:7" ht="31.5" thickBot="1">
      <c r="B1796" s="138" t="s">
        <v>899</v>
      </c>
      <c r="C1796" s="166" t="s">
        <v>204</v>
      </c>
      <c r="D1796" s="95" t="s">
        <v>145</v>
      </c>
      <c r="E1796" s="237">
        <v>1</v>
      </c>
      <c r="F1796" s="96"/>
      <c r="G1796" s="97">
        <f>E1796*F1796</f>
        <v>0</v>
      </c>
    </row>
    <row r="1797" spans="1:7" ht="16" thickBot="1">
      <c r="B1797" s="129"/>
      <c r="C1797" s="52" t="s">
        <v>958</v>
      </c>
      <c r="D1797" s="51"/>
      <c r="E1797" s="59" t="str">
        <f>IF(SUM(E1798)&gt;0,1,"")</f>
        <v/>
      </c>
      <c r="F1797" s="60"/>
      <c r="G1797" s="61"/>
    </row>
    <row r="1798" spans="1:7" ht="16" thickBot="1">
      <c r="B1798" s="138" t="s">
        <v>959</v>
      </c>
      <c r="C1798" s="166" t="s">
        <v>198</v>
      </c>
      <c r="D1798" s="95" t="s">
        <v>146</v>
      </c>
      <c r="E1798" s="237"/>
      <c r="F1798" s="96"/>
      <c r="G1798" s="97">
        <f>E1798*F1798</f>
        <v>0</v>
      </c>
    </row>
    <row r="1799" spans="1:7" ht="16" thickBot="1">
      <c r="B1799" s="129"/>
      <c r="C1799" s="52" t="s">
        <v>955</v>
      </c>
      <c r="D1799" s="51"/>
      <c r="E1799" s="59" t="str">
        <f>IF(SUM(E1800)&gt;0,1,"")</f>
        <v/>
      </c>
      <c r="F1799" s="60"/>
      <c r="G1799" s="61"/>
    </row>
    <row r="1800" spans="1:7" ht="16" thickBot="1">
      <c r="B1800" s="138" t="s">
        <v>956</v>
      </c>
      <c r="C1800" s="166" t="s">
        <v>957</v>
      </c>
      <c r="D1800" s="95" t="s">
        <v>145</v>
      </c>
      <c r="E1800" s="237"/>
      <c r="F1800" s="96"/>
      <c r="G1800" s="97">
        <f>E1800*F1800</f>
        <v>0</v>
      </c>
    </row>
    <row r="1801" spans="1:7" ht="16" thickBot="1">
      <c r="B1801" s="152"/>
      <c r="C1801" s="176" t="s">
        <v>398</v>
      </c>
      <c r="D1801" s="121"/>
      <c r="E1801" s="114">
        <f>IF(SUM(E1802:E1823)&gt;0,1,"")</f>
        <v>1</v>
      </c>
      <c r="F1801" s="115"/>
      <c r="G1801" s="116"/>
    </row>
    <row r="1802" spans="1:7" ht="31">
      <c r="B1802" s="261" t="s">
        <v>1755</v>
      </c>
      <c r="C1802" s="264" t="s">
        <v>1961</v>
      </c>
      <c r="D1802" s="262" t="s">
        <v>147</v>
      </c>
      <c r="E1802" s="263">
        <v>1</v>
      </c>
      <c r="F1802" s="280"/>
      <c r="G1802" s="103">
        <f>E1802*F1802</f>
        <v>0</v>
      </c>
    </row>
    <row r="1803" spans="1:7" ht="15.5">
      <c r="B1803" s="198" t="s">
        <v>1850</v>
      </c>
      <c r="C1803" s="259" t="s">
        <v>2075</v>
      </c>
      <c r="D1803" s="199" t="s">
        <v>145</v>
      </c>
      <c r="E1803" s="195">
        <v>1</v>
      </c>
      <c r="F1803" s="281"/>
      <c r="G1803" s="81">
        <f>E1803*F1803</f>
        <v>0</v>
      </c>
    </row>
    <row r="1804" spans="1:7" ht="31">
      <c r="B1804" s="198" t="s">
        <v>2076</v>
      </c>
      <c r="C1804" s="259" t="s">
        <v>2077</v>
      </c>
      <c r="D1804" s="199" t="s">
        <v>2212</v>
      </c>
      <c r="E1804" s="195">
        <v>1</v>
      </c>
      <c r="F1804" s="281"/>
      <c r="G1804" s="81">
        <v>75000</v>
      </c>
    </row>
    <row r="1805" spans="1:7" s="21" customFormat="1" ht="31">
      <c r="A1805" s="22"/>
      <c r="B1805" s="198" t="s">
        <v>2078</v>
      </c>
      <c r="C1805" s="259" t="s">
        <v>2079</v>
      </c>
      <c r="D1805" s="199" t="s">
        <v>2212</v>
      </c>
      <c r="E1805" s="195">
        <v>1</v>
      </c>
      <c r="F1805" s="281"/>
      <c r="G1805" s="81">
        <v>150000</v>
      </c>
    </row>
    <row r="1806" spans="1:7" s="21" customFormat="1" ht="31">
      <c r="A1806" s="22"/>
      <c r="B1806" s="198" t="s">
        <v>2080</v>
      </c>
      <c r="C1806" s="259" t="s">
        <v>2081</v>
      </c>
      <c r="D1806" s="199" t="s">
        <v>2212</v>
      </c>
      <c r="E1806" s="195">
        <v>1</v>
      </c>
      <c r="F1806" s="281"/>
      <c r="G1806" s="81">
        <v>75000</v>
      </c>
    </row>
    <row r="1807" spans="1:7" s="21" customFormat="1" ht="46.5">
      <c r="A1807" s="22"/>
      <c r="B1807" s="200" t="s">
        <v>1756</v>
      </c>
      <c r="C1807" s="260" t="s">
        <v>1922</v>
      </c>
      <c r="D1807" s="199" t="s">
        <v>176</v>
      </c>
      <c r="E1807" s="195">
        <v>1</v>
      </c>
      <c r="F1807" s="196"/>
      <c r="G1807" s="81">
        <f t="shared" ref="G1807:G1819" si="90">E1807*F1807</f>
        <v>0</v>
      </c>
    </row>
    <row r="1808" spans="1:7" s="21" customFormat="1" ht="31">
      <c r="A1808" s="22"/>
      <c r="B1808" s="200" t="s">
        <v>1969</v>
      </c>
      <c r="C1808" s="156" t="s">
        <v>1978</v>
      </c>
      <c r="D1808" s="25" t="s">
        <v>146</v>
      </c>
      <c r="E1808" s="195">
        <f>ROUNDUP(2.3+4+4+4+3.7,0)</f>
        <v>18</v>
      </c>
      <c r="F1808" s="67"/>
      <c r="G1808" s="81">
        <f t="shared" si="90"/>
        <v>0</v>
      </c>
    </row>
    <row r="1809" spans="1:7" s="21" customFormat="1" ht="31">
      <c r="A1809" s="22"/>
      <c r="B1809" s="200" t="s">
        <v>1970</v>
      </c>
      <c r="C1809" s="156" t="s">
        <v>1979</v>
      </c>
      <c r="D1809" s="25" t="s">
        <v>146</v>
      </c>
      <c r="E1809" s="195">
        <f>ROUNDUP(10.4+5,0)</f>
        <v>16</v>
      </c>
      <c r="F1809" s="67"/>
      <c r="G1809" s="81">
        <f t="shared" si="90"/>
        <v>0</v>
      </c>
    </row>
    <row r="1810" spans="1:7" ht="31">
      <c r="B1810" s="200" t="s">
        <v>1971</v>
      </c>
      <c r="C1810" s="156" t="s">
        <v>1980</v>
      </c>
      <c r="D1810" s="25" t="s">
        <v>146</v>
      </c>
      <c r="E1810" s="195">
        <f>ROUNDUP(13.7+6.2+3.5+4.6+10.7+12.2+2+9.7,0)</f>
        <v>63</v>
      </c>
      <c r="F1810" s="67"/>
      <c r="G1810" s="81">
        <f t="shared" si="90"/>
        <v>0</v>
      </c>
    </row>
    <row r="1811" spans="1:7" ht="31">
      <c r="B1811" s="200" t="s">
        <v>1974</v>
      </c>
      <c r="C1811" s="156" t="s">
        <v>1983</v>
      </c>
      <c r="D1811" s="25" t="s">
        <v>147</v>
      </c>
      <c r="E1811" s="195">
        <v>1</v>
      </c>
      <c r="F1811" s="67"/>
      <c r="G1811" s="81">
        <f t="shared" si="90"/>
        <v>0</v>
      </c>
    </row>
    <row r="1812" spans="1:7" ht="31">
      <c r="A1812" s="203"/>
      <c r="B1812" s="200" t="s">
        <v>1975</v>
      </c>
      <c r="C1812" s="156" t="s">
        <v>1984</v>
      </c>
      <c r="D1812" s="25" t="s">
        <v>147</v>
      </c>
      <c r="E1812" s="195">
        <v>3</v>
      </c>
      <c r="F1812" s="67"/>
      <c r="G1812" s="81">
        <f t="shared" si="90"/>
        <v>0</v>
      </c>
    </row>
    <row r="1813" spans="1:7" ht="31">
      <c r="A1813" s="203"/>
      <c r="B1813" s="200" t="s">
        <v>1976</v>
      </c>
      <c r="C1813" s="260" t="s">
        <v>1981</v>
      </c>
      <c r="D1813" s="201" t="s">
        <v>146</v>
      </c>
      <c r="E1813" s="195">
        <f>ROUNDUP(5.3+7+5.2+5.1,0)</f>
        <v>23</v>
      </c>
      <c r="F1813" s="196"/>
      <c r="G1813" s="81">
        <f t="shared" si="90"/>
        <v>0</v>
      </c>
    </row>
    <row r="1814" spans="1:7" ht="31">
      <c r="A1814" s="203"/>
      <c r="B1814" s="200" t="s">
        <v>1977</v>
      </c>
      <c r="C1814" s="260" t="s">
        <v>1982</v>
      </c>
      <c r="D1814" s="201" t="s">
        <v>146</v>
      </c>
      <c r="E1814" s="195">
        <v>2</v>
      </c>
      <c r="F1814" s="196"/>
      <c r="G1814" s="81">
        <f t="shared" si="90"/>
        <v>0</v>
      </c>
    </row>
    <row r="1815" spans="1:7" ht="31">
      <c r="A1815" s="203"/>
      <c r="B1815" s="200" t="s">
        <v>1757</v>
      </c>
      <c r="C1815" s="260" t="s">
        <v>1967</v>
      </c>
      <c r="D1815" s="25" t="s">
        <v>151</v>
      </c>
      <c r="E1815" s="195">
        <v>190</v>
      </c>
      <c r="F1815" s="196"/>
      <c r="G1815" s="190">
        <f t="shared" si="90"/>
        <v>0</v>
      </c>
    </row>
    <row r="1816" spans="1:7" ht="31">
      <c r="A1816" s="203"/>
      <c r="B1816" s="200" t="s">
        <v>1966</v>
      </c>
      <c r="C1816" s="260" t="s">
        <v>1967</v>
      </c>
      <c r="D1816" s="25" t="s">
        <v>151</v>
      </c>
      <c r="E1816" s="195">
        <v>45</v>
      </c>
      <c r="F1816" s="196"/>
      <c r="G1816" s="190">
        <f t="shared" si="90"/>
        <v>0</v>
      </c>
    </row>
    <row r="1817" spans="1:7" ht="15.5">
      <c r="A1817" s="203"/>
      <c r="B1817" s="200" t="s">
        <v>1985</v>
      </c>
      <c r="C1817" s="260" t="s">
        <v>1904</v>
      </c>
      <c r="D1817" s="201" t="s">
        <v>145</v>
      </c>
      <c r="E1817" s="195"/>
      <c r="F1817" s="196"/>
      <c r="G1817" s="190">
        <f t="shared" si="90"/>
        <v>0</v>
      </c>
    </row>
    <row r="1818" spans="1:7" ht="15.5">
      <c r="B1818" s="200" t="s">
        <v>1758</v>
      </c>
      <c r="C1818" s="260" t="s">
        <v>1959</v>
      </c>
      <c r="D1818" s="201" t="s">
        <v>146</v>
      </c>
      <c r="E1818" s="195">
        <v>345</v>
      </c>
      <c r="F1818" s="196"/>
      <c r="G1818" s="190">
        <f t="shared" si="90"/>
        <v>0</v>
      </c>
    </row>
    <row r="1819" spans="1:7" ht="15.5">
      <c r="A1819"/>
      <c r="B1819" s="200" t="s">
        <v>2130</v>
      </c>
      <c r="C1819" s="260" t="s">
        <v>2131</v>
      </c>
      <c r="D1819" s="25" t="s">
        <v>151</v>
      </c>
      <c r="E1819" s="195">
        <v>400</v>
      </c>
      <c r="F1819" s="196"/>
      <c r="G1819" s="190">
        <f t="shared" si="90"/>
        <v>0</v>
      </c>
    </row>
    <row r="1820" spans="1:7" ht="31">
      <c r="A1820"/>
      <c r="B1820" s="291" t="s">
        <v>1791</v>
      </c>
      <c r="C1820" s="292" t="s">
        <v>1960</v>
      </c>
      <c r="D1820" s="64" t="s">
        <v>145</v>
      </c>
      <c r="E1820" s="265">
        <v>1</v>
      </c>
      <c r="F1820" s="293"/>
      <c r="G1820" s="290">
        <v>0</v>
      </c>
    </row>
    <row r="1821" spans="1:7" ht="46.5">
      <c r="A1821"/>
      <c r="B1821" s="200" t="s">
        <v>2138</v>
      </c>
      <c r="C1821" s="260" t="s">
        <v>2139</v>
      </c>
      <c r="D1821" s="25" t="s">
        <v>148</v>
      </c>
      <c r="E1821" s="195">
        <v>3</v>
      </c>
      <c r="F1821" s="196"/>
      <c r="G1821" s="190">
        <f>E1821*F1821</f>
        <v>0</v>
      </c>
    </row>
    <row r="1822" spans="1:7" ht="31">
      <c r="A1822"/>
      <c r="B1822" s="200" t="s">
        <v>2186</v>
      </c>
      <c r="C1822" s="260" t="s">
        <v>2188</v>
      </c>
      <c r="D1822" s="25" t="s">
        <v>147</v>
      </c>
      <c r="E1822" s="195">
        <v>6</v>
      </c>
      <c r="F1822" s="196"/>
      <c r="G1822" s="190">
        <f>E1822*F1822</f>
        <v>0</v>
      </c>
    </row>
    <row r="1823" spans="1:7" ht="31.5" thickBot="1">
      <c r="A1823"/>
      <c r="B1823" s="301" t="s">
        <v>2187</v>
      </c>
      <c r="C1823" s="302" t="s">
        <v>2189</v>
      </c>
      <c r="D1823" s="104" t="s">
        <v>147</v>
      </c>
      <c r="E1823" s="300">
        <v>6</v>
      </c>
      <c r="F1823" s="197"/>
      <c r="G1823" s="233">
        <f>E1823*F1823</f>
        <v>0</v>
      </c>
    </row>
    <row r="1824" spans="1:7" ht="62">
      <c r="A1824"/>
      <c r="B1824" s="314">
        <v>9017</v>
      </c>
      <c r="C1824" s="318" t="s">
        <v>2220</v>
      </c>
      <c r="D1824" s="25" t="s">
        <v>151</v>
      </c>
      <c r="E1824" s="234">
        <v>410</v>
      </c>
      <c r="F1824" s="67"/>
      <c r="G1824" s="81">
        <f t="shared" ref="G1824" si="91">E1824*F1824</f>
        <v>0</v>
      </c>
    </row>
    <row r="1825" spans="1:7" ht="18">
      <c r="A1825"/>
      <c r="B1825" s="153"/>
      <c r="C1825" s="177" t="s">
        <v>969</v>
      </c>
      <c r="D1825" s="282"/>
      <c r="E1825" s="257"/>
      <c r="F1825" s="283"/>
      <c r="G1825" s="98">
        <f>SUM(G18:G1823)</f>
        <v>320000</v>
      </c>
    </row>
    <row r="1826" spans="1:7" ht="15.5">
      <c r="A1826"/>
      <c r="B1826" s="153"/>
      <c r="C1826" s="153"/>
      <c r="D1826" s="120"/>
      <c r="E1826" s="256"/>
      <c r="F1826" s="118"/>
      <c r="G1826" s="119"/>
    </row>
    <row r="1827" spans="1:7" ht="15.5">
      <c r="B1827" s="153"/>
      <c r="C1827" s="153"/>
      <c r="D1827" s="120"/>
      <c r="E1827" s="256"/>
      <c r="F1827" s="118"/>
      <c r="G1827" s="119"/>
    </row>
    <row r="1828" spans="1:7">
      <c r="B1828" s="284"/>
      <c r="D1828" s="282"/>
      <c r="E1828" s="257"/>
      <c r="F1828" s="283"/>
      <c r="G1828" s="282"/>
    </row>
    <row r="1829" spans="1:7">
      <c r="B1829" s="284"/>
    </row>
  </sheetData>
  <autoFilter ref="B16:G1825" xr:uid="{00000000-0009-0000-0000-000002000000}"/>
  <mergeCells count="2">
    <mergeCell ref="B10:E10"/>
    <mergeCell ref="B11:E11"/>
  </mergeCells>
  <conditionalFormatting sqref="D899:E899">
    <cfRule type="cellIs" priority="2" stopIfTrue="1" operator="equal">
      <formula>0</formula>
    </cfRule>
  </conditionalFormatting>
  <conditionalFormatting sqref="E17">
    <cfRule type="cellIs" priority="483" stopIfTrue="1" operator="equal">
      <formula>0</formula>
    </cfRule>
  </conditionalFormatting>
  <conditionalFormatting sqref="E27 E30 E32 E52:E53 E57 E62 E67 E80 E82 E85 E133:E134 E145 E151 E165 E182 E201 E218 E241 E250 E267 E275 E306 E311 E328 E343 E350:E351 E364 E380 E388 E407 E425 E429 E432 E437 E448 E459 E470 E483 E495 E502 E510 E520 E524 E533 E536 E545 E557 E566 E572:E573 E578 E584 E589 E594 E600 E605 E607 E610 E613 E622 E628 E635 E652 E656 E660:E661 E665 E684 E712 E728 E734 E736:E737 E743 E752 E757 E761 E770 E777 E788 E791 E802 E805 E814 E819:E820 E841 E880 E886:E887 E912 E917 E923 E937 E940:E941 E947 E959:E960 E964 E977 E989 E997 E1000:E1001 E1030 E1048 E1053:E1054 E1058 E1062 E1066:E1067 E1073 E1076 E1079:E1080 E1084 E1086 E1088 E1090 E1093:E1094 E1097 E1104 E1111 E1113 E1116:E1117 E1120 E1122 E1125:E1126 E1130 E1132 E1137 E1141 E1145 E1149 E1153:E1154 E1157 E1160:E1161 E1165 E1167 E1169 E1173 E1177 E1181 E1185:E1186 E1192 E1199 E1202 E1206 E1210 E1214:E1215 E1219 E1223 E1227 E1231 E1234:E1235 E1243 E1246:E1247 E1252 E1255 E1262:E1263 E1268 E1270:E1271 E1273 E1289 E1296 E1299:E1300 E1307 E1314 E1318 E1323 E1325:E1326 E1332 E1335 E1339:E1340 E1356 E1359:E1360 E1369 E1372:E1373 E1377:E1378 E1383 E1385 E1387 E1389 E1391 E1393 E1395 E1402 E1423 E1483:E1484 E1495 E1506 E1518 E1533 E1537 E1564:E1565 E1569 E1573 E1576 E1578:E1579 E1587 E1590 E1592:E1593 E1611 E1616 E1620 E1623 E1626 E1629 E1635 E1644 E1648 E1651 E1657 E1661 E1664 E1669:E1670 E1679:E1680 E1735 E1737 E1739 E1748 E1771:E1772 E1778 E1787 E1799 E1801">
    <cfRule type="cellIs" priority="482" stopIfTrue="1" operator="equal">
      <formula>0</formula>
    </cfRule>
  </conditionalFormatting>
  <conditionalFormatting sqref="E906">
    <cfRule type="cellIs" priority="1" stopIfTrue="1" operator="equal">
      <formula>0</formula>
    </cfRule>
  </conditionalFormatting>
  <conditionalFormatting sqref="E1707">
    <cfRule type="cellIs" priority="485" stopIfTrue="1" operator="equal">
      <formula>0</formula>
    </cfRule>
  </conditionalFormatting>
  <conditionalFormatting sqref="E1795">
    <cfRule type="cellIs" priority="481" stopIfTrue="1" operator="equal">
      <formula>0</formula>
    </cfRule>
  </conditionalFormatting>
  <conditionalFormatting sqref="E1797">
    <cfRule type="cellIs" priority="480" stopIfTrue="1" operator="equal">
      <formula>0</formula>
    </cfRule>
  </conditionalFormatting>
  <pageMargins left="0.23622047244094491" right="0.23622047244094491" top="0.74803149606299213" bottom="0.74803149606299213" header="0.31496062992125984" footer="0.31496062992125984"/>
  <pageSetup paperSize="9" scale="63" fitToHeight="3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a19f380-429e-4e72-a83b-75384cd4ec21">
      <Terms xmlns="http://schemas.microsoft.com/office/infopath/2007/PartnerControls"/>
    </lcf76f155ced4ddcb4097134ff3c332f>
    <TaxCatchAll xmlns="a1ca1b38-8cef-4684-812b-715b79ddfac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8A4A027FDA5C744A75335E17E8EC8E4" ma:contentTypeVersion="15" ma:contentTypeDescription="Create a new document." ma:contentTypeScope="" ma:versionID="730c4662a660e5c11c2504be831baad1">
  <xsd:schema xmlns:xsd="http://www.w3.org/2001/XMLSchema" xmlns:xs="http://www.w3.org/2001/XMLSchema" xmlns:p="http://schemas.microsoft.com/office/2006/metadata/properties" xmlns:ns2="3a19f380-429e-4e72-a83b-75384cd4ec21" xmlns:ns3="a1ca1b38-8cef-4684-812b-715b79ddfacf" targetNamespace="http://schemas.microsoft.com/office/2006/metadata/properties" ma:root="true" ma:fieldsID="bbb2c9cf99515a88a42ea682f23c2342" ns2:_="" ns3:_="">
    <xsd:import namespace="3a19f380-429e-4e72-a83b-75384cd4ec21"/>
    <xsd:import namespace="a1ca1b38-8cef-4684-812b-715b79ddfac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19f380-429e-4e72-a83b-75384cd4ec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aa5ab4c-c3f9-434a-be7f-e11b054f965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1ca1b38-8cef-4684-812b-715b79ddfac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7a63528-3ad3-4763-9fa8-71082cd042fd}" ma:internalName="TaxCatchAll" ma:showField="CatchAllData" ma:web="a1ca1b38-8cef-4684-812b-715b79ddfacf">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E41732-509A-4E80-81AD-9ED7D39B7198}">
  <ds:schemaRefs>
    <ds:schemaRef ds:uri="http://schemas.microsoft.com/sharepoint/v3/contenttype/forms"/>
  </ds:schemaRefs>
</ds:datastoreItem>
</file>

<file path=customXml/itemProps2.xml><?xml version="1.0" encoding="utf-8"?>
<ds:datastoreItem xmlns:ds="http://schemas.openxmlformats.org/officeDocument/2006/customXml" ds:itemID="{7EB4B5E6-C607-47AB-8CA5-3C054CA577AD}">
  <ds:schemaRefs>
    <ds:schemaRef ds:uri="http://schemas.microsoft.com/office/2006/metadata/properties"/>
    <ds:schemaRef ds:uri="http://schemas.microsoft.com/office/infopath/2007/PartnerControls"/>
    <ds:schemaRef ds:uri="3a19f380-429e-4e72-a83b-75384cd4ec21"/>
    <ds:schemaRef ds:uri="a1ca1b38-8cef-4684-812b-715b79ddfacf"/>
  </ds:schemaRefs>
</ds:datastoreItem>
</file>

<file path=customXml/itemProps3.xml><?xml version="1.0" encoding="utf-8"?>
<ds:datastoreItem xmlns:ds="http://schemas.openxmlformats.org/officeDocument/2006/customXml" ds:itemID="{7B0B5442-8C7A-4533-BFC0-658C4541D0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19f380-429e-4e72-a83b-75384cd4ec21"/>
    <ds:schemaRef ds:uri="a1ca1b38-8cef-4684-812b-715b79ddf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Base Schedule Jan 2018</vt:lpstr>
      <vt:lpstr>'Base Schedule Jan 2018'!Print_Area</vt:lpstr>
      <vt:lpstr>'Base Schedule Jan 2018'!Print_Titles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 Lerch</dc:creator>
  <cp:lastModifiedBy>Roger Newman</cp:lastModifiedBy>
  <cp:lastPrinted>2019-09-18T22:19:00Z</cp:lastPrinted>
  <dcterms:created xsi:type="dcterms:W3CDTF">2014-08-05T23:10:00Z</dcterms:created>
  <dcterms:modified xsi:type="dcterms:W3CDTF">2025-10-26T14:15:33Z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0x010100F8A4A027FDA5C744A75335E17E8EC8E4</vt:lpwstr>
  </property>
  <property fmtid="{D5CDD505-2E9C-101B-9397-08002B2CF9AE}" pid="3" name="MediaServiceImageTags">
    <vt:lpwstr/>
  </property>
</Properties>
</file>